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3"/>
    <sheet state="visible" name="Mail" sheetId="2" r:id="rId4"/>
    <sheet state="visible" name="Votes" sheetId="3" r:id="rId5"/>
  </sheets>
  <definedNames>
    <definedName name="Main">Main!$A$3:$AE$21</definedName>
  </definedNames>
  <calcPr/>
</workbook>
</file>

<file path=xl/sharedStrings.xml><?xml version="1.0" encoding="utf-8"?>
<sst xmlns="http://schemas.openxmlformats.org/spreadsheetml/2006/main" count="514" uniqueCount="186">
  <si>
    <t>Ord</t>
  </si>
  <si>
    <t>Alt</t>
  </si>
  <si>
    <t>Alt 2</t>
  </si>
  <si>
    <t>Res</t>
  </si>
  <si>
    <t>Name</t>
  </si>
  <si>
    <t>Team</t>
  </si>
  <si>
    <t>Role</t>
  </si>
  <si>
    <t>Guilty?</t>
  </si>
  <si>
    <t>Alive?</t>
  </si>
  <si>
    <t>Active</t>
  </si>
  <si>
    <t>Night 0</t>
  </si>
  <si>
    <t>Results</t>
  </si>
  <si>
    <t>Night 1</t>
  </si>
  <si>
    <t>Night 2</t>
  </si>
  <si>
    <t>Night 3</t>
  </si>
  <si>
    <t>Night 4</t>
  </si>
  <si>
    <t>Town</t>
  </si>
  <si>
    <t>Mafia</t>
  </si>
  <si>
    <t>Yakuza</t>
  </si>
  <si>
    <t>3rd</t>
  </si>
  <si>
    <t>Scum</t>
  </si>
  <si>
    <t>Scum/Town Ratio</t>
  </si>
  <si>
    <t>Mafia/Town Ratio</t>
  </si>
  <si>
    <t>N/A</t>
  </si>
  <si>
    <t>brownt0wn</t>
  </si>
  <si>
    <t>Governor</t>
  </si>
  <si>
    <t>Innocent</t>
  </si>
  <si>
    <t>Peeble</t>
  </si>
  <si>
    <t>Roleblocker</t>
  </si>
  <si>
    <t>Guilty</t>
  </si>
  <si>
    <t>block brownt0wn</t>
  </si>
  <si>
    <t>You slash brownt0wn's tires, pour sugar in his gas tank, steal his bike, and reroute the buses away from his neighborhood. He's not doing anything tonight.</t>
  </si>
  <si>
    <t>block Siege</t>
  </si>
  <si>
    <t>You lock Siege in his bathroom all night.</t>
  </si>
  <si>
    <t>block IDHO</t>
  </si>
  <si>
    <t>You sneak into IDHO's house and put crush some sleeping pills into his soup. He's out all night.</t>
  </si>
  <si>
    <t>block kittehkat</t>
  </si>
  <si>
    <t>You head out to block kittehkat, but someone hits you on the head and you wake up in a small, locked room. Morning comes, but nobody ever unlocks the room. Days pass. You die of dehdyration. You are dead.</t>
  </si>
  <si>
    <t>RasDam</t>
  </si>
  <si>
    <t>Doctor</t>
  </si>
  <si>
    <t>save 312c</t>
  </si>
  <si>
    <t>You give 312c a quick checkup, and aside from a dangerous looking mole that'll probably kill him in a few years, he looks fine.</t>
  </si>
  <si>
    <t>save Vilhelm</t>
  </si>
  <si>
    <t>You follow Vilhelm all night, but nobody attempts to kill him.</t>
  </si>
  <si>
    <t>312c's mole is still there, but otherwise he's fine.</t>
  </si>
  <si>
    <t>lynched</t>
  </si>
  <si>
    <t>garbageface</t>
  </si>
  <si>
    <t>Godfather</t>
  </si>
  <si>
    <t>no action</t>
  </si>
  <si>
    <t>kill IDHO</t>
  </si>
  <si>
    <t>You meet IDHO at a restaurant to discuss "business", then slip some Botulinum toxin into his drink and leave. You see an ambulance leaving the scene with its sirens off shortly after.</t>
  </si>
  <si>
    <t>Voltaire</t>
  </si>
  <si>
    <t>Part-time Detective</t>
  </si>
  <si>
    <t>Siege</t>
  </si>
  <si>
    <t>Consulting Cop</t>
  </si>
  <si>
    <t>investigate brownt0wn</t>
  </si>
  <si>
    <t>You go to the library to look up brownt0wn, because you're sure you've heard of him before. Sure enough, he's the right honorable Governor. As you go back to your car, a man steps out and shoots you in the face with a shotgun. You are dead.</t>
  </si>
  <si>
    <t>sithlordseth</t>
  </si>
  <si>
    <t>Ninja</t>
  </si>
  <si>
    <t>kill Buster</t>
  </si>
  <si>
    <t>You find a stash of explosives in Buster's house, and decide to hoist him by his own petard. A few minutes after leaving, you hear a satisfying explosion in the distance.</t>
  </si>
  <si>
    <t>kill Whatsthis</t>
  </si>
  <si>
    <t>As you stab him in the back, he gasps, "what's this?" before keeling over, dead.</t>
  </si>
  <si>
    <t>kill Siege</t>
  </si>
  <si>
    <t>You try to reach Siege, but there's someone near him all night, and before you can get him alone a man with a shotgun shoots you dead. You are dead.</t>
  </si>
  <si>
    <t>Vilhelm</t>
  </si>
  <si>
    <t>Part-time Hitman</t>
  </si>
  <si>
    <t>kill gandy</t>
  </si>
  <si>
    <t>You follow gandy to Buster's house, and as he turns to leave the ruined structure, step out and shoot him repeatedly.</t>
  </si>
  <si>
    <t>kill 312c</t>
  </si>
  <si>
    <t>You catch 312c hanging around in a back alley and gun him down.</t>
  </si>
  <si>
    <t>?</t>
  </si>
  <si>
    <t>Xerophobia</t>
  </si>
  <si>
    <t>Jack of Some Trades</t>
  </si>
  <si>
    <t>gunsmith 312c</t>
  </si>
  <si>
    <t>312c does not have a gun.</t>
  </si>
  <si>
    <t>watch Siege</t>
  </si>
  <si>
    <t>You see w1r3d visit Siege.</t>
  </si>
  <si>
    <t>You see brownt0wn at a local bar and slip something in his drink. He'll wake up in about 10 hours.</t>
  </si>
  <si>
    <t>track oppides</t>
  </si>
  <si>
    <t>As you leave your house to find oppides for the night, there's a tremendous bang and your legs collapse. You see oppides standing over you with a shotgun. He fires again. You are dead.</t>
  </si>
  <si>
    <t>Buster</t>
  </si>
  <si>
    <t>None</t>
  </si>
  <si>
    <t>Bomber</t>
  </si>
  <si>
    <t>plant gandy93</t>
  </si>
  <si>
    <t xml:space="preserve">You cleverly hide a banana bomb at the bottom of gandy's fruit bowl, and another in his nightstand, just for good measure. </t>
  </si>
  <si>
    <t>plant RasDam</t>
  </si>
  <si>
    <t>You start preparing an apple bomb for RasDam, but as you pick up the outer shell, everything in the lab explodes. You are dead.</t>
  </si>
  <si>
    <t>312c</t>
  </si>
  <si>
    <t>Jailkeeper</t>
  </si>
  <si>
    <t>Do nothing</t>
  </si>
  <si>
    <t>You decide to stay home, and the night passes uneventfully.</t>
  </si>
  <si>
    <t>jail kittehkat</t>
  </si>
  <si>
    <t>You throw a bag of catnip into kittehkat's room and bar the door. She's not going anywhere tonight.</t>
  </si>
  <si>
    <t>jail Peeble</t>
  </si>
  <si>
    <t>You knock Peeble out and lock him in a small room all night. While waiting outside the room, someone walks by and guns you down. You are dead.</t>
  </si>
  <si>
    <t>IDHO</t>
  </si>
  <si>
    <t>Consulting Tracker</t>
  </si>
  <si>
    <t>message Vilhelm</t>
  </si>
  <si>
    <t>The postal service here is remarkably efficient.</t>
  </si>
  <si>
    <t>track Vilhelm</t>
  </si>
  <si>
    <t>You follow Vilhelm to gandy's house.</t>
  </si>
  <si>
    <t>message w1r3d</t>
  </si>
  <si>
    <t>After eating dinner, you curl up in bed and pass out for 12 hours.</t>
  </si>
  <si>
    <t>track sithlordseth</t>
  </si>
  <si>
    <t>You watch his house all night, but he never leaves it.</t>
  </si>
  <si>
    <t>message kittehkat</t>
  </si>
  <si>
    <t>Your message is delivered successfully. Unfortunately, before you have a chance to do anything else, you lose the ability to breathe. You are dead.</t>
  </si>
  <si>
    <t>kittehkat</t>
  </si>
  <si>
    <t>Consulting Watcher</t>
  </si>
  <si>
    <t>watch joede224</t>
  </si>
  <si>
    <t>A thoroughly boring night. joede224 has no friends.</t>
  </si>
  <si>
    <t>mail sibi22</t>
  </si>
  <si>
    <t>Yes.</t>
  </si>
  <si>
    <t>watch Peeble</t>
  </si>
  <si>
    <t>You were going to watch Peeble, but get distracted when a large bag of catnip appears. After the high wears off, you realize that you've been sealed in.</t>
  </si>
  <si>
    <t>message Xerophobia</t>
  </si>
  <si>
    <t>Your message is delivered successfully.</t>
  </si>
  <si>
    <t>watch IDHO</t>
  </si>
  <si>
    <t>garbageface meets with IDHO.</t>
  </si>
  <si>
    <t>Nvious</t>
  </si>
  <si>
    <t>Sensor</t>
  </si>
  <si>
    <t xml:space="preserve">Someone barricaded your bathroom door closed while you were in the shower, locking you in for the night.
</t>
  </si>
  <si>
    <t>message Voltaire</t>
  </si>
  <si>
    <t>Your letter goes out without incident.</t>
  </si>
  <si>
    <t>Vilhelm seems to be innocent.</t>
  </si>
  <si>
    <t>message IDHO</t>
  </si>
  <si>
    <t>sibi22</t>
  </si>
  <si>
    <t>Consulting Gunsmith</t>
  </si>
  <si>
    <t>Voltaire does have a gun.</t>
  </si>
  <si>
    <t>modkilled, no posts since game start.</t>
  </si>
  <si>
    <t>soulpopped</t>
  </si>
  <si>
    <t>Consulting Detective</t>
  </si>
  <si>
    <t>investigate Voltaire</t>
  </si>
  <si>
    <t>Voltaire is a Part-time Hitman.</t>
  </si>
  <si>
    <t>You send your message, but it shows up at your door a few hours later, unopened, along with a live grenade. You are dead.</t>
  </si>
  <si>
    <t>w1r3d</t>
  </si>
  <si>
    <t>save Voltaire</t>
  </si>
  <si>
    <t>Voltaire seems quite healthy.</t>
  </si>
  <si>
    <t>save Siege</t>
  </si>
  <si>
    <t>You hang out around Siege's house all night, but nothing happens to him.</t>
  </si>
  <si>
    <t>Siege survives another night.</t>
  </si>
  <si>
    <t>save kittehkat</t>
  </si>
  <si>
    <t>kittehkat survives another night.</t>
  </si>
  <si>
    <t>oppides</t>
  </si>
  <si>
    <t>Vigilante</t>
  </si>
  <si>
    <t>kill Voltaire</t>
  </si>
  <si>
    <t>You find Voltaire leaving the library and shoot him in the face with your trusty shotgun.</t>
  </si>
  <si>
    <t>kill sithlordseth</t>
  </si>
  <si>
    <t>Your shotgun of justice reduces sithlordseth's vital organs to chunky salsa.</t>
  </si>
  <si>
    <t>kill Xerophobia</t>
  </si>
  <si>
    <t>You catch Xerophobia as he exits his home and let him enjoy both barrels of your shotgun.</t>
  </si>
  <si>
    <t>gandy93</t>
  </si>
  <si>
    <t>Jack of all Trades</t>
  </si>
  <si>
    <t>cop Voltaire</t>
  </si>
  <si>
    <t>Voltaire is the most innocent guy you've ever met. He does charity work every week, not just the ones before major holidays.</t>
  </si>
  <si>
    <t>gunsmith Buster</t>
  </si>
  <si>
    <t>Buster does not have a gun, in fact, he doesn't have anything: his house was destroyed by an explosion just before you arrived. As you turn to leave it a man steps out from behind a tree and shoots you five times. You are dead.</t>
  </si>
  <si>
    <t>Whatsthis</t>
  </si>
  <si>
    <t>cop oppides</t>
  </si>
  <si>
    <t>oppides is a standup guy. Totally innocent.</t>
  </si>
  <si>
    <t>gunsmith soulpopped</t>
  </si>
  <si>
    <t>soulpopped has a gun.</t>
  </si>
  <si>
    <t>kill soulpopped</t>
  </si>
  <si>
    <t>Using ancient magics and a grenade, you pop soulpopped's soul. On your way home, someone sneaks up on you and stabs you through the chest. You gasp "what's this?" before dying. You are dead.</t>
  </si>
  <si>
    <t>Minion</t>
  </si>
  <si>
    <t>Corrupt Postal Worker</t>
  </si>
  <si>
    <t>joede224</t>
  </si>
  <si>
    <t>Detective</t>
  </si>
  <si>
    <t>Night</t>
  </si>
  <si>
    <t>From</t>
  </si>
  <si>
    <t>To</t>
  </si>
  <si>
    <t>Message</t>
  </si>
  <si>
    <t>[img]http://ptpimg.me/9p7qb2.gif[/img]</t>
  </si>
  <si>
    <t>poke</t>
  </si>
  <si>
    <t>[youtube]http://www.youtube.com/watch?v=in3Ppk9NG9U[/youtube]</t>
  </si>
  <si>
    <t>I don't trust you, Vilhelm. You seem really scummy to me. Only scum would be excited enough to post three exclamation points!
So, in honor of alcarithemad hosting this game, you'll be posting some encrypted text and hashes.
1. Go to this [url=http://myeasywww.appspot.com/utility/free/online/Crypt_Decrypt-MD5-AES-HMAC-SHA-DES-RABBIT/en?command=UTILITY&amp;ID=2]website[/url]
2. In the "Crypt using algorithms AES, HMAC, RABBIt" section, write your role and actions (If you want, I'm not holding a gun to your head or anything)
3. Enter the following as the secret passphrase: yV2G6tO4ga4Uc1HTvF2V6HnJ8Lsd1hoo
4. Copy the AES result, and paste it in your first post of the day
5. Also include this in your reply: 232ce6f5128837641c06de4c9d60459a7f553fac
That all seemed really bossy, which I don't like at all, so here's a cat gif to lighten the mood:
[img]http://ptpimg.me/8o606t.gif[/img]</t>
  </si>
  <si>
    <t>Fuck you I am the bad man</t>
  </si>
  <si>
    <t>[img]https://whatimg.com/i/i4q3Yn.jpg[/img]</t>
  </si>
  <si>
    <t>I'm consulting detective. I investigated Voltaire and he is part-time hitman. Passing this along in case I don't make it through the night. I want to take that scum down.
Love, 
Town.
P.S. This is my cat. I hope you like her.
[img]http://ptpimg.me/fj4681.jpg[/img]</t>
  </si>
  <si>
    <t>a good point, but kitteh couldnt have confirmed me any other way</t>
  </si>
  <si>
    <t>[img]http://www.humanesociety.org/assets/images/270x224/animals/cats/cat_kitten_playing_270x224.jpg[/img]</t>
  </si>
  <si>
    <t>Codes are boring. 
[img]http://ptpimg.me/67l306.gif[/img]</t>
  </si>
  <si>
    <t>Begin Message-&gt;
[quote=alcarithemad:f22284:787355:245]25.5 hours remain.
[quote]
[b]Siege 3/5[/b]
w1r3d
brownt0wn
garbageface
[b]Vilhelm 2/5[/b]
IDHO
oppides
[/quote][/quote]
I believe this is a strong indication of who remains as mafia. wir3d i'd say 100%. who knows with gface, he could just hate me, and bt0wns voting was damn suspicious. ill put him at 85%. I do not at this time believe kitteh to be mafia. -signed your friendly neighborhood mailman cop siege
&lt;- End message.</t>
  </si>
  <si>
    <t>no lynch</t>
  </si>
  <si>
    <t>no vote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</si>
</sst>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strike/>
      <sz val="10.0"/>
    </font>
  </fonts>
  <fills count="7">
    <fill>
      <patternFill patternType="none"/>
    </fill>
    <fill>
      <patternFill patternType="lightGray"/>
    </fill>
    <fill>
      <patternFill patternType="solid">
        <fgColor rgb="FF00FF00"/>
        <bgColor rgb="FF00FF00"/>
      </patternFill>
    </fill>
    <fill>
      <patternFill patternType="solid">
        <fgColor rgb="FFCCCCCC"/>
        <bgColor rgb="FFCCCCCC"/>
      </patternFill>
    </fill>
    <fill>
      <patternFill patternType="solid">
        <fgColor rgb="FFFF0000"/>
        <bgColor rgb="FFFF0000"/>
      </patternFill>
    </fill>
    <fill>
      <patternFill patternType="solid">
        <fgColor rgb="FFFF00FF"/>
        <bgColor rgb="FFFF00FF"/>
      </patternFill>
    </fill>
    <fill>
      <patternFill patternType="solid">
        <fgColor rgb="FFFFFFFF"/>
        <bgColor rgb="FFFFFFFF"/>
      </patternFill>
    </fill>
  </fills>
  <borders count="3">
    <border/>
    <border>
      <bottom style="thin">
        <color rgb="FF000000"/>
      </bottom>
    </border>
    <border>
      <top style="thin">
        <color rgb="FF000000"/>
      </top>
    </border>
  </borders>
  <cellStyleXfs count="1">
    <xf borderId="0" fillId="0" fontId="0" numFmtId="0" applyAlignment="1" applyFont="1"/>
  </cellStyleXfs>
  <cellXfs count="31">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1" numFmtId="10" xfId="0" applyAlignment="1" applyFont="1" applyNumberFormat="1">
      <alignment readingOrder="0" shrinkToFit="0" wrapText="1"/>
    </xf>
    <xf borderId="1" fillId="0" fontId="1" numFmtId="0" xfId="0" applyAlignment="1" applyBorder="1" applyFont="1">
      <alignment readingOrder="0" shrinkToFit="0" wrapText="1"/>
    </xf>
    <xf borderId="1" fillId="2" fontId="1" numFmtId="0" xfId="0" applyAlignment="1" applyBorder="1" applyFill="1" applyFont="1">
      <alignment readingOrder="0" shrinkToFit="0" wrapText="1"/>
    </xf>
    <xf borderId="1" fillId="0" fontId="1" numFmtId="0" xfId="0" applyAlignment="1" applyBorder="1" applyFont="1">
      <alignment shrinkToFit="0" wrapText="1"/>
    </xf>
    <xf borderId="1" fillId="3" fontId="1" numFmtId="0" xfId="0" applyAlignment="1" applyBorder="1" applyFill="1" applyFont="1">
      <alignment readingOrder="0" shrinkToFit="0" wrapText="1"/>
    </xf>
    <xf borderId="1" fillId="0" fontId="1" numFmtId="0" xfId="0" applyAlignment="1" applyBorder="1" applyFont="1">
      <alignment shrinkToFit="0" wrapText="1"/>
    </xf>
    <xf borderId="1" fillId="0" fontId="1" numFmtId="10" xfId="0" applyAlignment="1" applyBorder="1" applyFont="1" applyNumberFormat="1">
      <alignment shrinkToFit="0" wrapText="1"/>
    </xf>
    <xf borderId="2" fillId="0" fontId="1" numFmtId="0" xfId="0" applyAlignment="1" applyBorder="1" applyFont="1">
      <alignment readingOrder="0" shrinkToFit="0" wrapText="1"/>
    </xf>
    <xf borderId="2" fillId="0" fontId="2" numFmtId="0" xfId="0" applyAlignment="1" applyBorder="1" applyFont="1">
      <alignment readingOrder="0" shrinkToFit="0" wrapText="1"/>
    </xf>
    <xf borderId="2" fillId="4" fontId="1" numFmtId="0" xfId="0" applyAlignment="1" applyBorder="1" applyFill="1" applyFont="1">
      <alignment readingOrder="0" shrinkToFit="0" wrapText="1"/>
    </xf>
    <xf borderId="2" fillId="0" fontId="1" numFmtId="0" xfId="0" applyAlignment="1" applyBorder="1" applyFont="1">
      <alignment shrinkToFit="0" wrapText="1"/>
    </xf>
    <xf borderId="2" fillId="3" fontId="1" numFmtId="0" xfId="0" applyAlignment="1" applyBorder="1" applyFont="1">
      <alignment readingOrder="0" shrinkToFit="0" wrapText="1"/>
    </xf>
    <xf borderId="2" fillId="5" fontId="1" numFmtId="0" xfId="0" applyAlignment="1" applyBorder="1" applyFill="1" applyFont="1">
      <alignment readingOrder="0" shrinkToFit="0" wrapText="1"/>
    </xf>
    <xf borderId="2" fillId="5" fontId="1" numFmtId="0" xfId="0" applyAlignment="1" applyBorder="1" applyFont="1">
      <alignment shrinkToFit="0" wrapText="1"/>
    </xf>
    <xf borderId="2" fillId="0" fontId="1" numFmtId="0" xfId="0" applyAlignment="1" applyBorder="1" applyFont="1">
      <alignment shrinkToFit="0" wrapText="1"/>
    </xf>
    <xf borderId="2" fillId="0" fontId="1" numFmtId="10" xfId="0" applyAlignment="1" applyBorder="1" applyFont="1" applyNumberFormat="1">
      <alignment shrinkToFit="0" wrapText="1"/>
    </xf>
    <xf borderId="1" fillId="0" fontId="2" numFmtId="0" xfId="0" applyAlignment="1" applyBorder="1" applyFont="1">
      <alignment readingOrder="0" shrinkToFit="0" wrapText="1"/>
    </xf>
    <xf borderId="1" fillId="4" fontId="1" numFmtId="0" xfId="0" applyAlignment="1" applyBorder="1" applyFont="1">
      <alignment readingOrder="0" shrinkToFit="0" wrapText="1"/>
    </xf>
    <xf borderId="1" fillId="5" fontId="1" numFmtId="0" xfId="0" applyAlignment="1" applyBorder="1" applyFont="1">
      <alignment readingOrder="0" shrinkToFit="0" wrapText="1"/>
    </xf>
    <xf borderId="1" fillId="5" fontId="1" numFmtId="0" xfId="0" applyAlignment="1" applyBorder="1" applyFont="1">
      <alignment shrinkToFit="0" wrapText="1"/>
    </xf>
    <xf borderId="2" fillId="2" fontId="1" numFmtId="0" xfId="0" applyAlignment="1" applyBorder="1" applyFont="1">
      <alignment readingOrder="0" shrinkToFit="0" wrapText="1"/>
    </xf>
    <xf borderId="2" fillId="6" fontId="1" numFmtId="0" xfId="0" applyAlignment="1" applyBorder="1" applyFill="1" applyFont="1">
      <alignment readingOrder="0" shrinkToFit="0" wrapText="1"/>
    </xf>
    <xf borderId="1" fillId="6" fontId="1" numFmtId="0" xfId="0" applyAlignment="1" applyBorder="1" applyFont="1">
      <alignment shrinkToFit="0" wrapText="1"/>
    </xf>
    <xf borderId="0" fillId="0" fontId="1" numFmtId="0" xfId="0" applyAlignment="1" applyFont="1">
      <alignment shrinkToFit="0" wrapText="1"/>
    </xf>
    <xf borderId="0" fillId="0" fontId="1" numFmtId="10" xfId="0" applyAlignment="1" applyFont="1" applyNumberFormat="1">
      <alignment shrinkToFit="0" wrapText="1"/>
    </xf>
    <xf borderId="0" fillId="0" fontId="2" numFmtId="0" xfId="0" applyAlignment="1" applyFont="1">
      <alignment readingOrder="0" shrinkToFit="0" wrapText="1"/>
    </xf>
    <xf borderId="0" fillId="4" fontId="1" numFmtId="0" xfId="0" applyAlignment="1" applyFont="1">
      <alignment readingOrder="0" shrinkToFit="0" wrapText="1"/>
    </xf>
    <xf borderId="0" fillId="2" fontId="1" numFmtId="0" xfId="0" applyAlignment="1" applyFont="1">
      <alignment readingOrder="0" shrinkToFit="0" wrapText="1"/>
    </xf>
    <xf borderId="0" fillId="5"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5"/>
    <col customWidth="1" min="2" max="2" width="2.75"/>
    <col customWidth="1" min="3" max="3" width="4.25"/>
    <col customWidth="1" min="4" max="4" width="3.75"/>
    <col customWidth="1" min="5" max="5" width="11.0"/>
    <col customWidth="1" min="6" max="6" width="6.5"/>
    <col customWidth="1" min="7" max="7" width="17.38"/>
    <col customWidth="1" min="8" max="8" width="7.0"/>
    <col customWidth="1" min="9" max="9" width="4.75"/>
    <col customWidth="1" min="10" max="10" width="5.13"/>
    <col customWidth="1" min="11" max="11" width="21.13"/>
    <col customWidth="1" min="12" max="12" width="36.5"/>
    <col customWidth="1" min="13" max="13" width="16.5"/>
    <col customWidth="1" min="14" max="14" width="31.63"/>
    <col customWidth="1" min="15" max="15" width="16.75"/>
    <col customWidth="1" min="16" max="16" width="46.38"/>
    <col customWidth="1" min="17" max="17" width="12.88"/>
    <col customWidth="1" min="18" max="18" width="32.0"/>
    <col customWidth="1" min="19" max="19" width="15.13"/>
    <col customWidth="1" min="20" max="20" width="34.38"/>
    <col customWidth="1" min="21" max="21" width="4.38"/>
    <col customWidth="1" min="22" max="22" width="4.75"/>
    <col customWidth="1" min="23" max="23" width="6.13"/>
    <col customWidth="1" min="24" max="24" width="3.13"/>
    <col customWidth="1" min="25" max="25" width="5.0"/>
    <col customWidth="1" min="26" max="26" width="13.75"/>
    <col customWidth="1" min="27" max="27" width="13.25"/>
    <col customWidth="1" min="28" max="31" width="15.13"/>
  </cols>
  <sheetData>
    <row r="1">
      <c r="A1" s="1" t="s">
        <v>0</v>
      </c>
      <c r="B1" s="1" t="s">
        <v>1</v>
      </c>
      <c r="C1" s="1" t="s">
        <v>2</v>
      </c>
      <c r="D1" s="1" t="s">
        <v>3</v>
      </c>
      <c r="E1" s="1" t="s">
        <v>4</v>
      </c>
      <c r="F1" s="1" t="s">
        <v>5</v>
      </c>
      <c r="G1" s="1" t="s">
        <v>6</v>
      </c>
      <c r="H1" s="1" t="s">
        <v>7</v>
      </c>
      <c r="I1" s="1" t="s">
        <v>8</v>
      </c>
      <c r="J1" s="1" t="s">
        <v>9</v>
      </c>
      <c r="K1" s="1" t="s">
        <v>10</v>
      </c>
      <c r="L1" s="1" t="s">
        <v>11</v>
      </c>
      <c r="M1" s="1" t="s">
        <v>12</v>
      </c>
      <c r="N1" s="1" t="s">
        <v>11</v>
      </c>
      <c r="O1" s="1" t="s">
        <v>13</v>
      </c>
      <c r="P1" s="1" t="s">
        <v>11</v>
      </c>
      <c r="Q1" s="1" t="s">
        <v>14</v>
      </c>
      <c r="R1" s="1" t="s">
        <v>11</v>
      </c>
      <c r="S1" s="1" t="s">
        <v>15</v>
      </c>
      <c r="T1" s="1" t="s">
        <v>11</v>
      </c>
      <c r="U1" s="1" t="s">
        <v>16</v>
      </c>
      <c r="V1" s="1" t="s">
        <v>17</v>
      </c>
      <c r="W1" s="1" t="s">
        <v>18</v>
      </c>
      <c r="X1" s="1" t="s">
        <v>19</v>
      </c>
      <c r="Y1" s="1" t="s">
        <v>20</v>
      </c>
      <c r="Z1" s="2" t="s">
        <v>21</v>
      </c>
      <c r="AA1" s="2" t="s">
        <v>22</v>
      </c>
    </row>
    <row r="2">
      <c r="A2" s="3">
        <v>1.0</v>
      </c>
      <c r="B2" s="3">
        <v>1.0</v>
      </c>
      <c r="C2" s="3">
        <v>1.0</v>
      </c>
      <c r="D2" s="3" t="s">
        <v>23</v>
      </c>
      <c r="E2" s="3" t="s">
        <v>24</v>
      </c>
      <c r="F2" s="3" t="s">
        <v>16</v>
      </c>
      <c r="G2" s="4" t="s">
        <v>25</v>
      </c>
      <c r="H2" s="3" t="s">
        <v>26</v>
      </c>
      <c r="I2" s="3">
        <v>1.0</v>
      </c>
      <c r="J2" s="5"/>
      <c r="K2" s="3" t="s">
        <v>23</v>
      </c>
      <c r="L2" s="3" t="s">
        <v>23</v>
      </c>
      <c r="M2" s="3" t="s">
        <v>23</v>
      </c>
      <c r="N2" s="3" t="s">
        <v>23</v>
      </c>
      <c r="O2" s="3" t="s">
        <v>23</v>
      </c>
      <c r="P2" s="3" t="s">
        <v>23</v>
      </c>
      <c r="Q2" s="6" t="s">
        <v>23</v>
      </c>
      <c r="R2" s="3" t="s">
        <v>23</v>
      </c>
      <c r="S2" s="3" t="s">
        <v>23</v>
      </c>
      <c r="T2" s="3" t="s">
        <v>23</v>
      </c>
      <c r="U2" s="7">
        <f>IF(F2="Town",1,0)</f>
        <v>1</v>
      </c>
      <c r="V2" s="7">
        <f>IF(F2="Mafia",1,0)</f>
        <v>0</v>
      </c>
      <c r="W2" s="7">
        <f>IF(F2="Yakuza",1,0)</f>
        <v>0</v>
      </c>
      <c r="X2" s="7">
        <f>IF(F2="None",1,0)</f>
        <v>0</v>
      </c>
      <c r="Y2" s="7">
        <f t="shared" ref="Y2:Y21" si="1">SUM(V2:X2)</f>
        <v>0</v>
      </c>
      <c r="Z2" s="8">
        <f t="shared" ref="Z2:Z21" si="2">Y2/(U2+Y2)</f>
        <v>0</v>
      </c>
      <c r="AA2" s="8">
        <f t="shared" ref="AA2:AA21" si="3">V2/(U2+Y2)</f>
        <v>0</v>
      </c>
      <c r="AB2" s="5"/>
      <c r="AC2" s="5"/>
      <c r="AD2" s="5"/>
      <c r="AE2" s="5"/>
    </row>
    <row r="3">
      <c r="A3" s="9">
        <v>13.0</v>
      </c>
      <c r="B3" s="9">
        <v>15.0</v>
      </c>
      <c r="C3" s="9">
        <v>15.0</v>
      </c>
      <c r="D3" s="9">
        <v>1.0</v>
      </c>
      <c r="E3" s="10" t="s">
        <v>27</v>
      </c>
      <c r="F3" s="9" t="s">
        <v>17</v>
      </c>
      <c r="G3" s="11" t="s">
        <v>28</v>
      </c>
      <c r="H3" s="9" t="s">
        <v>29</v>
      </c>
      <c r="I3" s="9">
        <v>0.0</v>
      </c>
      <c r="J3" s="12"/>
      <c r="K3" s="9" t="s">
        <v>30</v>
      </c>
      <c r="L3" s="9" t="s">
        <v>31</v>
      </c>
      <c r="M3" s="9" t="s">
        <v>32</v>
      </c>
      <c r="N3" s="9" t="s">
        <v>33</v>
      </c>
      <c r="O3" s="9" t="s">
        <v>34</v>
      </c>
      <c r="P3" s="9" t="s">
        <v>35</v>
      </c>
      <c r="Q3" s="13" t="s">
        <v>36</v>
      </c>
      <c r="R3" s="14" t="s">
        <v>37</v>
      </c>
      <c r="S3" s="15"/>
      <c r="T3" s="15"/>
      <c r="U3" s="16">
        <f t="shared" ref="U3:U21" si="4">IF(F3="Town",1,0)+OFFSET(U3,-1,0)</f>
        <v>1</v>
      </c>
      <c r="V3" s="16">
        <f t="shared" ref="V3:V21" si="5">IF(F3="Mafia",1,0)+OFFSET(V3,-1,0)</f>
        <v>1</v>
      </c>
      <c r="W3" s="16">
        <f t="shared" ref="W3:W21" si="6">IF(F3="Yakuza",1,0)+OFFSET(W3,-1,0)</f>
        <v>0</v>
      </c>
      <c r="X3" s="16">
        <f t="shared" ref="X3:X21" si="7">IF(F3="None",1,0)+OFFSET(X3,-1,0)</f>
        <v>0</v>
      </c>
      <c r="Y3" s="16">
        <f t="shared" si="1"/>
        <v>1</v>
      </c>
      <c r="Z3" s="17">
        <f t="shared" si="2"/>
        <v>0.5</v>
      </c>
      <c r="AA3" s="17">
        <f t="shared" si="3"/>
        <v>0.5</v>
      </c>
      <c r="AB3" s="12"/>
      <c r="AC3" s="12"/>
      <c r="AD3" s="12"/>
      <c r="AE3" s="12"/>
    </row>
    <row r="4">
      <c r="A4" s="3">
        <v>99.0</v>
      </c>
      <c r="B4" s="3">
        <v>99.0</v>
      </c>
      <c r="C4" s="3">
        <v>7.0</v>
      </c>
      <c r="D4" s="3">
        <v>10.0</v>
      </c>
      <c r="E4" s="18" t="s">
        <v>38</v>
      </c>
      <c r="F4" s="3" t="s">
        <v>17</v>
      </c>
      <c r="G4" s="19" t="s">
        <v>39</v>
      </c>
      <c r="H4" s="3" t="s">
        <v>29</v>
      </c>
      <c r="I4" s="3">
        <v>0.0</v>
      </c>
      <c r="J4" s="5"/>
      <c r="K4" s="3" t="s">
        <v>40</v>
      </c>
      <c r="L4" s="3" t="s">
        <v>41</v>
      </c>
      <c r="M4" s="3" t="s">
        <v>42</v>
      </c>
      <c r="N4" s="3" t="s">
        <v>43</v>
      </c>
      <c r="O4" s="3" t="s">
        <v>40</v>
      </c>
      <c r="P4" s="3" t="s">
        <v>44</v>
      </c>
      <c r="Q4" s="20" t="s">
        <v>45</v>
      </c>
      <c r="R4" s="21"/>
      <c r="S4" s="21"/>
      <c r="T4" s="21"/>
      <c r="U4" s="7">
        <f t="shared" si="4"/>
        <v>1</v>
      </c>
      <c r="V4" s="7">
        <f t="shared" si="5"/>
        <v>2</v>
      </c>
      <c r="W4" s="7">
        <f t="shared" si="6"/>
        <v>0</v>
      </c>
      <c r="X4" s="7">
        <f t="shared" si="7"/>
        <v>0</v>
      </c>
      <c r="Y4" s="7">
        <f t="shared" si="1"/>
        <v>2</v>
      </c>
      <c r="Z4" s="8">
        <f t="shared" si="2"/>
        <v>0.6666666667</v>
      </c>
      <c r="AA4" s="8">
        <f t="shared" si="3"/>
        <v>0.6666666667</v>
      </c>
      <c r="AB4" s="5"/>
      <c r="AC4" s="5"/>
      <c r="AD4" s="5"/>
      <c r="AE4" s="5"/>
    </row>
    <row r="5">
      <c r="A5" s="9">
        <v>3.0</v>
      </c>
      <c r="B5" s="9">
        <v>3.0</v>
      </c>
      <c r="C5" s="9">
        <v>3.0</v>
      </c>
      <c r="D5" s="9">
        <v>12.0</v>
      </c>
      <c r="E5" s="9" t="s">
        <v>46</v>
      </c>
      <c r="F5" s="9" t="s">
        <v>17</v>
      </c>
      <c r="G5" s="11" t="s">
        <v>47</v>
      </c>
      <c r="H5" s="9" t="s">
        <v>26</v>
      </c>
      <c r="I5" s="9">
        <v>1.0</v>
      </c>
      <c r="J5" s="12"/>
      <c r="K5" s="9" t="s">
        <v>23</v>
      </c>
      <c r="L5" s="12"/>
      <c r="M5" s="9" t="s">
        <v>48</v>
      </c>
      <c r="N5" s="9" t="s">
        <v>23</v>
      </c>
      <c r="O5" s="9" t="s">
        <v>48</v>
      </c>
      <c r="P5" s="9" t="s">
        <v>23</v>
      </c>
      <c r="Q5" s="9" t="s">
        <v>48</v>
      </c>
      <c r="R5" s="9" t="s">
        <v>23</v>
      </c>
      <c r="S5" s="9" t="s">
        <v>49</v>
      </c>
      <c r="T5" s="9" t="s">
        <v>50</v>
      </c>
      <c r="U5" s="16">
        <f t="shared" si="4"/>
        <v>1</v>
      </c>
      <c r="V5" s="16">
        <f t="shared" si="5"/>
        <v>3</v>
      </c>
      <c r="W5" s="16">
        <f t="shared" si="6"/>
        <v>0</v>
      </c>
      <c r="X5" s="16">
        <f t="shared" si="7"/>
        <v>0</v>
      </c>
      <c r="Y5" s="16">
        <f t="shared" si="1"/>
        <v>3</v>
      </c>
      <c r="Z5" s="17">
        <f t="shared" si="2"/>
        <v>0.75</v>
      </c>
      <c r="AA5" s="17">
        <f t="shared" si="3"/>
        <v>0.75</v>
      </c>
      <c r="AB5" s="12"/>
      <c r="AC5" s="12"/>
      <c r="AD5" s="12"/>
      <c r="AE5" s="12"/>
    </row>
    <row r="6">
      <c r="A6" s="3">
        <v>23.0</v>
      </c>
      <c r="B6" s="3">
        <v>12.0</v>
      </c>
      <c r="C6" s="3">
        <v>12.0</v>
      </c>
      <c r="D6" s="3">
        <v>12.0</v>
      </c>
      <c r="E6" s="18" t="s">
        <v>51</v>
      </c>
      <c r="F6" s="3" t="s">
        <v>17</v>
      </c>
      <c r="G6" s="19" t="s">
        <v>52</v>
      </c>
      <c r="H6" s="3" t="s">
        <v>26</v>
      </c>
      <c r="I6" s="5"/>
      <c r="J6" s="5"/>
      <c r="K6" s="3" t="s">
        <v>53</v>
      </c>
      <c r="L6" s="3" t="s">
        <v>54</v>
      </c>
      <c r="M6" s="3" t="s">
        <v>48</v>
      </c>
      <c r="N6" s="3" t="s">
        <v>23</v>
      </c>
      <c r="O6" s="3" t="s">
        <v>55</v>
      </c>
      <c r="P6" s="20" t="s">
        <v>56</v>
      </c>
      <c r="Q6" s="21"/>
      <c r="R6" s="21"/>
      <c r="S6" s="21"/>
      <c r="T6" s="21"/>
      <c r="U6" s="7">
        <f t="shared" si="4"/>
        <v>1</v>
      </c>
      <c r="V6" s="7">
        <f t="shared" si="5"/>
        <v>4</v>
      </c>
      <c r="W6" s="7">
        <f t="shared" si="6"/>
        <v>0</v>
      </c>
      <c r="X6" s="7">
        <f t="shared" si="7"/>
        <v>0</v>
      </c>
      <c r="Y6" s="7">
        <f t="shared" si="1"/>
        <v>4</v>
      </c>
      <c r="Z6" s="8">
        <f t="shared" si="2"/>
        <v>0.8</v>
      </c>
      <c r="AA6" s="8">
        <f t="shared" si="3"/>
        <v>0.8</v>
      </c>
      <c r="AB6" s="5"/>
      <c r="AC6" s="5"/>
      <c r="AD6" s="5"/>
      <c r="AE6" s="5"/>
    </row>
    <row r="7" ht="1.5" customHeight="1">
      <c r="A7" s="9">
        <v>26.0</v>
      </c>
      <c r="B7" s="9">
        <v>18.0</v>
      </c>
      <c r="C7" s="9">
        <v>18.0</v>
      </c>
      <c r="D7" s="9">
        <v>12.0</v>
      </c>
      <c r="E7" s="10" t="s">
        <v>57</v>
      </c>
      <c r="F7" s="9" t="s">
        <v>17</v>
      </c>
      <c r="G7" s="11" t="s">
        <v>58</v>
      </c>
      <c r="H7" s="9" t="s">
        <v>29</v>
      </c>
      <c r="I7" s="9">
        <v>0.0</v>
      </c>
      <c r="J7" s="12"/>
      <c r="K7" s="9" t="s">
        <v>23</v>
      </c>
      <c r="L7" s="9" t="s">
        <v>23</v>
      </c>
      <c r="M7" s="9" t="s">
        <v>59</v>
      </c>
      <c r="N7" s="9" t="s">
        <v>60</v>
      </c>
      <c r="O7" s="9" t="s">
        <v>61</v>
      </c>
      <c r="P7" s="9" t="s">
        <v>62</v>
      </c>
      <c r="Q7" s="9" t="s">
        <v>63</v>
      </c>
      <c r="R7" s="14" t="s">
        <v>64</v>
      </c>
      <c r="S7" s="15"/>
      <c r="T7" s="15"/>
      <c r="U7" s="16">
        <f t="shared" si="4"/>
        <v>1</v>
      </c>
      <c r="V7" s="16">
        <f t="shared" si="5"/>
        <v>5</v>
      </c>
      <c r="W7" s="16">
        <f t="shared" si="6"/>
        <v>0</v>
      </c>
      <c r="X7" s="16">
        <f t="shared" si="7"/>
        <v>0</v>
      </c>
      <c r="Y7" s="16">
        <f t="shared" si="1"/>
        <v>5</v>
      </c>
      <c r="Z7" s="17">
        <f t="shared" si="2"/>
        <v>0.8333333333</v>
      </c>
      <c r="AA7" s="17">
        <f t="shared" si="3"/>
        <v>0.8333333333</v>
      </c>
      <c r="AB7" s="12"/>
      <c r="AC7" s="12"/>
      <c r="AD7" s="12"/>
      <c r="AE7" s="12"/>
    </row>
    <row r="8">
      <c r="A8" s="3">
        <v>28.0</v>
      </c>
      <c r="B8" s="3">
        <v>19.0</v>
      </c>
      <c r="C8" s="3">
        <v>19.0</v>
      </c>
      <c r="D8" s="3">
        <v>12.0</v>
      </c>
      <c r="E8" s="18" t="s">
        <v>65</v>
      </c>
      <c r="F8" s="3" t="s">
        <v>17</v>
      </c>
      <c r="G8" s="19" t="s">
        <v>66</v>
      </c>
      <c r="H8" s="3" t="s">
        <v>26</v>
      </c>
      <c r="I8" s="3">
        <v>0.0</v>
      </c>
      <c r="J8" s="3">
        <v>1.0</v>
      </c>
      <c r="K8" s="3" t="s">
        <v>23</v>
      </c>
      <c r="L8" s="3" t="s">
        <v>23</v>
      </c>
      <c r="M8" s="3" t="s">
        <v>67</v>
      </c>
      <c r="N8" s="3" t="s">
        <v>68</v>
      </c>
      <c r="O8" s="3" t="s">
        <v>23</v>
      </c>
      <c r="P8" s="3" t="s">
        <v>23</v>
      </c>
      <c r="Q8" s="3" t="s">
        <v>69</v>
      </c>
      <c r="R8" s="3" t="s">
        <v>70</v>
      </c>
      <c r="S8" s="20" t="s">
        <v>45</v>
      </c>
      <c r="T8" s="21"/>
      <c r="U8" s="7">
        <f t="shared" si="4"/>
        <v>1</v>
      </c>
      <c r="V8" s="7">
        <f t="shared" si="5"/>
        <v>6</v>
      </c>
      <c r="W8" s="7">
        <f t="shared" si="6"/>
        <v>0</v>
      </c>
      <c r="X8" s="7">
        <f t="shared" si="7"/>
        <v>0</v>
      </c>
      <c r="Y8" s="7">
        <f t="shared" si="1"/>
        <v>6</v>
      </c>
      <c r="Z8" s="8">
        <f t="shared" si="2"/>
        <v>0.8571428571</v>
      </c>
      <c r="AA8" s="8">
        <f t="shared" si="3"/>
        <v>0.8571428571</v>
      </c>
      <c r="AB8" s="5"/>
      <c r="AC8" s="5"/>
      <c r="AD8" s="5"/>
      <c r="AE8" s="5"/>
    </row>
    <row r="9">
      <c r="A9" s="9">
        <v>10.0</v>
      </c>
      <c r="B9" s="9">
        <v>10.0</v>
      </c>
      <c r="C9" s="9">
        <v>21.0</v>
      </c>
      <c r="D9" s="9" t="s">
        <v>71</v>
      </c>
      <c r="E9" s="10" t="s">
        <v>72</v>
      </c>
      <c r="F9" s="9" t="s">
        <v>17</v>
      </c>
      <c r="G9" s="11" t="s">
        <v>73</v>
      </c>
      <c r="H9" s="9" t="s">
        <v>29</v>
      </c>
      <c r="I9" s="9">
        <v>0.0</v>
      </c>
      <c r="J9" s="12"/>
      <c r="K9" s="9" t="s">
        <v>23</v>
      </c>
      <c r="L9" s="9" t="s">
        <v>23</v>
      </c>
      <c r="M9" s="9" t="s">
        <v>74</v>
      </c>
      <c r="N9" s="9" t="s">
        <v>75</v>
      </c>
      <c r="O9" s="9" t="s">
        <v>76</v>
      </c>
      <c r="P9" s="9" t="s">
        <v>77</v>
      </c>
      <c r="Q9" s="9" t="s">
        <v>30</v>
      </c>
      <c r="R9" s="9" t="s">
        <v>78</v>
      </c>
      <c r="S9" s="9" t="s">
        <v>79</v>
      </c>
      <c r="T9" s="14" t="s">
        <v>80</v>
      </c>
      <c r="U9" s="16">
        <f t="shared" si="4"/>
        <v>1</v>
      </c>
      <c r="V9" s="16">
        <f t="shared" si="5"/>
        <v>7</v>
      </c>
      <c r="W9" s="16">
        <f t="shared" si="6"/>
        <v>0</v>
      </c>
      <c r="X9" s="16">
        <f t="shared" si="7"/>
        <v>0</v>
      </c>
      <c r="Y9" s="16">
        <f t="shared" si="1"/>
        <v>7</v>
      </c>
      <c r="Z9" s="17">
        <f t="shared" si="2"/>
        <v>0.875</v>
      </c>
      <c r="AA9" s="17">
        <f t="shared" si="3"/>
        <v>0.875</v>
      </c>
      <c r="AB9" s="12"/>
      <c r="AC9" s="12"/>
      <c r="AD9" s="12"/>
      <c r="AE9" s="12"/>
    </row>
    <row r="10">
      <c r="A10" s="3">
        <v>12.0</v>
      </c>
      <c r="B10" s="3">
        <v>14.0</v>
      </c>
      <c r="C10" s="3">
        <v>14.0</v>
      </c>
      <c r="D10" s="3">
        <v>4.0</v>
      </c>
      <c r="E10" s="18" t="s">
        <v>81</v>
      </c>
      <c r="F10" s="3" t="s">
        <v>82</v>
      </c>
      <c r="G10" s="20" t="s">
        <v>83</v>
      </c>
      <c r="H10" s="3" t="s">
        <v>26</v>
      </c>
      <c r="I10" s="3">
        <v>0.0</v>
      </c>
      <c r="J10" s="5"/>
      <c r="K10" s="3" t="s">
        <v>84</v>
      </c>
      <c r="L10" s="3" t="s">
        <v>85</v>
      </c>
      <c r="M10" s="3" t="s">
        <v>86</v>
      </c>
      <c r="N10" s="20" t="s">
        <v>87</v>
      </c>
      <c r="O10" s="21"/>
      <c r="P10" s="21"/>
      <c r="Q10" s="21"/>
      <c r="R10" s="21"/>
      <c r="S10" s="21"/>
      <c r="T10" s="21"/>
      <c r="U10" s="7">
        <f t="shared" si="4"/>
        <v>1</v>
      </c>
      <c r="V10" s="7">
        <f t="shared" si="5"/>
        <v>7</v>
      </c>
      <c r="W10" s="7">
        <f t="shared" si="6"/>
        <v>0</v>
      </c>
      <c r="X10" s="7">
        <f t="shared" si="7"/>
        <v>1</v>
      </c>
      <c r="Y10" s="7">
        <f t="shared" si="1"/>
        <v>8</v>
      </c>
      <c r="Z10" s="8">
        <f t="shared" si="2"/>
        <v>0.8888888889</v>
      </c>
      <c r="AA10" s="8">
        <f t="shared" si="3"/>
        <v>0.7777777778</v>
      </c>
      <c r="AB10" s="5"/>
      <c r="AC10" s="5"/>
      <c r="AD10" s="5"/>
      <c r="AE10" s="5"/>
    </row>
    <row r="11">
      <c r="A11" s="9">
        <v>22.0</v>
      </c>
      <c r="B11" s="9">
        <v>22.0</v>
      </c>
      <c r="C11" s="9">
        <v>22.0</v>
      </c>
      <c r="D11" s="9">
        <v>2.0</v>
      </c>
      <c r="E11" s="10" t="s">
        <v>88</v>
      </c>
      <c r="F11" s="9" t="s">
        <v>16</v>
      </c>
      <c r="G11" s="22" t="s">
        <v>89</v>
      </c>
      <c r="H11" s="9" t="s">
        <v>26</v>
      </c>
      <c r="I11" s="9">
        <v>0.0</v>
      </c>
      <c r="J11" s="12"/>
      <c r="K11" s="9" t="s">
        <v>90</v>
      </c>
      <c r="L11" s="9" t="s">
        <v>91</v>
      </c>
      <c r="M11" s="9" t="s">
        <v>48</v>
      </c>
      <c r="N11" s="9" t="s">
        <v>23</v>
      </c>
      <c r="O11" s="9" t="s">
        <v>92</v>
      </c>
      <c r="P11" s="9" t="s">
        <v>93</v>
      </c>
      <c r="Q11" s="9" t="s">
        <v>94</v>
      </c>
      <c r="R11" s="14" t="s">
        <v>95</v>
      </c>
      <c r="S11" s="15"/>
      <c r="T11" s="15"/>
      <c r="U11" s="16">
        <f t="shared" si="4"/>
        <v>2</v>
      </c>
      <c r="V11" s="16">
        <f t="shared" si="5"/>
        <v>7</v>
      </c>
      <c r="W11" s="16">
        <f t="shared" si="6"/>
        <v>0</v>
      </c>
      <c r="X11" s="16">
        <f t="shared" si="7"/>
        <v>1</v>
      </c>
      <c r="Y11" s="16">
        <f t="shared" si="1"/>
        <v>8</v>
      </c>
      <c r="Z11" s="17">
        <f t="shared" si="2"/>
        <v>0.8</v>
      </c>
      <c r="AA11" s="17">
        <f t="shared" si="3"/>
        <v>0.7</v>
      </c>
      <c r="AB11" s="12"/>
      <c r="AC11" s="12"/>
      <c r="AD11" s="12"/>
      <c r="AE11" s="12"/>
    </row>
    <row r="12">
      <c r="A12" s="3">
        <v>2.0</v>
      </c>
      <c r="B12" s="3">
        <v>2.0</v>
      </c>
      <c r="C12" s="3">
        <v>2.0</v>
      </c>
      <c r="D12" s="3">
        <v>3.0</v>
      </c>
      <c r="E12" s="18" t="s">
        <v>96</v>
      </c>
      <c r="F12" s="3" t="s">
        <v>16</v>
      </c>
      <c r="G12" s="4" t="s">
        <v>97</v>
      </c>
      <c r="H12" s="3" t="s">
        <v>26</v>
      </c>
      <c r="I12" s="3">
        <v>0.0</v>
      </c>
      <c r="J12" s="3">
        <v>1.0</v>
      </c>
      <c r="K12" s="3" t="s">
        <v>98</v>
      </c>
      <c r="L12" s="3" t="s">
        <v>99</v>
      </c>
      <c r="M12" s="3" t="s">
        <v>100</v>
      </c>
      <c r="N12" s="3" t="s">
        <v>101</v>
      </c>
      <c r="O12" s="6" t="s">
        <v>102</v>
      </c>
      <c r="P12" s="3" t="s">
        <v>103</v>
      </c>
      <c r="Q12" s="3" t="s">
        <v>104</v>
      </c>
      <c r="R12" s="3" t="s">
        <v>105</v>
      </c>
      <c r="S12" s="3" t="s">
        <v>106</v>
      </c>
      <c r="T12" s="20" t="s">
        <v>107</v>
      </c>
      <c r="U12" s="7">
        <f t="shared" si="4"/>
        <v>3</v>
      </c>
      <c r="V12" s="7">
        <f t="shared" si="5"/>
        <v>7</v>
      </c>
      <c r="W12" s="7">
        <f t="shared" si="6"/>
        <v>0</v>
      </c>
      <c r="X12" s="7">
        <f t="shared" si="7"/>
        <v>1</v>
      </c>
      <c r="Y12" s="7">
        <f t="shared" si="1"/>
        <v>8</v>
      </c>
      <c r="Z12" s="8">
        <f t="shared" si="2"/>
        <v>0.7272727273</v>
      </c>
      <c r="AA12" s="8">
        <f t="shared" si="3"/>
        <v>0.6363636364</v>
      </c>
      <c r="AB12" s="5"/>
      <c r="AC12" s="5"/>
      <c r="AD12" s="5"/>
      <c r="AE12" s="5"/>
    </row>
    <row r="13" ht="1.5" customHeight="1">
      <c r="A13" s="9">
        <v>14.0</v>
      </c>
      <c r="B13" s="9">
        <v>16.0</v>
      </c>
      <c r="C13" s="9">
        <v>16.0</v>
      </c>
      <c r="D13" s="9">
        <v>3.0</v>
      </c>
      <c r="E13" s="9" t="s">
        <v>108</v>
      </c>
      <c r="F13" s="9" t="s">
        <v>16</v>
      </c>
      <c r="G13" s="22" t="s">
        <v>109</v>
      </c>
      <c r="H13" s="9" t="s">
        <v>26</v>
      </c>
      <c r="I13" s="9">
        <v>1.0</v>
      </c>
      <c r="J13" s="9">
        <v>0.0</v>
      </c>
      <c r="K13" s="9" t="s">
        <v>110</v>
      </c>
      <c r="L13" s="9" t="s">
        <v>111</v>
      </c>
      <c r="M13" s="9" t="s">
        <v>112</v>
      </c>
      <c r="N13" s="9" t="s">
        <v>113</v>
      </c>
      <c r="O13" s="13" t="s">
        <v>114</v>
      </c>
      <c r="P13" s="9" t="s">
        <v>115</v>
      </c>
      <c r="Q13" s="23" t="s">
        <v>116</v>
      </c>
      <c r="R13" s="9" t="s">
        <v>117</v>
      </c>
      <c r="S13" s="9" t="s">
        <v>118</v>
      </c>
      <c r="T13" s="9" t="s">
        <v>119</v>
      </c>
      <c r="U13" s="16">
        <f t="shared" si="4"/>
        <v>4</v>
      </c>
      <c r="V13" s="16">
        <f t="shared" si="5"/>
        <v>7</v>
      </c>
      <c r="W13" s="16">
        <f t="shared" si="6"/>
        <v>0</v>
      </c>
      <c r="X13" s="16">
        <f t="shared" si="7"/>
        <v>1</v>
      </c>
      <c r="Y13" s="16">
        <f t="shared" si="1"/>
        <v>8</v>
      </c>
      <c r="Z13" s="17">
        <f t="shared" si="2"/>
        <v>0.6666666667</v>
      </c>
      <c r="AA13" s="17">
        <f t="shared" si="3"/>
        <v>0.5833333333</v>
      </c>
      <c r="AB13" s="12"/>
      <c r="AC13" s="12"/>
      <c r="AD13" s="12"/>
      <c r="AE13" s="12"/>
    </row>
    <row r="14">
      <c r="A14" s="3">
        <v>11.0</v>
      </c>
      <c r="B14" s="3">
        <v>11.0</v>
      </c>
      <c r="C14" s="3">
        <v>11.0</v>
      </c>
      <c r="D14" s="3">
        <v>4.0</v>
      </c>
      <c r="E14" s="18" t="s">
        <v>120</v>
      </c>
      <c r="F14" s="3" t="s">
        <v>16</v>
      </c>
      <c r="G14" s="4" t="s">
        <v>121</v>
      </c>
      <c r="H14" s="3" t="s">
        <v>26</v>
      </c>
      <c r="I14" s="3">
        <v>0.0</v>
      </c>
      <c r="J14" s="5"/>
      <c r="K14" s="3" t="s">
        <v>23</v>
      </c>
      <c r="L14" s="5"/>
      <c r="M14" s="3" t="s">
        <v>23</v>
      </c>
      <c r="N14" s="3">
        <v>4.0</v>
      </c>
      <c r="O14" s="20" t="s">
        <v>45</v>
      </c>
      <c r="P14" s="21"/>
      <c r="Q14" s="21"/>
      <c r="R14" s="21"/>
      <c r="S14" s="21"/>
      <c r="T14" s="21"/>
      <c r="U14" s="7">
        <f t="shared" si="4"/>
        <v>5</v>
      </c>
      <c r="V14" s="7">
        <f t="shared" si="5"/>
        <v>7</v>
      </c>
      <c r="W14" s="7">
        <f t="shared" si="6"/>
        <v>0</v>
      </c>
      <c r="X14" s="7">
        <f t="shared" si="7"/>
        <v>1</v>
      </c>
      <c r="Y14" s="7">
        <f t="shared" si="1"/>
        <v>8</v>
      </c>
      <c r="Z14" s="8">
        <f t="shared" si="2"/>
        <v>0.6153846154</v>
      </c>
      <c r="AA14" s="8">
        <f t="shared" si="3"/>
        <v>0.5384615385</v>
      </c>
      <c r="AB14" s="5"/>
      <c r="AC14" s="5"/>
      <c r="AD14" s="5"/>
      <c r="AE14" s="5"/>
    </row>
    <row r="15">
      <c r="A15" s="9">
        <v>5.0</v>
      </c>
      <c r="B15" s="9">
        <v>5.0</v>
      </c>
      <c r="C15" s="9">
        <v>5.0</v>
      </c>
      <c r="D15" s="9">
        <v>6.0</v>
      </c>
      <c r="E15" s="9" t="s">
        <v>53</v>
      </c>
      <c r="F15" s="9" t="s">
        <v>16</v>
      </c>
      <c r="G15" s="22" t="s">
        <v>54</v>
      </c>
      <c r="H15" s="9" t="s">
        <v>26</v>
      </c>
      <c r="I15" s="9">
        <v>1.0</v>
      </c>
      <c r="J15" s="9">
        <v>1.0</v>
      </c>
      <c r="K15" s="9" t="s">
        <v>106</v>
      </c>
      <c r="L15" s="9" t="s">
        <v>99</v>
      </c>
      <c r="M15" s="13" t="s">
        <v>108</v>
      </c>
      <c r="N15" s="9" t="s">
        <v>122</v>
      </c>
      <c r="O15" s="9" t="s">
        <v>123</v>
      </c>
      <c r="P15" s="9" t="s">
        <v>124</v>
      </c>
      <c r="Q15" s="9" t="s">
        <v>65</v>
      </c>
      <c r="R15" s="9" t="s">
        <v>125</v>
      </c>
      <c r="S15" s="9" t="s">
        <v>126</v>
      </c>
      <c r="T15" s="9" t="s">
        <v>117</v>
      </c>
      <c r="U15" s="16">
        <f t="shared" si="4"/>
        <v>6</v>
      </c>
      <c r="V15" s="16">
        <f t="shared" si="5"/>
        <v>7</v>
      </c>
      <c r="W15" s="16">
        <f t="shared" si="6"/>
        <v>0</v>
      </c>
      <c r="X15" s="16">
        <f t="shared" si="7"/>
        <v>1</v>
      </c>
      <c r="Y15" s="16">
        <f t="shared" si="1"/>
        <v>8</v>
      </c>
      <c r="Z15" s="17">
        <f t="shared" si="2"/>
        <v>0.5714285714</v>
      </c>
      <c r="AA15" s="17">
        <f t="shared" si="3"/>
        <v>0.5</v>
      </c>
      <c r="AB15" s="12"/>
      <c r="AC15" s="12"/>
      <c r="AD15" s="12"/>
      <c r="AE15" s="12"/>
    </row>
    <row r="16">
      <c r="A16" s="3">
        <v>8.0</v>
      </c>
      <c r="B16" s="3">
        <v>8.0</v>
      </c>
      <c r="C16" s="3">
        <v>8.0</v>
      </c>
      <c r="D16" s="3">
        <v>6.0</v>
      </c>
      <c r="E16" s="18" t="s">
        <v>127</v>
      </c>
      <c r="F16" s="3" t="s">
        <v>16</v>
      </c>
      <c r="G16" s="4" t="s">
        <v>128</v>
      </c>
      <c r="H16" s="3" t="s">
        <v>26</v>
      </c>
      <c r="I16" s="3">
        <v>0.0</v>
      </c>
      <c r="J16" s="3">
        <v>0.0</v>
      </c>
      <c r="K16" s="3" t="s">
        <v>51</v>
      </c>
      <c r="L16" s="3" t="s">
        <v>129</v>
      </c>
      <c r="M16" s="3" t="s">
        <v>123</v>
      </c>
      <c r="N16" s="3" t="s">
        <v>99</v>
      </c>
      <c r="O16" s="24"/>
      <c r="P16" s="20" t="s">
        <v>130</v>
      </c>
      <c r="Q16" s="21"/>
      <c r="R16" s="21"/>
      <c r="S16" s="21"/>
      <c r="T16" s="21"/>
      <c r="U16" s="7">
        <f t="shared" si="4"/>
        <v>7</v>
      </c>
      <c r="V16" s="7">
        <f t="shared" si="5"/>
        <v>7</v>
      </c>
      <c r="W16" s="7">
        <f t="shared" si="6"/>
        <v>0</v>
      </c>
      <c r="X16" s="7">
        <f t="shared" si="7"/>
        <v>1</v>
      </c>
      <c r="Y16" s="7">
        <f t="shared" si="1"/>
        <v>8</v>
      </c>
      <c r="Z16" s="8">
        <f t="shared" si="2"/>
        <v>0.5333333333</v>
      </c>
      <c r="AA16" s="8">
        <f t="shared" si="3"/>
        <v>0.4666666667</v>
      </c>
      <c r="AB16" s="5"/>
      <c r="AC16" s="5"/>
      <c r="AD16" s="5"/>
      <c r="AE16" s="5"/>
    </row>
    <row r="17">
      <c r="A17" s="9">
        <v>9.0</v>
      </c>
      <c r="B17" s="9">
        <v>9.0</v>
      </c>
      <c r="C17" s="9">
        <v>9.0</v>
      </c>
      <c r="D17" s="9">
        <v>6.0</v>
      </c>
      <c r="E17" s="10" t="s">
        <v>131</v>
      </c>
      <c r="F17" s="9" t="s">
        <v>16</v>
      </c>
      <c r="G17" s="22" t="s">
        <v>132</v>
      </c>
      <c r="H17" s="9" t="s">
        <v>26</v>
      </c>
      <c r="I17" s="9">
        <v>0.0</v>
      </c>
      <c r="J17" s="9">
        <v>1.0</v>
      </c>
      <c r="K17" s="9" t="s">
        <v>98</v>
      </c>
      <c r="L17" s="9" t="s">
        <v>99</v>
      </c>
      <c r="M17" s="9" t="s">
        <v>133</v>
      </c>
      <c r="N17" s="9" t="s">
        <v>134</v>
      </c>
      <c r="O17" s="9" t="s">
        <v>106</v>
      </c>
      <c r="P17" s="14" t="s">
        <v>135</v>
      </c>
      <c r="Q17" s="15"/>
      <c r="R17" s="15"/>
      <c r="S17" s="15"/>
      <c r="T17" s="15"/>
      <c r="U17" s="16">
        <f t="shared" si="4"/>
        <v>8</v>
      </c>
      <c r="V17" s="16">
        <f t="shared" si="5"/>
        <v>7</v>
      </c>
      <c r="W17" s="16">
        <f t="shared" si="6"/>
        <v>0</v>
      </c>
      <c r="X17" s="16">
        <f t="shared" si="7"/>
        <v>1</v>
      </c>
      <c r="Y17" s="16">
        <f t="shared" si="1"/>
        <v>8</v>
      </c>
      <c r="Z17" s="17">
        <f t="shared" si="2"/>
        <v>0.5</v>
      </c>
      <c r="AA17" s="17">
        <f t="shared" si="3"/>
        <v>0.4375</v>
      </c>
      <c r="AB17" s="12"/>
      <c r="AC17" s="12"/>
      <c r="AD17" s="12"/>
      <c r="AE17" s="12"/>
    </row>
    <row r="18">
      <c r="A18" s="3">
        <v>16.0</v>
      </c>
      <c r="B18" s="3">
        <v>17.0</v>
      </c>
      <c r="C18" s="3">
        <v>17.0</v>
      </c>
      <c r="D18" s="3">
        <v>10.0</v>
      </c>
      <c r="E18" s="3" t="s">
        <v>136</v>
      </c>
      <c r="F18" s="3" t="s">
        <v>16</v>
      </c>
      <c r="G18" s="4" t="s">
        <v>39</v>
      </c>
      <c r="H18" s="3" t="s">
        <v>26</v>
      </c>
      <c r="I18" s="3">
        <v>1.0</v>
      </c>
      <c r="J18" s="5"/>
      <c r="K18" s="3" t="s">
        <v>137</v>
      </c>
      <c r="L18" s="3" t="s">
        <v>138</v>
      </c>
      <c r="M18" s="3" t="s">
        <v>137</v>
      </c>
      <c r="N18" s="3" t="s">
        <v>138</v>
      </c>
      <c r="O18" s="3" t="s">
        <v>139</v>
      </c>
      <c r="P18" s="3" t="s">
        <v>140</v>
      </c>
      <c r="Q18" s="3" t="s">
        <v>139</v>
      </c>
      <c r="R18" s="3" t="s">
        <v>141</v>
      </c>
      <c r="S18" s="3" t="s">
        <v>142</v>
      </c>
      <c r="T18" s="3" t="s">
        <v>143</v>
      </c>
      <c r="U18" s="7">
        <f t="shared" si="4"/>
        <v>9</v>
      </c>
      <c r="V18" s="7">
        <f t="shared" si="5"/>
        <v>7</v>
      </c>
      <c r="W18" s="7">
        <f t="shared" si="6"/>
        <v>0</v>
      </c>
      <c r="X18" s="7">
        <f t="shared" si="7"/>
        <v>1</v>
      </c>
      <c r="Y18" s="7">
        <f t="shared" si="1"/>
        <v>8</v>
      </c>
      <c r="Z18" s="8">
        <f t="shared" si="2"/>
        <v>0.4705882353</v>
      </c>
      <c r="AA18" s="8">
        <f t="shared" si="3"/>
        <v>0.4117647059</v>
      </c>
      <c r="AB18" s="5"/>
      <c r="AC18" s="5"/>
      <c r="AD18" s="5"/>
      <c r="AE18" s="5"/>
    </row>
    <row r="19">
      <c r="A19" s="9">
        <v>17.0</v>
      </c>
      <c r="B19" s="9">
        <v>13.0</v>
      </c>
      <c r="C19" s="9">
        <v>13.0</v>
      </c>
      <c r="D19" s="9">
        <v>12.0</v>
      </c>
      <c r="E19" s="9" t="s">
        <v>144</v>
      </c>
      <c r="F19" s="9" t="s">
        <v>16</v>
      </c>
      <c r="G19" s="22" t="s">
        <v>145</v>
      </c>
      <c r="H19" s="9" t="s">
        <v>26</v>
      </c>
      <c r="I19" s="9">
        <v>1.0</v>
      </c>
      <c r="J19" s="12"/>
      <c r="K19" s="9" t="s">
        <v>23</v>
      </c>
      <c r="L19" s="9" t="s">
        <v>23</v>
      </c>
      <c r="M19" s="9" t="s">
        <v>48</v>
      </c>
      <c r="N19" s="9" t="s">
        <v>23</v>
      </c>
      <c r="O19" s="9" t="s">
        <v>146</v>
      </c>
      <c r="P19" s="9" t="s">
        <v>147</v>
      </c>
      <c r="Q19" s="9" t="s">
        <v>148</v>
      </c>
      <c r="R19" s="9" t="s">
        <v>149</v>
      </c>
      <c r="S19" s="9" t="s">
        <v>150</v>
      </c>
      <c r="T19" s="9" t="s">
        <v>151</v>
      </c>
      <c r="U19" s="16">
        <f t="shared" si="4"/>
        <v>10</v>
      </c>
      <c r="V19" s="16">
        <f t="shared" si="5"/>
        <v>7</v>
      </c>
      <c r="W19" s="16">
        <f t="shared" si="6"/>
        <v>0</v>
      </c>
      <c r="X19" s="16">
        <f t="shared" si="7"/>
        <v>1</v>
      </c>
      <c r="Y19" s="16">
        <f t="shared" si="1"/>
        <v>8</v>
      </c>
      <c r="Z19" s="17">
        <f t="shared" si="2"/>
        <v>0.4444444444</v>
      </c>
      <c r="AA19" s="17">
        <f t="shared" si="3"/>
        <v>0.3888888889</v>
      </c>
      <c r="AB19" s="12"/>
      <c r="AC19" s="12"/>
      <c r="AD19" s="12"/>
      <c r="AE19" s="12"/>
    </row>
    <row r="20">
      <c r="A20" s="3">
        <v>6.0</v>
      </c>
      <c r="B20" s="3">
        <v>6.0</v>
      </c>
      <c r="C20" s="3">
        <v>6.0</v>
      </c>
      <c r="D20" s="3" t="s">
        <v>71</v>
      </c>
      <c r="E20" s="18" t="s">
        <v>152</v>
      </c>
      <c r="F20" s="3" t="s">
        <v>16</v>
      </c>
      <c r="G20" s="4" t="s">
        <v>153</v>
      </c>
      <c r="H20" s="3" t="s">
        <v>26</v>
      </c>
      <c r="I20" s="3">
        <v>0.0</v>
      </c>
      <c r="J20" s="5"/>
      <c r="K20" s="3" t="s">
        <v>154</v>
      </c>
      <c r="L20" s="3" t="s">
        <v>155</v>
      </c>
      <c r="M20" s="3" t="s">
        <v>156</v>
      </c>
      <c r="N20" s="20" t="s">
        <v>157</v>
      </c>
      <c r="O20" s="21"/>
      <c r="P20" s="21"/>
      <c r="Q20" s="21"/>
      <c r="R20" s="21"/>
      <c r="S20" s="21"/>
      <c r="T20" s="21"/>
      <c r="U20" s="7">
        <f t="shared" si="4"/>
        <v>11</v>
      </c>
      <c r="V20" s="7">
        <f t="shared" si="5"/>
        <v>7</v>
      </c>
      <c r="W20" s="7">
        <f t="shared" si="6"/>
        <v>0</v>
      </c>
      <c r="X20" s="7">
        <f t="shared" si="7"/>
        <v>1</v>
      </c>
      <c r="Y20" s="7">
        <f t="shared" si="1"/>
        <v>8</v>
      </c>
      <c r="Z20" s="8">
        <f t="shared" si="2"/>
        <v>0.4210526316</v>
      </c>
      <c r="AA20" s="8">
        <f t="shared" si="3"/>
        <v>0.3684210526</v>
      </c>
      <c r="AB20" s="5"/>
      <c r="AC20" s="5"/>
      <c r="AD20" s="5"/>
      <c r="AE20" s="5"/>
    </row>
    <row r="21">
      <c r="A21" s="9">
        <v>21.0</v>
      </c>
      <c r="B21" s="9">
        <v>20.0</v>
      </c>
      <c r="C21" s="9">
        <v>20.0</v>
      </c>
      <c r="D21" s="9" t="s">
        <v>71</v>
      </c>
      <c r="E21" s="10" t="s">
        <v>158</v>
      </c>
      <c r="F21" s="9" t="s">
        <v>16</v>
      </c>
      <c r="G21" s="22" t="s">
        <v>153</v>
      </c>
      <c r="H21" s="9" t="s">
        <v>26</v>
      </c>
      <c r="I21" s="9">
        <v>0.0</v>
      </c>
      <c r="J21" s="12"/>
      <c r="K21" s="9" t="s">
        <v>159</v>
      </c>
      <c r="L21" s="9" t="s">
        <v>160</v>
      </c>
      <c r="M21" s="9" t="s">
        <v>161</v>
      </c>
      <c r="N21" s="9" t="s">
        <v>162</v>
      </c>
      <c r="O21" s="9" t="s">
        <v>163</v>
      </c>
      <c r="P21" s="14" t="s">
        <v>164</v>
      </c>
      <c r="Q21" s="15"/>
      <c r="R21" s="15"/>
      <c r="S21" s="15"/>
      <c r="T21" s="15"/>
      <c r="U21" s="16">
        <f t="shared" si="4"/>
        <v>12</v>
      </c>
      <c r="V21" s="16">
        <f t="shared" si="5"/>
        <v>7</v>
      </c>
      <c r="W21" s="16">
        <f t="shared" si="6"/>
        <v>0</v>
      </c>
      <c r="X21" s="16">
        <f t="shared" si="7"/>
        <v>1</v>
      </c>
      <c r="Y21" s="16">
        <f t="shared" si="1"/>
        <v>8</v>
      </c>
      <c r="Z21" s="17">
        <f t="shared" si="2"/>
        <v>0.4</v>
      </c>
      <c r="AA21" s="17">
        <f t="shared" si="3"/>
        <v>0.35</v>
      </c>
      <c r="AB21" s="12"/>
      <c r="AC21" s="12"/>
      <c r="AD21" s="12"/>
      <c r="AE21" s="12"/>
    </row>
    <row r="22">
      <c r="I22" s="25">
        <f>SUM(I2:I21)</f>
        <v>6</v>
      </c>
      <c r="Z22" s="26"/>
      <c r="AA22" s="26"/>
    </row>
    <row r="23">
      <c r="Z23" s="26"/>
      <c r="AA23" s="26"/>
    </row>
    <row r="24">
      <c r="Z24" s="26"/>
      <c r="AA24" s="26"/>
    </row>
    <row r="25">
      <c r="Z25" s="26"/>
      <c r="AA25" s="26"/>
    </row>
    <row r="26">
      <c r="Z26" s="26"/>
      <c r="AA26" s="26"/>
    </row>
    <row r="27">
      <c r="Z27" s="26"/>
      <c r="AA27" s="26"/>
    </row>
    <row r="28">
      <c r="Z28" s="26"/>
      <c r="AA28" s="26"/>
    </row>
    <row r="29">
      <c r="Z29" s="26"/>
      <c r="AA29" s="26"/>
    </row>
    <row r="30">
      <c r="Z30" s="26"/>
      <c r="AA30" s="26"/>
    </row>
    <row r="31">
      <c r="Z31" s="26"/>
      <c r="AA31" s="26"/>
    </row>
    <row r="32">
      <c r="Z32" s="26"/>
      <c r="AA32" s="26"/>
    </row>
    <row r="33">
      <c r="Z33" s="26"/>
      <c r="AA33" s="26"/>
    </row>
    <row r="34">
      <c r="A34" s="1">
        <v>4.0</v>
      </c>
      <c r="B34" s="1">
        <v>4.0</v>
      </c>
      <c r="C34" s="1">
        <v>4.0</v>
      </c>
      <c r="D34" s="1">
        <v>7.0</v>
      </c>
      <c r="E34" s="27" t="s">
        <v>165</v>
      </c>
      <c r="F34" s="1" t="s">
        <v>17</v>
      </c>
      <c r="G34" s="28" t="s">
        <v>166</v>
      </c>
      <c r="H34" s="1" t="s">
        <v>29</v>
      </c>
      <c r="K34" s="1" t="s">
        <v>106</v>
      </c>
      <c r="L34" s="1" t="s">
        <v>99</v>
      </c>
      <c r="U34" s="25">
        <f t="shared" ref="U34:U42" si="8">IF(F34="Town",1,0)+OFFSET(U34,-1,0)</f>
        <v>0</v>
      </c>
      <c r="V34" s="25">
        <f t="shared" ref="V34:V42" si="9">IF(F34="Mafia",1,0)+OFFSET(V34,-1,0)</f>
        <v>1</v>
      </c>
      <c r="W34" s="25">
        <f t="shared" ref="W34:W42" si="10">IF(F34="Yakuza",1,0)+OFFSET(W34,-1,0)</f>
        <v>0</v>
      </c>
      <c r="X34" s="25">
        <f t="shared" ref="X34:X42" si="11">IF(F34="None",1,0)+OFFSET(X34,-1,0)</f>
        <v>0</v>
      </c>
      <c r="Y34" s="25">
        <f t="shared" ref="Y34:Y42" si="12">SUM(V34:X34)</f>
        <v>1</v>
      </c>
      <c r="Z34" s="26">
        <f t="shared" ref="Z34:Z42" si="13">Y34/(U34+Y34)</f>
        <v>1</v>
      </c>
      <c r="AA34" s="26">
        <f t="shared" ref="AA34:AA42" si="14">V34/(U34+Y34)</f>
        <v>1</v>
      </c>
    </row>
    <row r="35">
      <c r="A35" s="1">
        <v>18.0</v>
      </c>
      <c r="B35" s="1">
        <v>21.0</v>
      </c>
      <c r="C35" s="1">
        <v>10.0</v>
      </c>
      <c r="D35" s="1">
        <v>12.0</v>
      </c>
      <c r="E35" s="27" t="s">
        <v>167</v>
      </c>
      <c r="F35" s="1" t="s">
        <v>17</v>
      </c>
      <c r="G35" s="28" t="s">
        <v>66</v>
      </c>
      <c r="H35" s="1" t="s">
        <v>26</v>
      </c>
      <c r="J35" s="1">
        <v>1.0</v>
      </c>
      <c r="K35" s="1" t="s">
        <v>23</v>
      </c>
      <c r="U35" s="25">
        <f t="shared" si="8"/>
        <v>0</v>
      </c>
      <c r="V35" s="25">
        <f t="shared" si="9"/>
        <v>2</v>
      </c>
      <c r="W35" s="25">
        <f t="shared" si="10"/>
        <v>0</v>
      </c>
      <c r="X35" s="25">
        <f t="shared" si="11"/>
        <v>0</v>
      </c>
      <c r="Y35" s="25">
        <f t="shared" si="12"/>
        <v>2</v>
      </c>
      <c r="Z35" s="26">
        <f t="shared" si="13"/>
        <v>1</v>
      </c>
      <c r="AA35" s="26">
        <f t="shared" si="14"/>
        <v>1</v>
      </c>
    </row>
    <row r="36">
      <c r="A36" s="1">
        <v>19.0</v>
      </c>
      <c r="B36" s="1">
        <v>23.0</v>
      </c>
      <c r="C36" s="1">
        <v>23.0</v>
      </c>
      <c r="D36" s="1">
        <v>1.0</v>
      </c>
      <c r="F36" s="1" t="s">
        <v>16</v>
      </c>
      <c r="G36" s="29" t="s">
        <v>28</v>
      </c>
      <c r="H36" s="1" t="s">
        <v>26</v>
      </c>
      <c r="U36" s="25">
        <f t="shared" si="8"/>
        <v>1</v>
      </c>
      <c r="V36" s="25">
        <f t="shared" si="9"/>
        <v>2</v>
      </c>
      <c r="W36" s="25">
        <f t="shared" si="10"/>
        <v>0</v>
      </c>
      <c r="X36" s="25">
        <f t="shared" si="11"/>
        <v>0</v>
      </c>
      <c r="Y36" s="25">
        <f t="shared" si="12"/>
        <v>2</v>
      </c>
      <c r="Z36" s="26">
        <f t="shared" si="13"/>
        <v>0.6666666667</v>
      </c>
      <c r="AA36" s="26">
        <f t="shared" si="14"/>
        <v>0.6666666667</v>
      </c>
    </row>
    <row r="37">
      <c r="A37" s="1">
        <v>15.0</v>
      </c>
      <c r="B37" s="1">
        <v>24.0</v>
      </c>
      <c r="C37" s="1">
        <v>24.0</v>
      </c>
      <c r="D37" s="1">
        <v>6.0</v>
      </c>
      <c r="F37" s="1" t="s">
        <v>17</v>
      </c>
      <c r="G37" s="28" t="s">
        <v>168</v>
      </c>
      <c r="H37" s="1" t="s">
        <v>29</v>
      </c>
      <c r="U37" s="25">
        <f t="shared" si="8"/>
        <v>1</v>
      </c>
      <c r="V37" s="25">
        <f t="shared" si="9"/>
        <v>3</v>
      </c>
      <c r="W37" s="25">
        <f t="shared" si="10"/>
        <v>0</v>
      </c>
      <c r="X37" s="25">
        <f t="shared" si="11"/>
        <v>0</v>
      </c>
      <c r="Y37" s="25">
        <f t="shared" si="12"/>
        <v>3</v>
      </c>
      <c r="Z37" s="26">
        <f t="shared" si="13"/>
        <v>0.75</v>
      </c>
      <c r="AA37" s="26">
        <f t="shared" si="14"/>
        <v>0.75</v>
      </c>
    </row>
    <row r="38">
      <c r="A38" s="1">
        <v>24.0</v>
      </c>
      <c r="B38" s="1">
        <v>25.0</v>
      </c>
      <c r="C38" s="1">
        <v>25.0</v>
      </c>
      <c r="D38" s="1">
        <v>10.0</v>
      </c>
      <c r="F38" s="1" t="s">
        <v>16</v>
      </c>
      <c r="G38" s="29" t="s">
        <v>39</v>
      </c>
      <c r="H38" s="1" t="s">
        <v>26</v>
      </c>
      <c r="U38" s="25">
        <f t="shared" si="8"/>
        <v>2</v>
      </c>
      <c r="V38" s="25">
        <f t="shared" si="9"/>
        <v>3</v>
      </c>
      <c r="W38" s="25">
        <f t="shared" si="10"/>
        <v>0</v>
      </c>
      <c r="X38" s="25">
        <f t="shared" si="11"/>
        <v>0</v>
      </c>
      <c r="Y38" s="25">
        <f t="shared" si="12"/>
        <v>3</v>
      </c>
      <c r="Z38" s="26">
        <f t="shared" si="13"/>
        <v>0.6</v>
      </c>
      <c r="AA38" s="26">
        <f t="shared" si="14"/>
        <v>0.6</v>
      </c>
    </row>
    <row r="39">
      <c r="A39" s="1">
        <v>25.0</v>
      </c>
      <c r="B39" s="1">
        <v>26.0</v>
      </c>
      <c r="C39" s="1">
        <v>26.0</v>
      </c>
      <c r="D39" s="1">
        <v>6.0</v>
      </c>
      <c r="F39" s="1" t="s">
        <v>16</v>
      </c>
      <c r="G39" s="29" t="s">
        <v>54</v>
      </c>
      <c r="H39" s="1" t="s">
        <v>26</v>
      </c>
      <c r="J39" s="1">
        <v>0.0</v>
      </c>
      <c r="U39" s="25">
        <f t="shared" si="8"/>
        <v>3</v>
      </c>
      <c r="V39" s="25">
        <f t="shared" si="9"/>
        <v>3</v>
      </c>
      <c r="W39" s="25">
        <f t="shared" si="10"/>
        <v>0</v>
      </c>
      <c r="X39" s="25">
        <f t="shared" si="11"/>
        <v>0</v>
      </c>
      <c r="Y39" s="25">
        <f t="shared" si="12"/>
        <v>3</v>
      </c>
      <c r="Z39" s="26">
        <f t="shared" si="13"/>
        <v>0.5</v>
      </c>
      <c r="AA39" s="26">
        <f t="shared" si="14"/>
        <v>0.5</v>
      </c>
    </row>
    <row r="40">
      <c r="A40" s="1">
        <v>20.0</v>
      </c>
      <c r="B40" s="1">
        <v>27.0</v>
      </c>
      <c r="C40" s="1">
        <v>27.0</v>
      </c>
      <c r="D40" s="1">
        <v>7.0</v>
      </c>
      <c r="F40" s="1" t="s">
        <v>17</v>
      </c>
      <c r="G40" s="28" t="s">
        <v>166</v>
      </c>
      <c r="H40" s="1" t="s">
        <v>29</v>
      </c>
      <c r="U40" s="25">
        <f t="shared" si="8"/>
        <v>3</v>
      </c>
      <c r="V40" s="25">
        <f t="shared" si="9"/>
        <v>4</v>
      </c>
      <c r="W40" s="25">
        <f t="shared" si="10"/>
        <v>0</v>
      </c>
      <c r="X40" s="25">
        <f t="shared" si="11"/>
        <v>0</v>
      </c>
      <c r="Y40" s="25">
        <f t="shared" si="12"/>
        <v>4</v>
      </c>
      <c r="Z40" s="26">
        <f t="shared" si="13"/>
        <v>0.5714285714</v>
      </c>
      <c r="AA40" s="26">
        <f t="shared" si="14"/>
        <v>0.5714285714</v>
      </c>
    </row>
    <row r="41">
      <c r="A41" s="1">
        <v>27.0</v>
      </c>
      <c r="B41" s="1">
        <v>28.0</v>
      </c>
      <c r="C41" s="1">
        <v>28.0</v>
      </c>
      <c r="D41" s="1">
        <v>6.0</v>
      </c>
      <c r="F41" s="1" t="s">
        <v>16</v>
      </c>
      <c r="G41" s="29" t="s">
        <v>132</v>
      </c>
      <c r="H41" s="1" t="s">
        <v>26</v>
      </c>
      <c r="J41" s="1">
        <v>0.0</v>
      </c>
      <c r="U41" s="25">
        <f t="shared" si="8"/>
        <v>4</v>
      </c>
      <c r="V41" s="25">
        <f t="shared" si="9"/>
        <v>4</v>
      </c>
      <c r="W41" s="25">
        <f t="shared" si="10"/>
        <v>0</v>
      </c>
      <c r="X41" s="25">
        <f t="shared" si="11"/>
        <v>0</v>
      </c>
      <c r="Y41" s="25">
        <f t="shared" si="12"/>
        <v>4</v>
      </c>
      <c r="Z41" s="26">
        <f t="shared" si="13"/>
        <v>0.5</v>
      </c>
      <c r="AA41" s="26">
        <f t="shared" si="14"/>
        <v>0.5</v>
      </c>
    </row>
    <row r="42">
      <c r="A42" s="1">
        <v>7.0</v>
      </c>
      <c r="B42" s="1">
        <v>7.0</v>
      </c>
      <c r="C42" s="1">
        <v>99.0</v>
      </c>
      <c r="D42" s="1">
        <v>12.0</v>
      </c>
      <c r="F42" s="1" t="s">
        <v>82</v>
      </c>
      <c r="G42" s="30" t="s">
        <v>83</v>
      </c>
      <c r="H42" s="1" t="s">
        <v>71</v>
      </c>
      <c r="U42" s="25">
        <f t="shared" si="8"/>
        <v>4</v>
      </c>
      <c r="V42" s="25">
        <f t="shared" si="9"/>
        <v>4</v>
      </c>
      <c r="W42" s="25">
        <f t="shared" si="10"/>
        <v>0</v>
      </c>
      <c r="X42" s="25">
        <f t="shared" si="11"/>
        <v>1</v>
      </c>
      <c r="Y42" s="25">
        <f t="shared" si="12"/>
        <v>5</v>
      </c>
      <c r="Z42" s="26">
        <f t="shared" si="13"/>
        <v>0.5555555556</v>
      </c>
      <c r="AA42" s="26">
        <f t="shared" si="14"/>
        <v>0.4444444444</v>
      </c>
    </row>
    <row r="43">
      <c r="Z43" s="26"/>
      <c r="AA43" s="26"/>
    </row>
    <row r="44">
      <c r="Z44" s="26"/>
      <c r="AA44" s="26"/>
    </row>
    <row r="45">
      <c r="Z45" s="26"/>
      <c r="AA45" s="26"/>
    </row>
    <row r="46">
      <c r="Z46" s="26"/>
      <c r="AA46" s="26"/>
    </row>
    <row r="47">
      <c r="Z47" s="26"/>
      <c r="AA47" s="26"/>
    </row>
    <row r="48">
      <c r="Z48" s="26"/>
      <c r="AA48" s="26"/>
    </row>
    <row r="49">
      <c r="Z49" s="26"/>
      <c r="AA49" s="26"/>
    </row>
    <row r="50">
      <c r="Z50" s="26"/>
      <c r="AA50" s="26"/>
    </row>
    <row r="51">
      <c r="Z51" s="26"/>
      <c r="AA51" s="26"/>
    </row>
    <row r="52">
      <c r="Z52" s="26"/>
      <c r="AA52" s="26"/>
    </row>
    <row r="53">
      <c r="Z53" s="26"/>
      <c r="AA53" s="26"/>
    </row>
    <row r="54">
      <c r="Z54" s="26"/>
      <c r="AA54" s="26"/>
    </row>
    <row r="55">
      <c r="Z55" s="26"/>
      <c r="AA55" s="26"/>
    </row>
    <row r="56">
      <c r="Z56" s="26"/>
      <c r="AA56" s="26"/>
    </row>
    <row r="57">
      <c r="Z57" s="26"/>
      <c r="AA57" s="26"/>
    </row>
    <row r="58">
      <c r="Z58" s="26"/>
      <c r="AA58" s="26"/>
    </row>
    <row r="59">
      <c r="Z59" s="26"/>
      <c r="AA59" s="26"/>
    </row>
    <row r="60">
      <c r="Z60" s="26"/>
      <c r="AA60" s="26"/>
    </row>
    <row r="61">
      <c r="Z61" s="26"/>
      <c r="AA61" s="26"/>
    </row>
    <row r="62">
      <c r="Z62" s="26"/>
      <c r="AA62" s="26"/>
    </row>
    <row r="63">
      <c r="Z63" s="26"/>
      <c r="AA63" s="26"/>
    </row>
    <row r="64">
      <c r="Z64" s="26"/>
      <c r="AA64" s="26"/>
    </row>
    <row r="65">
      <c r="Z65" s="26"/>
      <c r="AA65" s="26"/>
    </row>
    <row r="66">
      <c r="Z66" s="26"/>
      <c r="AA66" s="26"/>
    </row>
    <row r="67">
      <c r="Z67" s="26"/>
      <c r="AA67" s="26"/>
    </row>
    <row r="68">
      <c r="Z68" s="26"/>
      <c r="AA68" s="26"/>
    </row>
    <row r="69">
      <c r="Z69" s="26"/>
      <c r="AA69" s="26"/>
    </row>
    <row r="70">
      <c r="Z70" s="26"/>
      <c r="AA70" s="26"/>
    </row>
    <row r="71">
      <c r="Z71" s="26"/>
      <c r="AA71" s="26"/>
    </row>
    <row r="72">
      <c r="Z72" s="26"/>
      <c r="AA72" s="26"/>
    </row>
    <row r="73">
      <c r="Z73" s="26"/>
      <c r="AA73" s="26"/>
    </row>
    <row r="74">
      <c r="Z74" s="26"/>
      <c r="AA74" s="26"/>
    </row>
    <row r="75">
      <c r="Z75" s="26"/>
      <c r="AA75" s="26"/>
    </row>
    <row r="76">
      <c r="Z76" s="26"/>
      <c r="AA76" s="26"/>
    </row>
    <row r="77">
      <c r="Z77" s="26"/>
      <c r="AA77" s="26"/>
    </row>
    <row r="78">
      <c r="Z78" s="26"/>
      <c r="AA78" s="26"/>
    </row>
    <row r="79">
      <c r="Z79" s="26"/>
      <c r="AA79" s="26"/>
    </row>
    <row r="80">
      <c r="Z80" s="26"/>
      <c r="AA80" s="26"/>
    </row>
    <row r="81">
      <c r="Z81" s="26"/>
      <c r="AA81" s="26"/>
    </row>
    <row r="82">
      <c r="Z82" s="26"/>
      <c r="AA82" s="26"/>
    </row>
    <row r="83">
      <c r="Z83" s="26"/>
      <c r="AA83" s="26"/>
    </row>
    <row r="84">
      <c r="Z84" s="26"/>
      <c r="AA84" s="26"/>
    </row>
    <row r="85">
      <c r="Z85" s="26"/>
      <c r="AA85" s="26"/>
    </row>
    <row r="86">
      <c r="Z86" s="26"/>
      <c r="AA86" s="26"/>
    </row>
    <row r="87">
      <c r="Z87" s="26"/>
      <c r="AA87" s="26"/>
    </row>
    <row r="88">
      <c r="Z88" s="26"/>
      <c r="AA88" s="26"/>
    </row>
    <row r="89">
      <c r="Z89" s="26"/>
      <c r="AA89" s="26"/>
    </row>
    <row r="90">
      <c r="Z90" s="26"/>
      <c r="AA90" s="26"/>
    </row>
    <row r="91">
      <c r="Z91" s="26"/>
      <c r="AA91" s="26"/>
    </row>
    <row r="92">
      <c r="Z92" s="26"/>
      <c r="AA92" s="26"/>
    </row>
    <row r="93">
      <c r="Z93" s="26"/>
      <c r="AA93" s="26"/>
    </row>
    <row r="94">
      <c r="Z94" s="26"/>
      <c r="AA94" s="26"/>
    </row>
    <row r="95">
      <c r="Z95" s="26"/>
      <c r="AA95" s="26"/>
    </row>
    <row r="96">
      <c r="Z96" s="26"/>
      <c r="AA96" s="26"/>
    </row>
    <row r="97">
      <c r="Z97" s="26"/>
      <c r="AA97" s="26"/>
    </row>
    <row r="98">
      <c r="Z98" s="26"/>
      <c r="AA98" s="26"/>
    </row>
    <row r="99">
      <c r="Z99" s="26"/>
      <c r="AA99" s="26"/>
    </row>
    <row r="100">
      <c r="Z100" s="26"/>
      <c r="AA100" s="26"/>
    </row>
    <row r="101">
      <c r="Z101" s="26"/>
      <c r="AA101" s="26"/>
    </row>
    <row r="102">
      <c r="Z102" s="26"/>
      <c r="AA102" s="26"/>
    </row>
    <row r="103">
      <c r="Z103" s="26"/>
      <c r="AA103" s="26"/>
    </row>
    <row r="104">
      <c r="Z104" s="26"/>
      <c r="AA104" s="26"/>
    </row>
    <row r="105">
      <c r="Z105" s="26"/>
      <c r="AA105" s="2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3" width="15.13"/>
    <col customWidth="1" min="4" max="4" width="121.63"/>
    <col customWidth="1" min="5" max="20" width="15.13"/>
  </cols>
  <sheetData>
    <row r="1">
      <c r="A1" s="1" t="s">
        <v>169</v>
      </c>
      <c r="B1" s="1" t="s">
        <v>170</v>
      </c>
      <c r="C1" s="1" t="s">
        <v>171</v>
      </c>
      <c r="D1" s="1" t="s">
        <v>172</v>
      </c>
    </row>
    <row r="2">
      <c r="A2" s="1">
        <v>0.0</v>
      </c>
      <c r="B2" s="1" t="s">
        <v>131</v>
      </c>
      <c r="C2" s="1" t="s">
        <v>65</v>
      </c>
      <c r="D2" s="1" t="s">
        <v>173</v>
      </c>
    </row>
    <row r="3">
      <c r="A3" s="1">
        <v>0.0</v>
      </c>
      <c r="B3" s="1" t="s">
        <v>53</v>
      </c>
      <c r="C3" s="1" t="s">
        <v>108</v>
      </c>
      <c r="D3" s="1" t="s">
        <v>174</v>
      </c>
    </row>
    <row r="4">
      <c r="A4" s="1">
        <v>0.0</v>
      </c>
      <c r="B4" s="1" t="s">
        <v>165</v>
      </c>
      <c r="C4" s="1" t="s">
        <v>108</v>
      </c>
      <c r="D4" s="1" t="s">
        <v>175</v>
      </c>
    </row>
    <row r="5">
      <c r="A5" s="1">
        <v>0.0</v>
      </c>
      <c r="B5" s="1" t="s">
        <v>96</v>
      </c>
      <c r="C5" s="1" t="s">
        <v>65</v>
      </c>
      <c r="D5" s="1" t="s">
        <v>176</v>
      </c>
    </row>
    <row r="6">
      <c r="A6" s="1">
        <v>1.0</v>
      </c>
      <c r="B6" s="1" t="s">
        <v>127</v>
      </c>
      <c r="C6" s="1" t="s">
        <v>51</v>
      </c>
      <c r="D6" s="1" t="s">
        <v>177</v>
      </c>
    </row>
    <row r="7">
      <c r="A7" s="1">
        <v>1.0</v>
      </c>
      <c r="B7" s="1" t="s">
        <v>108</v>
      </c>
      <c r="C7" s="1" t="s">
        <v>127</v>
      </c>
      <c r="D7" s="1" t="s">
        <v>178</v>
      </c>
    </row>
    <row r="8">
      <c r="A8" s="1">
        <v>2.0</v>
      </c>
      <c r="B8" s="1" t="s">
        <v>131</v>
      </c>
      <c r="C8" s="1" t="s">
        <v>108</v>
      </c>
      <c r="D8" s="1" t="s">
        <v>179</v>
      </c>
    </row>
    <row r="9">
      <c r="A9" s="1">
        <v>2.0</v>
      </c>
      <c r="B9" s="1" t="s">
        <v>53</v>
      </c>
      <c r="C9" s="1" t="s">
        <v>51</v>
      </c>
      <c r="D9" s="1" t="s">
        <v>180</v>
      </c>
    </row>
    <row r="10">
      <c r="A10" s="1">
        <v>3.0</v>
      </c>
      <c r="B10" s="1" t="s">
        <v>108</v>
      </c>
      <c r="C10" s="1" t="s">
        <v>72</v>
      </c>
      <c r="D10" s="1" t="s">
        <v>181</v>
      </c>
    </row>
    <row r="11">
      <c r="A11" s="1">
        <v>4.0</v>
      </c>
      <c r="B11" s="1" t="s">
        <v>96</v>
      </c>
      <c r="C11" s="1" t="s">
        <v>108</v>
      </c>
      <c r="D11" s="1" t="s">
        <v>182</v>
      </c>
    </row>
    <row r="12">
      <c r="A12" s="1">
        <v>4.0</v>
      </c>
      <c r="B12" s="1" t="s">
        <v>53</v>
      </c>
      <c r="C12" s="1" t="s">
        <v>96</v>
      </c>
      <c r="D12" s="1" t="s">
        <v>183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75"/>
    <col customWidth="1" min="2" max="20" width="15.13"/>
  </cols>
  <sheetData>
    <row r="1">
      <c r="A1" s="1">
        <v>1.0</v>
      </c>
      <c r="B1" s="1" t="s">
        <v>131</v>
      </c>
      <c r="C1" s="1" t="s">
        <v>184</v>
      </c>
      <c r="D1" s="1" t="s">
        <v>184</v>
      </c>
      <c r="E1" s="1" t="s">
        <v>131</v>
      </c>
      <c r="F1" s="1" t="s">
        <v>81</v>
      </c>
      <c r="G1" s="1" t="s">
        <v>38</v>
      </c>
      <c r="H1" s="1" t="s">
        <v>57</v>
      </c>
      <c r="I1" s="1" t="s">
        <v>144</v>
      </c>
      <c r="J1" s="1" t="s">
        <v>27</v>
      </c>
      <c r="K1" s="1" t="s">
        <v>46</v>
      </c>
      <c r="L1" s="1" t="s">
        <v>108</v>
      </c>
      <c r="M1" s="1" t="s">
        <v>72</v>
      </c>
    </row>
    <row r="2">
      <c r="A2" s="1">
        <v>1.0</v>
      </c>
      <c r="B2" s="1" t="s">
        <v>81</v>
      </c>
      <c r="C2" s="1" t="s">
        <v>184</v>
      </c>
      <c r="E2" s="1" t="s">
        <v>184</v>
      </c>
      <c r="F2" s="1" t="s">
        <v>184</v>
      </c>
      <c r="G2" s="1" t="s">
        <v>184</v>
      </c>
      <c r="H2" s="1" t="s">
        <v>184</v>
      </c>
      <c r="I2" s="1" t="s">
        <v>184</v>
      </c>
      <c r="J2" s="1" t="s">
        <v>184</v>
      </c>
      <c r="K2" s="1" t="s">
        <v>184</v>
      </c>
      <c r="L2" s="1" t="s">
        <v>184</v>
      </c>
      <c r="M2" s="1" t="s">
        <v>184</v>
      </c>
    </row>
    <row r="3">
      <c r="A3" s="1">
        <v>1.0</v>
      </c>
      <c r="B3" s="1" t="s">
        <v>38</v>
      </c>
      <c r="C3" s="1" t="s">
        <v>81</v>
      </c>
    </row>
    <row r="4">
      <c r="A4" s="1">
        <v>1.0</v>
      </c>
      <c r="B4" s="1" t="s">
        <v>131</v>
      </c>
      <c r="C4" s="1" t="s">
        <v>38</v>
      </c>
    </row>
    <row r="5">
      <c r="A5" s="1">
        <v>1.0</v>
      </c>
      <c r="B5" s="1" t="s">
        <v>81</v>
      </c>
      <c r="C5" s="1" t="s">
        <v>184</v>
      </c>
    </row>
    <row r="6">
      <c r="A6" s="1">
        <v>1.0</v>
      </c>
      <c r="B6" s="1" t="s">
        <v>57</v>
      </c>
      <c r="C6" s="1" t="s">
        <v>184</v>
      </c>
    </row>
    <row r="7">
      <c r="A7" s="1">
        <v>1.0</v>
      </c>
      <c r="B7" s="1" t="s">
        <v>144</v>
      </c>
      <c r="C7" s="1" t="s">
        <v>184</v>
      </c>
    </row>
    <row r="8">
      <c r="A8" s="1">
        <v>1.0</v>
      </c>
      <c r="B8" s="1" t="s">
        <v>131</v>
      </c>
      <c r="C8" s="1" t="s">
        <v>184</v>
      </c>
    </row>
    <row r="9">
      <c r="A9" s="1">
        <v>1.0</v>
      </c>
      <c r="B9" s="1" t="s">
        <v>27</v>
      </c>
      <c r="C9" s="1" t="s">
        <v>184</v>
      </c>
    </row>
    <row r="10">
      <c r="A10" s="1">
        <v>1.0</v>
      </c>
      <c r="B10" s="1" t="s">
        <v>46</v>
      </c>
      <c r="C10" s="1" t="s">
        <v>184</v>
      </c>
    </row>
    <row r="11">
      <c r="A11" s="1">
        <v>1.0</v>
      </c>
      <c r="B11" s="1" t="s">
        <v>38</v>
      </c>
      <c r="C11" s="1" t="s">
        <v>184</v>
      </c>
    </row>
    <row r="12">
      <c r="A12" s="1">
        <v>1.0</v>
      </c>
      <c r="B12" s="1" t="s">
        <v>108</v>
      </c>
      <c r="C12" s="1" t="s">
        <v>184</v>
      </c>
    </row>
    <row r="13">
      <c r="A13" s="1">
        <v>1.0</v>
      </c>
      <c r="B13" s="1" t="s">
        <v>72</v>
      </c>
      <c r="C13" s="1" t="s">
        <v>184</v>
      </c>
    </row>
    <row r="14">
      <c r="A14" s="1">
        <v>2.0</v>
      </c>
      <c r="B14" s="1" t="s">
        <v>38</v>
      </c>
      <c r="C14" s="1" t="s">
        <v>120</v>
      </c>
      <c r="D14" s="1" t="s">
        <v>120</v>
      </c>
      <c r="E14" s="1" t="s">
        <v>38</v>
      </c>
      <c r="F14" s="1" t="s">
        <v>136</v>
      </c>
      <c r="G14" s="1" t="s">
        <v>144</v>
      </c>
      <c r="H14" s="1" t="s">
        <v>88</v>
      </c>
      <c r="I14" s="1" t="s">
        <v>65</v>
      </c>
      <c r="J14" s="1" t="s">
        <v>51</v>
      </c>
      <c r="K14" s="1" t="s">
        <v>53</v>
      </c>
      <c r="L14" s="1" t="s">
        <v>120</v>
      </c>
      <c r="M14" s="1" t="s">
        <v>96</v>
      </c>
      <c r="N14" s="1" t="s">
        <v>158</v>
      </c>
      <c r="O14" s="1" t="s">
        <v>131</v>
      </c>
      <c r="P14" s="1" t="s">
        <v>27</v>
      </c>
    </row>
    <row r="15">
      <c r="A15" s="1">
        <v>2.0</v>
      </c>
      <c r="B15" s="1" t="s">
        <v>136</v>
      </c>
      <c r="C15" s="1" t="s">
        <v>53</v>
      </c>
      <c r="E15" s="1" t="s">
        <v>120</v>
      </c>
      <c r="F15" s="1" t="s">
        <v>120</v>
      </c>
      <c r="G15" s="1" t="s">
        <v>120</v>
      </c>
      <c r="H15" s="1" t="s">
        <v>120</v>
      </c>
      <c r="I15" s="1" t="s">
        <v>120</v>
      </c>
      <c r="J15" s="1" t="s">
        <v>120</v>
      </c>
      <c r="K15" s="1" t="s">
        <v>120</v>
      </c>
      <c r="L15" s="1" t="s">
        <v>38</v>
      </c>
      <c r="M15" s="1" t="s">
        <v>120</v>
      </c>
      <c r="N15" s="1" t="s">
        <v>120</v>
      </c>
      <c r="O15" s="1" t="s">
        <v>184</v>
      </c>
      <c r="P15" s="1" t="s">
        <v>120</v>
      </c>
    </row>
    <row r="16">
      <c r="A16" s="1">
        <v>2.0</v>
      </c>
      <c r="B16" s="1" t="s">
        <v>144</v>
      </c>
      <c r="C16" s="1" t="s">
        <v>120</v>
      </c>
    </row>
    <row r="17">
      <c r="A17" s="1">
        <v>2.0</v>
      </c>
      <c r="B17" s="1" t="s">
        <v>88</v>
      </c>
      <c r="C17" s="1" t="s">
        <v>120</v>
      </c>
    </row>
    <row r="18">
      <c r="A18" s="1">
        <v>2.0</v>
      </c>
      <c r="B18" s="1" t="s">
        <v>136</v>
      </c>
      <c r="C18" s="1" t="s">
        <v>120</v>
      </c>
    </row>
    <row r="19">
      <c r="A19" s="1">
        <v>2.0</v>
      </c>
      <c r="B19" s="1" t="s">
        <v>65</v>
      </c>
      <c r="C19" s="1" t="s">
        <v>120</v>
      </c>
    </row>
    <row r="20">
      <c r="A20" s="1">
        <v>2.0</v>
      </c>
      <c r="B20" s="1" t="s">
        <v>51</v>
      </c>
      <c r="C20" s="1" t="s">
        <v>120</v>
      </c>
    </row>
    <row r="21">
      <c r="A21" s="1">
        <v>2.0</v>
      </c>
      <c r="B21" s="1" t="s">
        <v>53</v>
      </c>
      <c r="C21" s="1" t="s">
        <v>120</v>
      </c>
    </row>
    <row r="22">
      <c r="A22" s="1">
        <v>2.0</v>
      </c>
      <c r="B22" s="1" t="s">
        <v>120</v>
      </c>
      <c r="C22" s="1" t="s">
        <v>38</v>
      </c>
    </row>
    <row r="23">
      <c r="A23" s="1">
        <v>2.0</v>
      </c>
      <c r="B23" s="1" t="s">
        <v>96</v>
      </c>
      <c r="C23" s="1" t="s">
        <v>120</v>
      </c>
    </row>
    <row r="24">
      <c r="A24" s="1">
        <v>2.0</v>
      </c>
      <c r="B24" s="1" t="s">
        <v>158</v>
      </c>
      <c r="C24" s="1" t="s">
        <v>120</v>
      </c>
    </row>
    <row r="25">
      <c r="A25" s="1">
        <v>2.0</v>
      </c>
      <c r="B25" s="1" t="s">
        <v>131</v>
      </c>
      <c r="C25" s="1" t="s">
        <v>184</v>
      </c>
    </row>
    <row r="26">
      <c r="A26" s="1">
        <v>2.0</v>
      </c>
      <c r="B26" s="1" t="s">
        <v>27</v>
      </c>
      <c r="C26" s="1" t="s">
        <v>120</v>
      </c>
    </row>
    <row r="27">
      <c r="A27" s="1">
        <v>3.0</v>
      </c>
      <c r="B27" s="1" t="s">
        <v>46</v>
      </c>
      <c r="C27" s="1" t="s">
        <v>38</v>
      </c>
      <c r="D27" s="1" t="s">
        <v>38</v>
      </c>
      <c r="E27" s="1" t="s">
        <v>46</v>
      </c>
      <c r="F27" s="1" t="s">
        <v>27</v>
      </c>
      <c r="G27" s="1" t="s">
        <v>136</v>
      </c>
      <c r="H27" s="1" t="s">
        <v>88</v>
      </c>
      <c r="I27" s="1" t="s">
        <v>108</v>
      </c>
      <c r="J27" s="1" t="s">
        <v>53</v>
      </c>
      <c r="K27" s="1" t="s">
        <v>144</v>
      </c>
      <c r="L27" s="1" t="s">
        <v>65</v>
      </c>
    </row>
    <row r="28">
      <c r="A28" s="1">
        <v>3.0</v>
      </c>
      <c r="B28" s="1" t="s">
        <v>27</v>
      </c>
      <c r="C28" s="1" t="s">
        <v>38</v>
      </c>
      <c r="E28" s="1" t="s">
        <v>185</v>
      </c>
      <c r="F28" s="1" t="s">
        <v>38</v>
      </c>
      <c r="G28" s="1" t="s">
        <v>38</v>
      </c>
      <c r="H28" s="1" t="s">
        <v>38</v>
      </c>
      <c r="I28" s="1" t="s">
        <v>38</v>
      </c>
      <c r="J28" s="1" t="s">
        <v>38</v>
      </c>
      <c r="K28" s="1" t="s">
        <v>38</v>
      </c>
      <c r="L28" s="1" t="s">
        <v>38</v>
      </c>
    </row>
    <row r="29">
      <c r="A29" s="1">
        <v>3.0</v>
      </c>
      <c r="B29" s="1" t="s">
        <v>136</v>
      </c>
      <c r="C29" s="1" t="s">
        <v>38</v>
      </c>
    </row>
    <row r="30">
      <c r="A30" s="1">
        <v>3.0</v>
      </c>
      <c r="B30" s="1" t="s">
        <v>88</v>
      </c>
      <c r="C30" s="1" t="s">
        <v>38</v>
      </c>
    </row>
    <row r="31">
      <c r="A31" s="1">
        <v>3.0</v>
      </c>
      <c r="B31" s="1" t="s">
        <v>46</v>
      </c>
      <c r="C31" s="1" t="s">
        <v>185</v>
      </c>
    </row>
    <row r="32">
      <c r="A32" s="1">
        <v>3.0</v>
      </c>
      <c r="B32" s="1" t="s">
        <v>108</v>
      </c>
      <c r="C32" s="1" t="s">
        <v>38</v>
      </c>
    </row>
    <row r="33">
      <c r="A33" s="1">
        <v>3.0</v>
      </c>
      <c r="B33" s="1" t="s">
        <v>53</v>
      </c>
      <c r="C33" s="1" t="s">
        <v>38</v>
      </c>
    </row>
    <row r="34">
      <c r="A34" s="1">
        <v>3.0</v>
      </c>
      <c r="B34" s="1" t="s">
        <v>144</v>
      </c>
      <c r="C34" s="1" t="s">
        <v>65</v>
      </c>
    </row>
    <row r="35">
      <c r="A35" s="1">
        <v>3.0</v>
      </c>
      <c r="B35" s="1" t="s">
        <v>65</v>
      </c>
      <c r="C35" s="1" t="s">
        <v>38</v>
      </c>
    </row>
    <row r="36">
      <c r="A36" s="1">
        <v>3.0</v>
      </c>
      <c r="B36" s="1" t="s">
        <v>144</v>
      </c>
      <c r="C36" s="1" t="s">
        <v>38</v>
      </c>
    </row>
    <row r="37">
      <c r="A37" s="1">
        <v>4.0</v>
      </c>
      <c r="B37" s="1" t="s">
        <v>46</v>
      </c>
      <c r="C37" s="1" t="s">
        <v>108</v>
      </c>
      <c r="D37" s="1" t="s">
        <v>65</v>
      </c>
      <c r="E37" s="1" t="s">
        <v>46</v>
      </c>
      <c r="F37" s="1" t="s">
        <v>108</v>
      </c>
      <c r="G37" s="1" t="s">
        <v>136</v>
      </c>
      <c r="H37" s="1" t="s">
        <v>144</v>
      </c>
      <c r="I37" s="1" t="s">
        <v>24</v>
      </c>
      <c r="J37" s="1" t="s">
        <v>96</v>
      </c>
      <c r="K37" s="1" t="s">
        <v>53</v>
      </c>
    </row>
    <row r="38">
      <c r="A38" s="1">
        <v>4.0</v>
      </c>
      <c r="B38" s="1" t="s">
        <v>108</v>
      </c>
      <c r="C38" s="1" t="s">
        <v>108</v>
      </c>
      <c r="E38" s="1" t="s">
        <v>53</v>
      </c>
      <c r="F38" s="1" t="s">
        <v>65</v>
      </c>
      <c r="G38" s="1" t="s">
        <v>53</v>
      </c>
      <c r="H38" s="1" t="s">
        <v>65</v>
      </c>
      <c r="I38" s="1" t="s">
        <v>53</v>
      </c>
      <c r="J38" s="1" t="s">
        <v>65</v>
      </c>
      <c r="K38" s="1" t="s">
        <v>65</v>
      </c>
    </row>
    <row r="39">
      <c r="A39" s="1">
        <v>4.0</v>
      </c>
      <c r="B39" s="1" t="s">
        <v>136</v>
      </c>
      <c r="C39" s="1" t="s">
        <v>53</v>
      </c>
    </row>
    <row r="40">
      <c r="A40" s="1">
        <v>4.0</v>
      </c>
      <c r="B40" s="1" t="s">
        <v>144</v>
      </c>
      <c r="C40" s="1" t="s">
        <v>24</v>
      </c>
    </row>
    <row r="41">
      <c r="A41" s="1">
        <v>4.0</v>
      </c>
      <c r="B41" s="1" t="s">
        <v>108</v>
      </c>
      <c r="C41" s="1" t="s">
        <v>185</v>
      </c>
    </row>
    <row r="42">
      <c r="A42" s="1">
        <v>4.0</v>
      </c>
      <c r="B42" s="1" t="s">
        <v>24</v>
      </c>
      <c r="C42" s="1" t="s">
        <v>53</v>
      </c>
    </row>
    <row r="43">
      <c r="A43" s="1">
        <v>4.0</v>
      </c>
      <c r="B43" s="1" t="s">
        <v>96</v>
      </c>
      <c r="C43" s="1" t="s">
        <v>65</v>
      </c>
    </row>
    <row r="44">
      <c r="A44" s="1">
        <v>4.0</v>
      </c>
      <c r="B44" s="1" t="s">
        <v>144</v>
      </c>
      <c r="C44" s="1" t="s">
        <v>65</v>
      </c>
    </row>
    <row r="45">
      <c r="A45" s="1">
        <v>4.0</v>
      </c>
      <c r="B45" s="1" t="s">
        <v>46</v>
      </c>
      <c r="C45" s="1" t="s">
        <v>53</v>
      </c>
    </row>
    <row r="46">
      <c r="A46" s="1">
        <v>4.0</v>
      </c>
      <c r="B46" s="1" t="s">
        <v>108</v>
      </c>
      <c r="C46" s="1" t="s">
        <v>53</v>
      </c>
    </row>
    <row r="47">
      <c r="A47" s="1">
        <v>4.0</v>
      </c>
      <c r="B47" s="1" t="s">
        <v>53</v>
      </c>
      <c r="C47" s="1" t="s">
        <v>65</v>
      </c>
    </row>
    <row r="48">
      <c r="A48" s="1">
        <v>4.0</v>
      </c>
      <c r="B48" s="1" t="s">
        <v>108</v>
      </c>
      <c r="C48" s="1" t="s">
        <v>65</v>
      </c>
    </row>
    <row r="49">
      <c r="A49" s="1">
        <v>5.0</v>
      </c>
      <c r="B49" s="1" t="s">
        <v>108</v>
      </c>
      <c r="C49" s="1" t="s">
        <v>46</v>
      </c>
      <c r="D49" s="1" t="s">
        <v>46</v>
      </c>
      <c r="E49" s="1" t="s">
        <v>108</v>
      </c>
      <c r="F49" s="1" t="s">
        <v>46</v>
      </c>
    </row>
    <row r="50">
      <c r="A50" s="1">
        <v>5.0</v>
      </c>
      <c r="B50" s="1" t="s">
        <v>46</v>
      </c>
      <c r="C50" s="1" t="s">
        <v>46</v>
      </c>
      <c r="E50" s="1" t="s">
        <v>46</v>
      </c>
      <c r="F50" s="1" t="s">
        <v>46</v>
      </c>
    </row>
  </sheetData>
  <drawing r:id="rId1"/>
</worksheet>
</file>