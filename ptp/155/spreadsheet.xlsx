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haredStrings.xml" ContentType="application/vnd.openxmlformats-officedocument.spreadsheetml.sharedStrings+xml"/>
  <Override PartName="/xl/theme/theme1.xml" ContentType="application/vnd.openxmlformats-officedocument.theme+xml"/>
  <Override PartName="/xl/workbook.xml" ContentType="application/vnd.openxmlformats-officedocument.spreadsheetml.sheet.main+xml"/>
  <Override PartName="/docProps/core.xml" ContentType="application/vnd.openxmlformats-package.core-properties+xml"/>
  <Override PartName="/xl/worksheets/sheet2.xml" ContentType="application/vnd.openxmlformats-officedocument.spreadsheetml.worksheet+xml"/>
  <Override PartName="/docProps/app.xml" ContentType="application/vnd.openxmlformats-officedocument.extended-properties+xml"/>
  <Override PartName="/xl/styles.xml" ContentType="application/vnd.openxmlformats-officedocument.spreadsheetml.styles+xml"/>
  <Override PartName="/xl/worksheets/sheet5.xml" ContentType="application/vnd.openxmlformats-officedocument.spreadsheetml.worksheet+xml"/>
  <Override PartName="/xl/worksheets/sheet1.xml" ContentType="application/vnd.openxmlformats-officedocument.spreadsheetml.worksheet+xml"/>
  <Override PartName="/xl/worksheets/sheet3.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Players and actions" sheetId="1" state="visible" r:id="rId2"/>
    <sheet name="Messages" sheetId="2" state="visible" r:id="rId3"/>
    <sheet name="Rewards and Donations" sheetId="3" state="visible" r:id="rId4"/>
    <sheet name="Roles and Descriptions" sheetId="4" state="visible" r:id="rId5"/>
    <sheet name="Chatroom Information" sheetId="5" state="visible" r:id="rId6"/>
    <sheet name="PM Template" sheetId="6" state="visible" r:id="rId7"/>
  </sheets>
  <calcPr/>
  <extLst>
    <ext xmlns:x15="http://schemas.microsoft.com/office/spreadsheetml/2010/11/main" uri="{D0CA8CA8-9F24-4464-BF8E-62219DCF47F9}"/>
  </extLst>
</workbook>
</file>

<file path=xl/sharedStrings.xml><?xml version="1.0" encoding="utf-8"?>
<sst xmlns="http://schemas.openxmlformats.org/spreadsheetml/2006/main" count="594" uniqueCount="594">
  <si>
    <t>=sort(D3:D53,1,true)</t>
  </si>
  <si>
    <t>Alive</t>
  </si>
  <si>
    <r>
      <rPr>
        <b/>
        <rFont val="arial,sans,sans-serif"/>
      </rPr>
      <t xml:space="preserve">Order of precedence:</t>
    </r>
    <r>
      <rPr>
        <rFont val="arial,sans,sans-serif"/>
      </rPr>
      <t xml:space="preserve">  Probe &gt; Sensor/Absorb/Herd &gt; Block &gt; Bus Drive &gt; Control &gt; Jail/Host party &gt; Cloak/Rolestop/Hide &gt; Push button &gt; Watch/Track/Follow/Voyeur &gt; Plant bomb &gt; Dream &gt; Amnesiac/Tailor &gt; Investigate &gt; Recruit/Clone &gt; Save/Defuse &gt; Kill/Detonate &gt; Janitor</t>
    </r>
  </si>
  <si>
    <t xml:space="preserve">Alive List Paste</t>
  </si>
  <si>
    <t xml:space="preserve">Dead List Paste</t>
  </si>
  <si>
    <t>Alignment</t>
  </si>
  <si>
    <t>Player</t>
  </si>
  <si>
    <t>Role</t>
  </si>
  <si>
    <t>Flavour</t>
  </si>
  <si>
    <t>Notes</t>
  </si>
  <si>
    <t xml:space="preserve">Active effects</t>
  </si>
  <si>
    <t>I</t>
  </si>
  <si>
    <t>D</t>
  </si>
  <si>
    <t xml:space="preserve">N0 Action</t>
  </si>
  <si>
    <t xml:space="preserve">N0 Results</t>
  </si>
  <si>
    <t xml:space="preserve">N0 Notes</t>
  </si>
  <si>
    <t xml:space="preserve">N1 Action</t>
  </si>
  <si>
    <t xml:space="preserve">N1 Results</t>
  </si>
  <si>
    <t xml:space="preserve">N1 Notes</t>
  </si>
  <si>
    <t xml:space="preserve">N2 Action</t>
  </si>
  <si>
    <t xml:space="preserve">N2 Results</t>
  </si>
  <si>
    <t xml:space="preserve">N2 Notes</t>
  </si>
  <si>
    <t xml:space="preserve">N3 Action</t>
  </si>
  <si>
    <t xml:space="preserve">N3 Results</t>
  </si>
  <si>
    <t xml:space="preserve">N3 Notes</t>
  </si>
  <si>
    <t xml:space="preserve">N4 Action</t>
  </si>
  <si>
    <t xml:space="preserve">N4 Results</t>
  </si>
  <si>
    <t xml:space="preserve">N4 Notes</t>
  </si>
  <si>
    <t xml:space="preserve">N5 Action</t>
  </si>
  <si>
    <t xml:space="preserve">N5 Results</t>
  </si>
  <si>
    <t xml:space="preserve">N5 Notes</t>
  </si>
  <si>
    <t xml:space="preserve">N6 Action</t>
  </si>
  <si>
    <t xml:space="preserve">N6 Results</t>
  </si>
  <si>
    <t xml:space="preserve">N6 Notes</t>
  </si>
  <si>
    <t xml:space="preserve">N7 Action</t>
  </si>
  <si>
    <t xml:space="preserve">N7 Results</t>
  </si>
  <si>
    <t xml:space="preserve">N7 Notes</t>
  </si>
  <si>
    <t xml:space="preserve">N8 Action</t>
  </si>
  <si>
    <t xml:space="preserve">N8 Results</t>
  </si>
  <si>
    <t xml:space="preserve">N8 Notes</t>
  </si>
  <si>
    <t xml:space="preserve">N9 Action</t>
  </si>
  <si>
    <t xml:space="preserve">N9 Results</t>
  </si>
  <si>
    <t xml:space="preserve">N9 Notes</t>
  </si>
  <si>
    <t xml:space="preserve">N10 Action</t>
  </si>
  <si>
    <t xml:space="preserve">N10 Results</t>
  </si>
  <si>
    <t xml:space="preserve">N10 Notes</t>
  </si>
  <si>
    <t xml:space="preserve">N11 Action</t>
  </si>
  <si>
    <t xml:space="preserve">N12 Results</t>
  </si>
  <si>
    <t xml:space="preserve">N12 Notes</t>
  </si>
  <si>
    <t xml:space="preserve">N13 Action</t>
  </si>
  <si>
    <t xml:space="preserve">N13 Results</t>
  </si>
  <si>
    <t xml:space="preserve">N13 Notes</t>
  </si>
  <si>
    <t xml:space="preserve">N14 Action</t>
  </si>
  <si>
    <t xml:space="preserve">N14 Results</t>
  </si>
  <si>
    <t xml:space="preserve">N14 Notes</t>
  </si>
  <si>
    <t xml:space="preserve">N15 Action</t>
  </si>
  <si>
    <t xml:space="preserve">N15 Results</t>
  </si>
  <si>
    <t xml:space="preserve">N15 Notes</t>
  </si>
  <si>
    <t xml:space="preserve">N16 Action</t>
  </si>
  <si>
    <t xml:space="preserve">N16 Results</t>
  </si>
  <si>
    <t xml:space="preserve">N16 Notes</t>
  </si>
  <si>
    <t xml:space="preserve">N17 Action</t>
  </si>
  <si>
    <t xml:space="preserve">N17 Results</t>
  </si>
  <si>
    <t xml:space="preserve">N17 Notes</t>
  </si>
  <si>
    <t xml:space="preserve">N18 Action</t>
  </si>
  <si>
    <t xml:space="preserve">N18 Results</t>
  </si>
  <si>
    <t xml:space="preserve">N18 Notes</t>
  </si>
  <si>
    <t xml:space="preserve">N19 Action</t>
  </si>
  <si>
    <t xml:space="preserve">N19 Results</t>
  </si>
  <si>
    <t xml:space="preserve">N19 Notes</t>
  </si>
  <si>
    <t xml:space="preserve">N20 Action</t>
  </si>
  <si>
    <t xml:space="preserve">N20 Results</t>
  </si>
  <si>
    <t xml:space="preserve">N20 Notes</t>
  </si>
  <si>
    <t>sl0play</t>
  </si>
  <si>
    <t>Absorber</t>
  </si>
  <si>
    <t xml:space="preserve">Monica Rambeau</t>
  </si>
  <si>
    <t xml:space="preserve">Give gun</t>
  </si>
  <si>
    <t xml:space="preserve">No action</t>
  </si>
  <si>
    <t>N/A</t>
  </si>
  <si>
    <t xml:space="preserve">Absorbed jail, jailed</t>
  </si>
  <si>
    <t xml:space="preserve">Jail Neo</t>
  </si>
  <si>
    <t>Success</t>
  </si>
  <si>
    <t xml:space="preserve">Absorbed give gun, received gun</t>
  </si>
  <si>
    <t xml:space="preserve">Kill SFerris</t>
  </si>
  <si>
    <t xml:space="preserve">Give gun sl0play</t>
  </si>
  <si>
    <t xml:space="preserve">Absorbed track, received gun</t>
  </si>
  <si>
    <t>Died</t>
  </si>
  <si>
    <t>BlueMarble</t>
  </si>
  <si>
    <t xml:space="preserve">Arms Dealer</t>
  </si>
  <si>
    <t xml:space="preserve">T'Challa / Black Panther</t>
  </si>
  <si>
    <t xml:space="preserve">Received gun</t>
  </si>
  <si>
    <t>eastlondondon</t>
  </si>
  <si>
    <t xml:space="preserve">Kill vortec42</t>
  </si>
  <si>
    <t>btchmistry</t>
  </si>
  <si>
    <t>Babysitter</t>
  </si>
  <si>
    <t>Okoye</t>
  </si>
  <si>
    <t>Transported</t>
  </si>
  <si>
    <t>Cloaked</t>
  </si>
  <si>
    <t>SFerris</t>
  </si>
  <si>
    <t>Tithis</t>
  </si>
  <si>
    <t>Venche</t>
  </si>
  <si>
    <t>PeterParker</t>
  </si>
  <si>
    <t xml:space="preserve">Died, janitored</t>
  </si>
  <si>
    <t>hotshotxwl</t>
  </si>
  <si>
    <t>Cloak</t>
  </si>
  <si>
    <t xml:space="preserve">Rick Mason</t>
  </si>
  <si>
    <t>Ward</t>
  </si>
  <si>
    <t xml:space="preserve">Received mail</t>
  </si>
  <si>
    <t>dyno10</t>
  </si>
  <si>
    <t>Doctor</t>
  </si>
  <si>
    <t xml:space="preserve">Jane Foster</t>
  </si>
  <si>
    <t>Self-healing</t>
  </si>
  <si>
    <t>Neo</t>
  </si>
  <si>
    <t>Fail</t>
  </si>
  <si>
    <t>Red123</t>
  </si>
  <si>
    <t>James868</t>
  </si>
  <si>
    <t>Jailed</t>
  </si>
  <si>
    <t>Flatline</t>
  </si>
  <si>
    <t xml:space="preserve">Received mail, cloaked</t>
  </si>
  <si>
    <t>plateofeggs</t>
  </si>
  <si>
    <t>Shuri</t>
  </si>
  <si>
    <t>Doctored</t>
  </si>
  <si>
    <t>shogunsama</t>
  </si>
  <si>
    <t>lksaar</t>
  </si>
  <si>
    <t>Motivated</t>
  </si>
  <si>
    <t>Landorus</t>
  </si>
  <si>
    <t>Fisherman</t>
  </si>
  <si>
    <t xml:space="preserve">Alexei Shostakov / Red Guardian</t>
  </si>
  <si>
    <t>Incognito</t>
  </si>
  <si>
    <t>Fish</t>
  </si>
  <si>
    <t>Watcher</t>
  </si>
  <si>
    <t xml:space="preserve">W PeterParker</t>
  </si>
  <si>
    <t xml:space="preserve">plateofeggs, ichiro666</t>
  </si>
  <si>
    <t xml:space="preserve">Jailed, died</t>
  </si>
  <si>
    <t xml:space="preserve">Innocent Child -&gt; Bus Driver</t>
  </si>
  <si>
    <t>Mantis</t>
  </si>
  <si>
    <t xml:space="preserve">Doctored, recruited</t>
  </si>
  <si>
    <t xml:space="preserve">lksaar &amp; PeterParker</t>
  </si>
  <si>
    <t>Babysat</t>
  </si>
  <si>
    <t xml:space="preserve">Transported, motivated, doctored</t>
  </si>
  <si>
    <t>Bliepo</t>
  </si>
  <si>
    <t xml:space="preserve">Jack of All Trades</t>
  </si>
  <si>
    <t>G'iah</t>
  </si>
  <si>
    <t xml:space="preserve">RB, W, T, J, Doc, K</t>
  </si>
  <si>
    <t xml:space="preserve">GS armistice</t>
  </si>
  <si>
    <t xml:space="preserve">No gun</t>
  </si>
  <si>
    <t xml:space="preserve">Det James868</t>
  </si>
  <si>
    <t xml:space="preserve">Transported, jailed</t>
  </si>
  <si>
    <t>Shrink</t>
  </si>
  <si>
    <t>Missed</t>
  </si>
  <si>
    <t xml:space="preserve">Transported, doctored</t>
  </si>
  <si>
    <t xml:space="preserve">SC Red123</t>
  </si>
  <si>
    <t>Guilty</t>
  </si>
  <si>
    <t xml:space="preserve">T sl0play</t>
  </si>
  <si>
    <t>Nowhere</t>
  </si>
  <si>
    <t xml:space="preserve">K sl0play</t>
  </si>
  <si>
    <t xml:space="preserve">J lksaar</t>
  </si>
  <si>
    <t>veecou</t>
  </si>
  <si>
    <t>Jailkeeper</t>
  </si>
  <si>
    <t xml:space="preserve">Doctor Strange</t>
  </si>
  <si>
    <t>RB'd</t>
  </si>
  <si>
    <t>CrkMStanz</t>
  </si>
  <si>
    <t>Noway</t>
  </si>
  <si>
    <t>Mailman</t>
  </si>
  <si>
    <t xml:space="preserve">Steve Rogers / Captain America</t>
  </si>
  <si>
    <t>Nehtaro</t>
  </si>
  <si>
    <t>jetstream</t>
  </si>
  <si>
    <t>nastykast</t>
  </si>
  <si>
    <t>Motivator</t>
  </si>
  <si>
    <t xml:space="preserve">Trevor Slattery</t>
  </si>
  <si>
    <t>ichiro666</t>
  </si>
  <si>
    <t>Roleblocker</t>
  </si>
  <si>
    <t>Vision</t>
  </si>
  <si>
    <t>HookTL</t>
  </si>
  <si>
    <t xml:space="preserve">Jailed, lynched D5</t>
  </si>
  <si>
    <t xml:space="preserve">Shrink -&gt; Mafia Gunman</t>
  </si>
  <si>
    <t xml:space="preserve">Hank Pym</t>
  </si>
  <si>
    <t xml:space="preserve">2 kills left</t>
  </si>
  <si>
    <t>armistice</t>
  </si>
  <si>
    <t xml:space="preserve">Transported, recruited</t>
  </si>
  <si>
    <t xml:space="preserve">Kill ichiro666</t>
  </si>
  <si>
    <t>Spy</t>
  </si>
  <si>
    <t>Shang-Chi</t>
  </si>
  <si>
    <t>Bulletproof</t>
  </si>
  <si>
    <t>X</t>
  </si>
  <si>
    <t xml:space="preserve">T: sl0play; W: No one</t>
  </si>
  <si>
    <t xml:space="preserve">T: Nowhere; W: No one</t>
  </si>
  <si>
    <t xml:space="preserve">Received gun, babysat</t>
  </si>
  <si>
    <t>darisk</t>
  </si>
  <si>
    <t>Infected</t>
  </si>
  <si>
    <t>vortec42</t>
  </si>
  <si>
    <t xml:space="preserve">T: lksaar; W: No one</t>
  </si>
  <si>
    <t xml:space="preserve">Kill nastykast</t>
  </si>
  <si>
    <t xml:space="preserve">Transported, died</t>
  </si>
  <si>
    <t>Gravik</t>
  </si>
  <si>
    <t xml:space="preserve">T: SFerris, tonicgin; W: plateofeggs, ichiro666</t>
  </si>
  <si>
    <t xml:space="preserve">T: jetstream; W: No one</t>
  </si>
  <si>
    <t xml:space="preserve">T: lksaar, Flatline; W:ichiro666</t>
  </si>
  <si>
    <t xml:space="preserve">T: Nowhere; W: plateofeggs</t>
  </si>
  <si>
    <t xml:space="preserve">Vengeful Townsperson</t>
  </si>
  <si>
    <t>Valkyrie</t>
  </si>
  <si>
    <t>Tough</t>
  </si>
  <si>
    <t xml:space="preserve">Received mail, transported</t>
  </si>
  <si>
    <t>Veteran</t>
  </si>
  <si>
    <t>Sersi</t>
  </si>
  <si>
    <t xml:space="preserve">2 actions left</t>
  </si>
  <si>
    <t>Doused</t>
  </si>
  <si>
    <t>Alert</t>
  </si>
  <si>
    <t xml:space="preserve">Watchful Detective -&gt; Mafia Goon</t>
  </si>
  <si>
    <t xml:space="preserve">Agatha Harkness</t>
  </si>
  <si>
    <t xml:space="preserve">Det Nehtaro</t>
  </si>
  <si>
    <t xml:space="preserve">Det BlueMarble</t>
  </si>
  <si>
    <t xml:space="preserve">Watch eastlondondon</t>
  </si>
  <si>
    <t xml:space="preserve">btchmistry, vortec42</t>
  </si>
  <si>
    <t xml:space="preserve">Det SFerris</t>
  </si>
  <si>
    <t xml:space="preserve">Infected, motivated</t>
  </si>
  <si>
    <t xml:space="preserve">Transported, cloaked, recruited, doctored</t>
  </si>
  <si>
    <t xml:space="preserve">Kill btchmistry</t>
  </si>
  <si>
    <t xml:space="preserve">Transported, motivated, babysat, doctored</t>
  </si>
  <si>
    <t>Arsonist</t>
  </si>
  <si>
    <t xml:space="preserve">Adrian Toomes / Vulture</t>
  </si>
  <si>
    <t xml:space="preserve">Doctor identity</t>
  </si>
  <si>
    <t>Breakthrough</t>
  </si>
  <si>
    <t xml:space="preserve">Psycho -&gt; Cop</t>
  </si>
  <si>
    <t xml:space="preserve">Thaddeus Ross</t>
  </si>
  <si>
    <t>Insane</t>
  </si>
  <si>
    <t xml:space="preserve">Transported, fake innocent</t>
  </si>
  <si>
    <t>getrav</t>
  </si>
  <si>
    <t xml:space="preserve">RB'd, fake fail</t>
  </si>
  <si>
    <t xml:space="preserve">Cured, motivated</t>
  </si>
  <si>
    <t xml:space="preserve">SFerris, tonicgin</t>
  </si>
  <si>
    <t xml:space="preserve">SFerris: Guilty, tonicgin: Innocent</t>
  </si>
  <si>
    <t>Innocent</t>
  </si>
  <si>
    <t xml:space="preserve">darisk, Landorus</t>
  </si>
  <si>
    <t xml:space="preserve">darisk: Guilty, Landorus: Fail</t>
  </si>
  <si>
    <t>Sidekick</t>
  </si>
  <si>
    <t xml:space="preserve">Aunt May</t>
  </si>
  <si>
    <t>Detective</t>
  </si>
  <si>
    <t>Consulting</t>
  </si>
  <si>
    <t xml:space="preserve">Mail James868</t>
  </si>
  <si>
    <t xml:space="preserve">Mail btchmistry</t>
  </si>
  <si>
    <t xml:space="preserve">Recruited, received mail, transported</t>
  </si>
  <si>
    <t xml:space="preserve">Det ichiro666</t>
  </si>
  <si>
    <t xml:space="preserve">Lynched D3</t>
  </si>
  <si>
    <t>Slut</t>
  </si>
  <si>
    <t xml:space="preserve">Emil Blonsky / Abomination</t>
  </si>
  <si>
    <t xml:space="preserve">Lynched D4</t>
  </si>
  <si>
    <t>Witch</t>
  </si>
  <si>
    <t xml:space="preserve">Quentin Beck / Mysterio</t>
  </si>
  <si>
    <t xml:space="preserve">HookTL -&gt; shogunsama</t>
  </si>
  <si>
    <t xml:space="preserve">HookTL -&gt; eastlondondon</t>
  </si>
  <si>
    <t>tonicgin</t>
  </si>
  <si>
    <t xml:space="preserve">Mafia Amnesiac -&gt; Godfather</t>
  </si>
  <si>
    <t>Logan/Wolverine</t>
  </si>
  <si>
    <t>Recruiting</t>
  </si>
  <si>
    <t xml:space="preserve">Recruit PeterParker</t>
  </si>
  <si>
    <t xml:space="preserve">Transported, died, janitored</t>
  </si>
  <si>
    <t xml:space="preserve">Mafia Bus Driver</t>
  </si>
  <si>
    <t xml:space="preserve">Wade Wilson / Deadpool</t>
  </si>
  <si>
    <t xml:space="preserve">btchmistry &amp; PeterParker</t>
  </si>
  <si>
    <t xml:space="preserve">Neo &amp; Bliepo</t>
  </si>
  <si>
    <t xml:space="preserve">Nehtaro &amp; veecou</t>
  </si>
  <si>
    <t xml:space="preserve">James868 &amp; Bliepo</t>
  </si>
  <si>
    <t xml:space="preserve">nastykast &amp; eastlondondon</t>
  </si>
  <si>
    <t xml:space="preserve">tonicgin &amp; ichiro666</t>
  </si>
  <si>
    <t xml:space="preserve">PeterParker &amp; Venche</t>
  </si>
  <si>
    <t xml:space="preserve">ichiro666 &amp; shogunsama</t>
  </si>
  <si>
    <t xml:space="preserve">Mafia Cloak</t>
  </si>
  <si>
    <t xml:space="preserve">Frank Castle / The Punisher</t>
  </si>
  <si>
    <t xml:space="preserve">Mafia Godfather</t>
  </si>
  <si>
    <t>Colossus</t>
  </si>
  <si>
    <t xml:space="preserve">Kill lksaar</t>
  </si>
  <si>
    <t>Controlled</t>
  </si>
  <si>
    <t xml:space="preserve">Kill armistice</t>
  </si>
  <si>
    <t xml:space="preserve">Recruit Bliepo</t>
  </si>
  <si>
    <t xml:space="preserve">Cloaked, died, janitored</t>
  </si>
  <si>
    <r>
      <rPr>
        <strike/>
      </rPr>
      <t>Katara</t>
    </r>
    <r>
      <rPr/>
      <t xml:space="preserve"> jetstream</t>
    </r>
  </si>
  <si>
    <t xml:space="preserve">Mafia Jack of All Trades</t>
  </si>
  <si>
    <t xml:space="preserve">Reed Richards</t>
  </si>
  <si>
    <t xml:space="preserve">Det, W, T, Doc, C</t>
  </si>
  <si>
    <t xml:space="preserve">GS Noway</t>
  </si>
  <si>
    <t xml:space="preserve">SC shogunsama</t>
  </si>
  <si>
    <t xml:space="preserve">Det Landorus</t>
  </si>
  <si>
    <t xml:space="preserve">RB veecou</t>
  </si>
  <si>
    <t xml:space="preserve">J dyno10</t>
  </si>
  <si>
    <t xml:space="preserve">Cloaked, motivated</t>
  </si>
  <si>
    <t xml:space="preserve">T: PeterParker, Doc: Flatline</t>
  </si>
  <si>
    <t xml:space="preserve">T: btchmistry, Doc: Success</t>
  </si>
  <si>
    <t xml:space="preserve">Kill Tithis</t>
  </si>
  <si>
    <t xml:space="preserve">C dyno10</t>
  </si>
  <si>
    <t xml:space="preserve">Mafia Janitor</t>
  </si>
  <si>
    <t>Dopinder</t>
  </si>
  <si>
    <t xml:space="preserve">1 action left</t>
  </si>
  <si>
    <t xml:space="preserve">RB'd, transported, doctored</t>
  </si>
  <si>
    <t xml:space="preserve">Mafia Safety Expert</t>
  </si>
  <si>
    <t xml:space="preserve">Benjamin "Dex" Poindexter / Bullseye</t>
  </si>
  <si>
    <t xml:space="preserve">GS hotshotxwl</t>
  </si>
  <si>
    <t xml:space="preserve">Lynched D2</t>
  </si>
  <si>
    <t xml:space="preserve">Mafia Doctor / Traitor</t>
  </si>
  <si>
    <t xml:space="preserve">Hank McCoy / Beast</t>
  </si>
  <si>
    <t xml:space="preserve">Neo &amp; Noway</t>
  </si>
  <si>
    <t xml:space="preserve">Neo: Fail, Noway: Success</t>
  </si>
  <si>
    <t>Recruited</t>
  </si>
  <si>
    <t>Dead</t>
  </si>
  <si>
    <t>Configuration</t>
  </si>
  <si>
    <t xml:space="preserve">Number of Alive Players</t>
  </si>
  <si>
    <t xml:space="preserve">Players Needed to Lynch</t>
  </si>
  <si>
    <t xml:space="preserve">Number of Dead Players</t>
  </si>
  <si>
    <t>Night</t>
  </si>
  <si>
    <t>From</t>
  </si>
  <si>
    <t>To</t>
  </si>
  <si>
    <t>Message</t>
  </si>
  <si>
    <t>Reply</t>
  </si>
  <si>
    <t xml:space="preserve">Here's to not dying first this time!</t>
  </si>
  <si>
    <t xml:space="preserve">Are you the guy I died with last game?? Also if you're scum, don't kill me please. Both you and town will need me this game.</t>
  </si>
  <si>
    <t xml:space="preserve">Avengers… assemble.
This is Captain America — your friendly neighborhood Town Mailman, reporting in.
Every message I send will be clearly traceable. We fight with truth. We lead with accountability.
Furthermore, I’ll make sure that at least three living players never receive mail from me.
If three isn’t enough to earn your trust, speak up. Suggest a higher number. I’m more than willing to go further if it helps Town sleep better at night.
I’m placing my trust in you. Once you’re confirmed as Town, I’ll openly declare my allegiance with a single line:
"I'm with you till the end of the line."
As for the next recipient of my message…
They'll receive something different — a line that speaks for itself:
"I’m not looking for forgiveness. And I’m way past asking for permission."
Stay sharp. We need every hero we can get.
And for the record — I didn’t mail James868. That wasn’t me, and I stand firmly by that.</t>
  </si>
  <si>
    <t xml:space="preserve">If you are unabomber, do nothing, and I will pray I can get defused. We would be enemies.
If you ARE friendly however, identify yourself in the thread quietly today. Quote one of my many, many posts, and use the :nod: emoji if you would like me to mail your identity to someone else. Use :no: if you want me to not mail it to someone else. If you want to choose who I mail it to, reference their name or quote their post immediately afterwards.
I do have another action (not a killing one) but am not using it tonight.</t>
  </si>
  <si>
    <t xml:space="preserve">This is Neo. James is most likely town but not 100%. Any information you want to share?</t>
  </si>
  <si>
    <t xml:space="preserve">Avengers… assemble.
This is Captain America — your friendly neighborhood Town Mailman — standing with you, shoulder to shoulder.
I’m opening this line of communication — as requested — even though you’ve taken no action yet. I’m putting my faith in your role — don’t let it go to waste.
Every word I send will be accountable, and grounded in truth. We don’t hide in the shadows. We lead by example.
To earn your trust, I’ll make sure that at least three living players never receive mail from me.
I’m more than willing to go further if it helps Town sleep better at night. — I’ll go further, just say the word, 5, 10?
Because if it helps Town rest easier, it’s worth it.
When you’re confirmed as an ally, I’ll stand beside you and remind you where I stand with a single line:
"I can do this all day."
On Night 1, I reached out to Neo. He and you share these words:
"I’m not looking for forgiveness. And I’m way past asking for permission."
Go ahead and share them openly. That way Neo can confirm it was me who messaged the two of you.
My next message will carry a different truth — a line you and the next hero will know:
"I’m just a kid from Brooklyn."
Stay sharp. Stay ready. This fight will need every hero we’ve got. 
P.S. — I missed my action night 0. I’ll be sharper moving forward.</t>
  </si>
  <si>
    <t xml:space="preserve">*******************************************************************************************************************************************************************
IMPORTANT: Welcome to the game, jetstream. You have a ton of posts to read. However, if I (Noway) am dead, please post the text indicated below in the thread as soon as possible. If am not dead, just share "I’m just a kid from Brooklyn." in the thread.
*******************************************************************************************************************************************************************
Avengers… assemble.
This is Captain America — your friendly neighborhood Town Mailman — standing with you, shoulder to shoulder.
Post "I’m just a kid from Brooklyn." and Nehtaro can confirm this message is coming from me (Noway).
As for the next recipient of my message…
They'll receive something different — a line that speaks for itself:
"I don’t like bullies, no matter where they’re from."
I was going to message Nehtaro, but it occurred to me that if we have a Bloody Mary, Neo would have been recruited by it.
If said Blood Mary is someone that was popular, I am dead and so is Nehtaro, however you did not post much and will likely survive the night.
So I am messaging this to you.
****************************************************************
IF AM DEAD, PLEASE POST THIS AS SOON AS POSSIBLE IN THE THREAD:
****************************************************************
Captain America's last wish, sharing the draft of his post for today:
Neo flip reveals us that he was not recruited by Mafia (his role had 3P color), however if he was recruited by 3P he would flip as he did, i.e. Sidekick in purple color.
So unfortunately the flip cannot be used to confirm that I am not Unabomber.
Since he was 3P, cult would fail recruiting him.
However I think that Neo was recruited by a killer 3P. Here is why:
Neo replied to my message during the day, after he already got the night results.
If Neo wanted to be recruited, why he did not message me that he was a Sidekick?
If I am Mafia Mailman, the whole team knows and we are ready to recruit.
If I am Town Mailman, I can message a town recruiter.
If I am Unabomber (and he was unrecruited), well he would have been recruited by me and his reply would have been different.
Here is his reply:
[quote]
If you are unabomber, do nothing, and I will pray I can get defused. We would be enemies.
If you ARE friendly however, identify yourself in the thread quietly today. Quote one of my many, many posts, and use the :nod: emoji if you would like me to mail your identity to someone else. Use :no: if you want me to not mail it to someone else. If you want to choose who I mail it to, reference their name or quote their post immediately afterwards.
I do have another action (not a killing one) but am not using it tonight.
[/quote]
Was he already recruited by 3P at that moment?
"We would be enemies." --&gt; We would be 3P enemies?
"I do have another action" --&gt; Detective from 3P recruitment?
I sent this to jetstream instead of what was agreed in case there is a Bloody Mary.
A Bloody Mary would have recruited Neo (I am assuming Bloody Mary can recruit).
If Bloody Mary was someone popular, like Venche (or vortec42). I and Nehtaro are dead along many others.
Katara (now jetstream) was silent enough to survive.</t>
  </si>
  <si>
    <t xml:space="preserve">Avengers… assemble.
This is Captain America — your friendly neighborhood Town Mailman — standing with you, shoulder to shoulder.
If you’re willing, post this line:
"I don’t like bullies, no matter where they’re from."
jetstream can confirm it came from me.
My next message will carry different words — a line that speaks for itself:
"I’m loyal to nothing except the dream."
I’m opening this channel in case you’ve got something you want to share. Truth be told, I’ve got my doubts about you. Maybe I’m wrong. Tonight, my top three options weren’t worth the effort, and my fourth choice… well, the coin landed your way.
Stay sharp. Stay ready. This fight is going to need every hero we’ve got.</t>
  </si>
  <si>
    <t xml:space="preserve">Avengers… assemble.
This is Captain America — your friendly neighborhood Town Mailman.
On Night 4, I reached out to Red123. He and you share these words:
"I’m loyal to nothing except the dream."
Go ahead and share them openly. That way Red123 can confirm it was me who messaged the two of you.
My next message will carry a different truth — a line you and the next hero will know:
"Even when the whole world tells you to move, you plant yourself like a tree and say: No, you move."
Stay sharp.
P.S. — https://www.youtube.com/watch?v=OxrbM7Hcg84</t>
  </si>
  <si>
    <t xml:space="preserve">Winning Team</t>
  </si>
  <si>
    <t xml:space="preserve">Donated by</t>
  </si>
  <si>
    <t>MVP</t>
  </si>
  <si>
    <t>PotG</t>
  </si>
  <si>
    <t>TOTAL</t>
  </si>
  <si>
    <t xml:space="preserve">Secret Awards</t>
  </si>
  <si>
    <t>Invincible</t>
  </si>
  <si>
    <t xml:space="preserve">Flub of the Game</t>
  </si>
  <si>
    <t>Winner(s)</t>
  </si>
  <si>
    <t xml:space="preserve">Secret Rewards</t>
  </si>
  <si>
    <t xml:space="preserve">Reference #</t>
  </si>
  <si>
    <t xml:space="preserve">Win Condition</t>
  </si>
  <si>
    <t xml:space="preserve">First person to reference the CCC</t>
  </si>
  <si>
    <t xml:space="preserve">First person to try to lynch the host or previous game's hosts</t>
  </si>
  <si>
    <t xml:space="preserve">If any of these aren't met, you can add to MVP.</t>
  </si>
  <si>
    <t xml:space="preserve">Losing team</t>
  </si>
  <si>
    <t xml:space="preserve">Each mafia player that is killed by 3rd party</t>
  </si>
  <si>
    <t xml:space="preserve">First person that suggests there is a cult (if there isn't one)</t>
  </si>
  <si>
    <t xml:space="preserve">First person to claim Miller/Stump</t>
  </si>
  <si>
    <t xml:space="preserve">The first user who votes to lynch me, dyno10.</t>
  </si>
  <si>
    <t xml:space="preserve">First person to get lynched.</t>
  </si>
  <si>
    <t xml:space="preserve">3P that last longer (without winning though)</t>
  </si>
  <si>
    <t xml:space="preserve">First player mentioning a 3P that actually exist in game</t>
  </si>
  <si>
    <t xml:space="preserve">First player that accuses another player, using the word "scum" (e.g. veecou is a scum)</t>
  </si>
  <si>
    <t xml:space="preserve">First player that counterclaims someone</t>
  </si>
  <si>
    <t xml:space="preserve">First player that fake-claims in thread using colors (e.g I am town doctor)</t>
  </si>
  <si>
    <t xml:space="preserve">First player to guess someone's role correctly.</t>
  </si>
  <si>
    <t xml:space="preserve">If any of those does not apply there are some alternatives:</t>
  </si>
  <si>
    <t xml:space="preserve">first mislynched</t>
  </si>
  <si>
    <t xml:space="preserve">first anti-town that got lynched</t>
  </si>
  <si>
    <t xml:space="preserve">first player killed by 3P</t>
  </si>
  <si>
    <t xml:space="preserve">first player killed by a town killing role</t>
  </si>
  <si>
    <t xml:space="preserve">first hammer-vote</t>
  </si>
  <si>
    <t xml:space="preserve">last lynched</t>
  </si>
  <si>
    <t xml:space="preserve">If your game has at least 1 Cat, then the first player to have their intended action redirected by a Cat.
If your game has 0 Cats, then the first player to vote lynch SFerris.</t>
  </si>
  <si>
    <t xml:space="preserve">Anybody who calls me an Arsonist with a high confidence before I am out of the game.</t>
  </si>
  <si>
    <t xml:space="preserve">GGn !tip Paste</t>
  </si>
  <si>
    <t xml:space="preserve">Winnings Total</t>
  </si>
  <si>
    <t>Flub</t>
  </si>
  <si>
    <t xml:space="preserve">Secret 1</t>
  </si>
  <si>
    <t xml:space="preserve">Secret 2</t>
  </si>
  <si>
    <t xml:space="preserve">Secret 3</t>
  </si>
  <si>
    <t xml:space="preserve">Secret 4</t>
  </si>
  <si>
    <t xml:space="preserve">Secret 5</t>
  </si>
  <si>
    <t xml:space="preserve">Secret 6</t>
  </si>
  <si>
    <t xml:space="preserve">Secret 7</t>
  </si>
  <si>
    <t xml:space="preserve">Secret 8</t>
  </si>
  <si>
    <t xml:space="preserve">Secret 9</t>
  </si>
  <si>
    <t xml:space="preserve">Secret 10</t>
  </si>
  <si>
    <t xml:space="preserve">Secret 11</t>
  </si>
  <si>
    <t xml:space="preserve">Secret 12</t>
  </si>
  <si>
    <t xml:space="preserve">Secret 13</t>
  </si>
  <si>
    <t xml:space="preserve">Secret 14</t>
  </si>
  <si>
    <t xml:space="preserve">Secret 15</t>
  </si>
  <si>
    <t xml:space="preserve">Secret 16</t>
  </si>
  <si>
    <t xml:space="preserve">Secret 17</t>
  </si>
  <si>
    <t xml:space="preserve">Secret 18</t>
  </si>
  <si>
    <t xml:space="preserve">Secret 19</t>
  </si>
  <si>
    <t xml:space="preserve">Secret 20</t>
  </si>
  <si>
    <t xml:space="preserve">Secret 21</t>
  </si>
  <si>
    <t xml:space="preserve">Secret 22</t>
  </si>
  <si>
    <t xml:space="preserve">Secret 23</t>
  </si>
  <si>
    <t xml:space="preserve">Secret 24</t>
  </si>
  <si>
    <t xml:space="preserve">Secret 25</t>
  </si>
  <si>
    <t xml:space="preserve">Secret 26</t>
  </si>
  <si>
    <t xml:space="preserve">Secret 27</t>
  </si>
  <si>
    <t xml:space="preserve">Secret 28</t>
  </si>
  <si>
    <t xml:space="preserve">Secret 29</t>
  </si>
  <si>
    <t xml:space="preserve">Secret 30</t>
  </si>
  <si>
    <t xml:space="preserve">Role from Thread</t>
  </si>
  <si>
    <t xml:space="preserve">Role Description</t>
  </si>
  <si>
    <t xml:space="preserve">Random Townie</t>
  </si>
  <si>
    <t xml:space="preserve">[color=#00ff00]Random Townie[/color] - Random Townie does random Town things.</t>
  </si>
  <si>
    <t xml:space="preserve">Other Random Townie</t>
  </si>
  <si>
    <r>
      <rPr>
        <sz val="10"/>
        <rFont val="Arial"/>
      </rPr>
      <t xml:space="preserve">[color=#00ff00]Other Random Townie[/color] - Random Townie does random Town things also... but </t>
    </r>
    <r>
      <rPr>
        <i/>
        <sz val="10"/>
        <rFont val="Arial"/>
      </rPr>
      <t>other</t>
    </r>
    <r>
      <rPr>
        <sz val="10"/>
        <rFont val="Arial"/>
      </rPr>
      <t xml:space="preserve"> random things.</t>
    </r>
  </si>
  <si>
    <t xml:space="preserve">Random Mafia</t>
  </si>
  <si>
    <t xml:space="preserve">[color=red]Random Mafia[/color] - A Random Mafia tries to kill people or something.</t>
  </si>
  <si>
    <t xml:space="preserve">Other Random Mafia</t>
  </si>
  <si>
    <t xml:space="preserve">[color=red]Other Random Mafia[/color] - Other Random Mafia might try to help Random Mafia kill people.</t>
  </si>
  <si>
    <t xml:space="preserve">Random Third Party</t>
  </si>
  <si>
    <t xml:space="preserve">[color=#8e7cc3]Random Third Party[/color] - I do things. Randomly.</t>
  </si>
  <si>
    <t xml:space="preserve">Absorber - An Absorber passively and reflexively copies all active abilities that target them. The Absorber can then use the "absorbed" abilities on subsequent nights (but only one ability per night). If the absorber is targeted by a JoAT or similar, it will only absorb the ability actively in use that night, not all the possible abilities. Each ability learned will be a one-shot action (a failed attempt does not count against the limit). The absorber is affected normally by the actions that target it.</t>
  </si>
  <si>
    <t xml:space="preserve">Amnesiac - An Amnesiac can take over the role of any dead town member, but can only use this action once. However, it CAN take over the role of another dead town Amnesiac. This is not a visiting role.</t>
  </si>
  <si>
    <t xml:space="preserve">Apprentice - An Apprentice targets one player each night and learns that player's ability. The Apprentice then can use its learned ability on subsequent nights, but only one ability per night. When using the ability, the Apprentice will NOT learn a new one. The Apprentice can only learn active abilities and the learned ability will be a one-shot action (where a failed attempt does not count against this limit). If the Apprentice targets a player that has more than one action, such as a JoAT, it will only learn the action that player is actively using that night. This is a visiting role.</t>
  </si>
  <si>
    <t xml:space="preserve">Armourer - An Armourer can give out a total of three shields during the game, including one shield to itself (and a failed attempt does not count against this limit). The shields are given out as an item and the targeted player can then choose when to use their shield. They will forfeit their night action when equipping the shield and it cannot be given out to another person. All actions targeting the shielded player will rebound onto the original player using that action. The shield will break after it is used. Shields do not stack. The player targeted by the Armourer will know it received a shield, but not the Armourer’s identity. The Armourer does not carry a gun. This is a visiting role.</t>
  </si>
  <si>
    <t xml:space="preserve">Arms Dealer - An Arms Dealer can give out a total of three guns during the game, including one gun to itself (and a failed attempt does not count against this limit). The gun allows the player to perform a one-shot kill on subsequent nights and it will be lost after its use. Players that have received a gun and haven't performed the one-shot kill action yet will be seen as gun holders until after they use it. The Arms Dealer carries a gun regardless of whether it has given itself one or if it has no guns left to give out. It cannot give more than one gun to the same player. This is a visiting role.</t>
  </si>
  <si>
    <t xml:space="preserve">Authenticator - An Authenticator targets one player each night and will verify if any items that the target was given by another player and which are still in its possession are real or fabricated. Both parties will be notified of the verification and, if any item is fabricated, it will be disposed of. The Authenticator does not carry a gun. This is a visiting role.</t>
  </si>
  <si>
    <t xml:space="preserve">Babysitter - A Babysitter targets a player at night to protect them. However, if the Babysitter is killed that night, both the Babysitter and its target will die. The Babysitter cannot babysit themselves. This is a visiting role.</t>
  </si>
  <si>
    <t xml:space="preserve">Batman - Batman chooses one player to watch, track AND sane cop each night. Batman appears guilty to investigative roles and cannot be tracked (but can still be watched). Detective investigations fail. Batman carries a [bat]gun. This is a visiting role</t>
  </si>
  <si>
    <t xml:space="preserve">Bear Trapper - A Bear Trapper may perform a Roleblock OR Track action each night. This is a visiting role.</t>
  </si>
  <si>
    <t xml:space="preserve">Blacksmith - A Blacksmith visits one player each night. That player is automatically equipped with a vest. The vest allows the recipient to survive one shot or one stab, but will not protect against bombs. The Blacksmith is allowed to give itself a vest once. Vests do not stack. This is a visiting role.</t>
  </si>
  <si>
    <t xml:space="preserve">The Blacksmith role may have the following variation: The Blacksmith has a total of X vests to give out at night (a failed attempted does not count against the limit).</t>
  </si>
  <si>
    <t xml:space="preserve">Bus Driver - A Bus Driver selects two targets at night to drive around. Actions directed at one of the targets will go to the other instead and vice versa. Targets will know they were transported, but not who they were swapped with. This is not a visiting role.</t>
  </si>
  <si>
    <t xml:space="preserve">Cloak - A Cloak chooses one player at night to cloak. Anybody they cloak is unblockable and invisible to tracking/watching/following/voyeuring (i.e. those actions simply do not detect the cloaked player and its actions). This is NOT a visiting role.</t>
  </si>
  <si>
    <t xml:space="preserve">Commuter - A Commuter can choose to leave Town during the night, becoming ineligible for night actions. If combined with another role, it cannot use a night action when commuting, even if that night action is passive. This ability cannot be used two consecutive nights. This is not a visiting role.</t>
  </si>
  <si>
    <t xml:space="preserve">Constantine - A Constantine targets one player per night to either detective OR kill. The Constantine Is the force against the Cult, therefore it cannot be recruited. Constantine appears guilty to sane cops and carries a gun. This is a visiting role.</t>
  </si>
  <si>
    <t xml:space="preserve">Cop - A Cop investigates one player each night to determine if they are guilty or innocent. The Cop cannot investigate themselves. The Cop carries a gun. This is a visiting role.</t>
  </si>
  <si>
    <t xml:space="preserve">Defuser - A Defuser may visit one player each night. If the target has a bomb planted on them, it will be defused, and both parties will be notified that the defusing was successful. This is a visiting role.</t>
  </si>
  <si>
    <t xml:space="preserve">Dentist - Each night, chooses one player to silence for the following day. The target cannot post in the thread the day they are silenced. The Dentist cannot silence the same player two days in a row. Is a visiting role.</t>
  </si>
  <si>
    <t xml:space="preserve">Detective - A Detective investigates one player each night to determine their role. The Detective does not learn their alignment. The Detective carries a gun. This is a visiting role.</t>
  </si>
  <si>
    <t xml:space="preserve">Doctor - A Doctor chooses one player at night to save. The save can be used on the bodyguard if they are targeted for a kill, but it will not save the bodyguard if they are protecting someone who is targeted for a kill. This is a visiting role.</t>
  </si>
  <si>
    <t xml:space="preserve">The Doctor role may have the following variation: The Doctor can choose to use a self-heal once.</t>
  </si>
  <si>
    <t xml:space="preserve">Dreamer - A Dreamer has a dream every night that gives information on 3 players, one of which is non-town. (One of player1, player2, player3 is guilty.) Third party roles/Godfather do not show up in dreams. The Dreamer does not dream if it is visited. This is not a visiting role.</t>
  </si>
  <si>
    <t xml:space="preserve">Elite Bodyguard - An Elite Bodyguard chooses one player at night to save. The Elite Bodyguard protects the target, kills the attacker, and then dies. If multiple people attack the protected target, only one randomly-selected attacker dies. The Elite Bodyguard carries a gun. This is a visiting role.</t>
  </si>
  <si>
    <t xml:space="preserve">Engineer - An Engineer has a panel of buttons connected to the rooms of every player, including their own room. Each button can lock the door of that player's room, preventing anyone from coming or going (i.e. the locked door only affects visiting actions). Each button can only be pressed once, but any number can be pressed each night. This is not a visiting role.</t>
  </si>
  <si>
    <t xml:space="preserve">The Engineer role may have the following variation: If the Engineer is killed during the night, the players he is actively locking that night will die as well.</t>
  </si>
  <si>
    <t xml:space="preserve">Exceptional Rookie Cop - An Exceptional Rookie Cop chooses a target each night to determine if they are guilty or innocent. The Exceptional Rookie Cop cannot target themselves. (Note: The different sanities - Sane, Insane, Paranoid, Paranoid Insane and Naive - also apply to the Exceptional Rookie Cop and, like a regular Cop, it will not know about its sanity). After the Cop dies, the Exceptional Rookie Cop will be promoted to Exceptional Detective, learning the role AND alignment of its targets. The promotion takes one night to be completed, meaning the Exceptional Detective has to wait one night to start submitting its actions. The Exceptional Rookie Cop/Detective carries a gun. This is a visiting role.</t>
  </si>
  <si>
    <t xml:space="preserve">Exorcist - An Exorcist chooses a player each night to protect from any action of The Fallen Angel. If it tries to protect a Satanic Cult Member, that member dies. If it tries to protect the Fallen Angel, the Exorcist will die instead. The Exorcist cannot choose to protect the same player three nights in a row and cannot protect themselves. This is a visiting role.</t>
  </si>
  <si>
    <t xml:space="preserve">Fashion Stylist - At the start of each day, the Fashion Stylist will learn the identity of any deceased player (killed overnight or lynched the day before) that was suited by a Tailor, but not the player's original role. This ability is passive and will succeed even if the player is roleblocked. This is not a visiting role.</t>
  </si>
  <si>
    <t xml:space="preserve">Fashion Assistant - At the start of each day, the Fashion Assistant will learn the identity of any deceased player (killed overnight or lynched the day before) that was given a gown by the Seamstress, but not the player's original role. This ability is passive, but it will not get results if it is visited. This is not a visiting role.</t>
  </si>
  <si>
    <t xml:space="preserve">FBI Agent - Each night, an FBI Agent may investigate a player and determine whether they are guilty or innocent. (It is, at its core, a Sane Cop.) The FBI Agent may also choose to flash its Badge by PMing the host at any time, and during the next time change (either day&gt;night or night&gt;day), the host will publicly reveal its role, abilities, and alignment in the main thread. The FBI Agent carries a gun. This is a visiting role.</t>
  </si>
  <si>
    <t xml:space="preserve">Fisherman - A Fisherman may fish for an item each night. Fishing for an item has a 50% chance of succeeding. Each item gives them an one-shot ability that can then be used on subsequent nights. If the Fisherman is using an item during the night, it cannot fish for another one. There is only one of each item available. The possible items are: syringe (Doctor), magnifying glasses (Sane cop), gun (Vigilante), bulletproof vest (Blacksmith), GPS locator (Tracker) and binoculars (Watcher). If the Fisherman catches a gun, it will be seen as having a gun until it is used. The Fisherman is unblockable while fishing for an item. This is not a visiting role when fishing.</t>
  </si>
  <si>
    <t xml:space="preserve">Follower - A Follower targets a player at night and learns what action they took that night, but not who they targeted. This is a visiting role.</t>
  </si>
  <si>
    <t xml:space="preserve">Forensic Investigator - A Forensic Investigator has the ability to analyze any dead player and learn what was done to them each night up until their death, but not by whom. They may use this ability three times during the game, but a failed attempt does not count against this limit. This is not a visiting role.</t>
  </si>
  <si>
    <t xml:space="preserve">Friendly Doctor - A Friendly Doctor may visit a player each night. If another player's actions would cause that target to die that night, it will survive instead. Additionally, targeted players will receive a message saying they were visited by the Friendly Doctor, and that message will include the Friendly Doctor’s name, but the message cannot be responded to. If the Friendly Doctor prevents a death, both it and the player it saved will know, but neither will know who was responsible for the kill attempt.</t>
  </si>
  <si>
    <t xml:space="preserve">Friendly Neighbor - A Friendly Neighbor can send one message each night to a player, stating that the Friendly Neighbor is town. This mail may not be responded to. This is not a visiting role.</t>
  </si>
  <si>
    <t xml:space="preserve">Geneticist - A Geneticist can choose one player and then forcibly clone that player’s role onto another player of their choice, completely changing the player’s role and alignment for the rest of the game. An attempt of cloning a team member into another team (i. e. trying to clone a scum/Cult member into a Town role or a Mason/Cult into a scum role or a Cult member into a Town/scum role, etc) will fail. The Geneticist can only use this ability ONCE. This is not a visiting role.</t>
  </si>
  <si>
    <t xml:space="preserve">Gladiator - A Gladiator can choose to challenge any player during the night ONCE during the game. The following day, only the Gladiator and its opponent are eligible for lynching, but there must be a lynching, which means that if the day ends in a tie, BOTH of them will be lynched. The identity of the Gladiator will NOT be announced when the challenge day begins; only which two players are lynch candidates will be announced. This is not a visiting role.</t>
  </si>
  <si>
    <t xml:space="preserve">Governor - A Governor can override one lynch during the game. The Governor can choose another player or No Lynch. It must PM the host the selection before the role of the lynched player is revealed. A good way to do this is to send a PM saying "If so-and-so is lynched, lynch so-and-so instead." This action can only be used once. The identity of the Governor will be revealed when the ability is used. This is not a visiting role.</t>
  </si>
  <si>
    <t xml:space="preserve">Gunsmith - A Gunsmith investigates one player each night to determine if they have a gun. These common roles will carry guns: scum faction members, Detectives, Cops, Jacks of All Trades, FBI Agents, and Vigilantes (Note: this is a general guide. For information on whether or not a specific, less common role carries a gun, check that role's description). Third party killers and Godfathers do not carry guns. The Gunsmith itself does not carry a gun. This is a visiting role.</t>
  </si>
  <si>
    <t xml:space="preserve">Hider - A Hider may hide behind one player every night. Whatever happens to the player they hide behind also happens to them. If the Hider tries to hide behind a scum player, it will die. When hiding, actions directly targeting the Hider will fail, but it can be targeted normally when not using its ability. This is a visiting role.</t>
  </si>
  <si>
    <t xml:space="preserve">Innocent Child - An Innocent Child has no night actions. If targeted by a faction kill, third party killer, or Town Doctor/Vigilante, the child grows up to become a part of the team that they were visited by, and they will receive a randomly selected role from that team. If they are visited by a third party killer, they are aligned with that killer and share a chat room with that killer, gaining Detective abilities. This is not a visiting role while not recruited.</t>
  </si>
  <si>
    <t xml:space="preserve">Inquisitor - An Inquisitor can ask a total of three yes/no questions to the host via PM about night events or the setting. When talking about players, the Inquisitor has to use the role name and not the player name (or the question is invalid). Questions fail if the player is visited. A failed attempt does not count against the limit. This is not a visiting role.</t>
  </si>
  <si>
    <t xml:space="preserve">Insane Cop - An Insane Cop investigates one player each night to determine if they are guilty or innocent. The Insane Cop cannot investigate themselves. The Insane Cop’s investigations will reveal results that are the opposite of the truth, but it does not know its sanity. The Insane Cop carries a gun. This is a visiting role.</t>
  </si>
  <si>
    <t xml:space="preserve">Inventor - An Inventor can give out a total of five items (gadgets) during the game. Each gadget typically provides a one-shot use of a power role ability, such as a one-shot kill or a one-shot detective. The gadgets are chosen from a list provided in the Inventor’s role PM (there isn’t a fixed list of gadgets, it is up to the host to come up with one). The Inventor can give one item to themselves. The host may or may not reveal to the Inventor what each gadget does. This is a visiting role.</t>
  </si>
  <si>
    <t xml:space="preserve">Jack of All Trades - A Jack of All Trades (JoAT) has the ability to perform one of these actions each night: detective, sane cop, roleblock, watch, track, gunsmith, jail and kill. The JoAT can only use each action once, but a failed attempt does not count against this limit. The JoAT carries a gun. This is a visiting role.</t>
  </si>
  <si>
    <t xml:space="preserve">Jailkeeper - A Jailkeeper jails one target each night, and that target is roleblocked (cannot use a night ability) and immune to all night actions. If the Jailkeeper dies, the prisoner dies at the same time (and it does not matter if the prisoner is vested, is a Stump/Tough Guy or has a modifier that would prevent or delay death otherwise). This is a visiting role.</t>
  </si>
  <si>
    <t xml:space="preserve">Jesus - If Jesus gets lynched, he will rise again. While he is dead, he may commune with one dead player and learn their night actions and results. If there are over 20 players remaining, he will rise after 3 days. If there are under 20, 2 days. If under 15, he will rise the next day. Jesus is a one trick pony and cannot be resurrected a second time. This is not a visiting role.</t>
  </si>
  <si>
    <t xml:space="preserve">Keymaker - A Keymaker makes a Key each night and gives it to a player. That player can then lock itself in its house during any night of the game, but only for one night. The player using the key is considered to be jailed for that night. The Keymaker can make one key for himself. Each key is unique and can only be given once. This is a visiting role.</t>
  </si>
  <si>
    <t xml:space="preserve">Lie Detector - Each night, a Lie Detector may send the host a quote containing a statement given by another player. The host will then reveal if the statement is a lie or not. A statement using just a color to identify an alignment will not succeed. The statement has to be clear and there can’t be more than one in each quote. This is not a visiting role.</t>
  </si>
  <si>
    <t xml:space="preserve">Mailman - A Mailman can send an anonymous message to another player of their choice at night. This is done by sending the host the target's name and the message. The host will then send the message on to the target. The recipient can send a message in reply. This is not a visiting role.</t>
  </si>
  <si>
    <t xml:space="preserve">Martyr - A Martyr can use their ability once. The Martyr chooses a target to kill, kills that target, and then dies. The Martyr cannot be saved when using their ability. This is a visiting role.</t>
  </si>
  <si>
    <t xml:space="preserve">Mason - Masons share a chat room. They recruit one player each night through a voting system - they are allowed to vote for "Nobody", but they are NOT allowed to refrain from voting. Only a majority is needed to recruit a player, but if no majority is reached, the recruitment will not happen. Recruiting a Town member removes that player's ability, and that player becomes a Mason. Recruiting Cult Members kills those Cult Members. Recruiting a scum faction member fails, and kills any Masons who voted to recruit that player. If the recruit is a scum member and is also targeted to be recruited by Cult on the same night, the action fails but no Masons die. The first Mason will be the leader and will carry out the recruitment. If more than one Mason exists at the beginning of the game, they will decide on N0 which one of them will be the leader. If the leader dies, the remaining Masons will decide again who will become the new leader. Masons are immune to other recruitment. There is a 50% chance of the game starting with a Mason whose abilities are intact. This is a visiting role when recruiting.</t>
  </si>
  <si>
    <t xml:space="preserve">Master Surgeon - Like a Doctor, a Master Surgeon chooses one player to save at night. A Master Surgeon cannot self-heal. Saving is a visiting action. Alternatively, a Master Surgeon can revive one dead player immediately after death. That player will randomly be assigned a new role matching their original alignment. A Master Surgeon cannot target themselves for revival. Revival is not a visiting action. After a revival, a Master Surgeon cannot use a Doctor’s ability on the following two nights.</t>
  </si>
  <si>
    <t xml:space="preserve">Medium - Every other night, a Medium gets additional information about the night events or the setting. When talking about players, the host will use the role name, not a player’s name. The Medium does not receive information if visited. A random choice will be made to determine if the Medium will start getting information on N0 or N1.</t>
  </si>
  <si>
    <t xml:space="preserve">Miller - A Miller is a Vanilla townie who show as guilty to sane Cops and innocent to Insane Cops. This is not a visiting role.</t>
  </si>
  <si>
    <t xml:space="preserve">Mortician - A Mortician can choose a dead player each night and obtain the player's true role, no matter how that role is disguised. This is not a visiting role.</t>
  </si>
  <si>
    <t xml:space="preserve">The Mortician role may have the following variation: The Mortician must examine the same dead player twice before it receives the role information, as it takes two nights to fully examine the body.</t>
  </si>
  <si>
    <t xml:space="preserve">Motivator - A Motivator targets a player at night to allow them to use an extra action. The extra action is available the next night and the next night only. Factional abilities, such as the Mafia night kill, cannot be used twice in one night. One-shot type of actions won’t be affected by motivation, i. e., if a Jack of All Trades is motivated, they can’t use two of the same action, they simply can use two different actions at once. The Motivator cannot motivate themselves. This is a visiting role.</t>
  </si>
  <si>
    <t xml:space="preserve">Naive Cop - A Naive Cop Investigates one player each night to determine if they are guilty or innocent. The Naive Cop cannot investigate itself. The Naive Cop’s investigations will return 'Innocent' the first three nights. After that, it loses its naivety and returns sane Cop results. The Naive Cop does not know of its naivety. The Naive Cop carries a gun. This is a visiting role.</t>
  </si>
  <si>
    <t xml:space="preserve">Neighborhood Watch - A Neighborhood Watch chooses to watch one player per night. If the watched player dies, there is a 50% chance that the Neighborhood Watch sees the killer, thus learning the killer’s identity, even if the killer is cloaked (including Sneaky Pete). If two or more Neighborhood Watch players watch the same player, there is a 100% chance that they will see the killer. All Neighborhood Watch players may communicate with each other in a chat room. Neighborhood Watch players will also get normal watch results even when the target is not killed. This is a visiting role.</t>
  </si>
  <si>
    <t xml:space="preserve">Paranoid Cop - A Paranoid Cop investigates one player each night to determine if they are guilty or innocent. The Paranoid Cop cannot investigate itself. The Paranoid Cop;s investigations will return 'Guilty' the first three nights. After that, it loses its paranoia. The Paranoid Cop does not know of its paranoia. The Paranoid Cop carries a gun. This is a visiting role.</t>
  </si>
  <si>
    <t xml:space="preserve">Paranoid Insane Cop - A Paranoid Insane Cop investigates one player each night to determine if they are guilty or innocent. A Paranoid Insane Cop cannot investigate itself. The Paranoid Insane Cop’s investigations will return 'Guilty' the first three nights. After that, it loses its paranoia, but is still insane, so investigations on N3 and beyond will return the opposite of the truth. The Paranoid Insane Cop does not know of its paranoia or insanity. The Paranoid Insane Cop carries a gun. This is a visiting role.</t>
  </si>
  <si>
    <t xml:space="preserve">Parity Cop - A Parity Cop is an information role that receives a difference check during the night on two living players of their choosing. The player chosen on N0 returns without a check. The Parity Cop then chooses a player each of the following nights and will be told if that player is of the same or different alignments to the Parity Cop’s first successful target. The Parity Cop cannot target itself until it has had one successful result. The Parity Cop carries a gun. This is a visiting role.</t>
  </si>
  <si>
    <t xml:space="preserve">Party Host - A Party Host can choose to host a party 3 times during the game (and a failed attempt does not count against this limit). On the nights the Party Host is hosting a party, any player that visits them will be jailed during that night (meaning that their action will fail and actions directed towards them will fail as well). (Note: non-visiting roles will not be affected if they target the Party Host). The next day, the players that were at the party must use the drunk translator to transform any posts they make in the game thread. As with a jailer, if the Party Host is killed while hosting a party, any player at the party will die at the same time. This is not a visiting role.</t>
  </si>
  <si>
    <t xml:space="preserve">Photographer - Each night, a Photographer may watch up to two players. The Photographer learns who visits both players that night. This is a visiting role.</t>
  </si>
  <si>
    <t xml:space="preserve">Priest - A Priest chooses a player each night to protect from being recruited by The Fallen Angel. The Priest cannot choose to protect the same player three nights in a row. The Priest can protect itself. This is a visiting role.</t>
  </si>
  <si>
    <t xml:space="preserve">Private Eye - Each night, a Private Eye may track up to two players. The Private Eye learns who those players visit that night. This is a visiting role.</t>
  </si>
  <si>
    <t xml:space="preserve">Reviver - A Reviver can revive one dead player immediately after death. That player will randomly be assigned a new role matching their original alignment. The revival will be announced in thread in the moment it happens, but the revived player’s new role won’t be revealed. The Reviver cannot target itself. This is not a visiting role.</t>
  </si>
  <si>
    <t xml:space="preserve">Rookie Cop - A Rookie Cop has no night actions until the Cop dies. After the Cop’s death, the Rookie Cop is promoted to Cop and may choose one target each night to determine if they are guilty or innocent. The promotion takes place instantly, which means the Rookie Cop can start sending actions immediately after the Cop’s death. The Rookie Cop will always become a Sane Cop. The Rookie Cop carries a gun. This is not a visiting role until they get promoted to Cop.</t>
  </si>
  <si>
    <t xml:space="preserve">Roleblocker - A Roleblocker chooses one player to block each night. The Roleblocker cannot block the same player 3 nights in a row. This is a visiting role.</t>
  </si>
  <si>
    <t xml:space="preserve">Rolestopper - A Rolestopper chooses one player to protect from all other night actions. The Rolestopper cannot target the same player two nights in a row. This is a visiting role.</t>
  </si>
  <si>
    <t xml:space="preserve">Safety Expert - A Safety Expert may either gunsmith or roleblock a single target each night. The Safety Expert is one-shot Bulletproof. This is a visiting role.</t>
  </si>
  <si>
    <t xml:space="preserve">Schizophrenic - A Schizophrenic has the ability to target one player per night, and does not know what action it takes until receiving its result PM the next morning. The action will be one of: watch, track, save (doctor), roleblock, jail, motivate, silence, detective or kill. The Schizophrenic does not carry a gun. This is a visiting role.</t>
  </si>
  <si>
    <t xml:space="preserve">Sensor - A Sensor is told after each day how many scum faction members were on the lynching bandwagon. A total is given: If 2 mafia members and 1 yakuza member were on the bandwagon, the result would be "3 scum members were on the bandwagon." A Godfather does not appear in this total. This is not a visiting role and cannot be blocked.</t>
  </si>
  <si>
    <t xml:space="preserve">Sheriff - Each night, a Sheriff may either perform a Detective or Sane Cop action. The Sheriff may only use each action 3 times. Failed attempts do not count against this limit. The Sheriff carries a gun. This is a visiting role.</t>
  </si>
  <si>
    <t xml:space="preserve">Shrink - A Shrink chooses a player each night to protect from being converted by the Cult. The Shrink cannot choose to target the same player three nights in a row. It can target itself. This is a visiting role.</t>
  </si>
  <si>
    <t xml:space="preserve">Spy - A Spy targets a player at night to track AND watch. The Spy will learn who visited that player, and who that player visited, but not what they did. The spy itself cannot be tracked or watched. This is a visiting role.</t>
  </si>
  <si>
    <t xml:space="preserve">Stump - A Stump has no night actions. Direct kills targeting the Stump will fail, but it can be targeted normally otherwise. The Stump is not recruitable [Any type of recruitment, including Mason and the Godfather (variation)]. The Stump cannot vote and cannot be lynched. (An attempt to lynch the Stump will end in a No Lynch.)</t>
  </si>
  <si>
    <t xml:space="preserve">Tracker - A Tracker targets one player each night to learn who that player visited. The Tracker does not know the nature of the visits. This is a visiting role.</t>
  </si>
  <si>
    <t xml:space="preserve">Vanilla Townie - A Vanilla Townie is not special at all. This is not even a visiting role. Poor Vanilla Townie.</t>
  </si>
  <si>
    <t xml:space="preserve">Vengeful Townsperson - If the Vengeful Townsperson gets lynched, it may choose one player (by posting their name in the thread) who will then die at the same time.</t>
  </si>
  <si>
    <t xml:space="preserve">Veteran - A Veteran may choose to stay on alert during the night. Any night the Veteran is on alert, it will kill anyone that visits it. The visiting player is killed instantly and its action fails, not affecting the Veteran, no matter what action it is or if the player is cloaked. The Veteran can stay on alert three nights during the game and cannot be on alert on N0. On the nights it is not on alert, it can be targeted normally. The Veteran carries a gun. This is not a visiting role.</t>
  </si>
  <si>
    <t xml:space="preserve">Vigilante - A Vigilante chooses one player to kill at night This kill is not compulsory unless that modifier is applied to the role. The Vigilante carries a gun. This is a visiting role.</t>
  </si>
  <si>
    <t xml:space="preserve">The Vigilante role may have the following variation: A Vigilante has X-shot (limit given by the host). A failed attempt does not count against the limit.</t>
  </si>
  <si>
    <t xml:space="preserve">Voyeur - A Voyeur chooses a target, and learns what was done to them that night, but not who did it. The Voyeur can target itself. This is a visiting role.</t>
  </si>
  <si>
    <t xml:space="preserve">Watcher - A Watcher watches one player each night to learn who visited that player. The Watcher does not know the nature of the visits. The Watcher is allowed to watch itself. This is a visiting role.</t>
  </si>
  <si>
    <t xml:space="preserve">Watchful Detective - Each night, a Watchful Detective may either Detective or Watch a target. The Watchful Detective carries a gun. This is a visiting role.</t>
  </si>
  <si>
    <t xml:space="preserve">Mafia Absorber - A Mafia Absorber passively and reflexively copies all active abilities that target them. The Mafia Absorber can then use the "absorbed" abilities on subsequent nights (but only one ability per night). Absorbers cannot copy their own team's factional abilities (like the Mafia kill), but can absorb any kills sent their way by other teams and can be targeted by their teammates. If the absorber is targeted by a JoAT or similar, it will only absorb the ability actively in use that night, not all the possible abilities. Each ability learned by the Absorber will be a one-shot action (and a failed attempt does not count against this limit). The Absorber is affected normally by the actions that target it.</t>
  </si>
  <si>
    <t xml:space="preserve">Mafia Amnesiac - The Mafia Amnesiac can take over the role of any dead Mafia member. This ability can only be used once. This is not a visiting role, unless the Amnesiac performs the factional kill.</t>
  </si>
  <si>
    <t xml:space="preserve">Mafia Apprentice - The Mafia Apprentice targets one player each night and learns that player's ability. The Mafia Apprentice then can use its learned ability on subsequent nights, but only one ability per night. When using the ability, the Apprentice will NOT learn a new one. The Apprentice can only learn active abilities and the learned ability will be a one-shot action (where a failed attempt does not count against this limit). If the Apprentice targets a player that has more than one action, such as a JoAT, it will only learn the action that player is actively using that night. The Mafia Apprentice cannot learn kill actions from their teammates, but can target them otherwise. This is a visiting role.</t>
  </si>
  <si>
    <t xml:space="preserve">Mafia Bomber - Each night, the Bomber can choose to plant a bomb on a player or detonate. Detonating kills all players who have had bombs planted on them. The Mafia Bomber cannot be doctored two nights in a row. The Mafia Bomber carries a gun. This is a visiting role.</t>
  </si>
  <si>
    <t xml:space="preserve">The Mafia Bomber role may have the following variation: The Mafia Bomber has a deadman switch that activates upon death, which means any players that have a bomb planted on them will die simultaneously when the Bomber gets killed at night. However, the deadman switch will not go off if the Mafia Bomber is lynched.</t>
  </si>
  <si>
    <t xml:space="preserve">Mafia Bus Driver - A Mafia Bus Driver selects two targets at night to drive around. Actions directed at one of the targets will go to the other instead and vice versa. Targets will know they were transported, but not who they were swapped with. The Mafia Bus Driver carries a gun. This is not a visiting role.</t>
  </si>
  <si>
    <t xml:space="preserve">Mafia Cloak - A Mafia Cloak chooses one player at night to cloak. Anybody they cloak is unblockable and invisible to tracking/watching/following/voyeuring (i.e. those actions simply do not detect the cloaked player and its actions). This is NOT a visiting role.</t>
  </si>
  <si>
    <t xml:space="preserve">Mafia Corrupt Postal Worker - A Mafia Corrupt Postal Worker can send two messages per night. This is done by sending the host the target's names and the messages. The host will then send the messages on to the targets. These messages can be responded to. The Mafia Corrupt Postal Worker carries a gun. This is not a visiting role.</t>
  </si>
  <si>
    <t xml:space="preserve">Mafia Dentist - A Mafia Dentist chooses one player at night to silence. The silenced player cannot post in the thread for one game day. The Dentist cannot target the same player twice in a row. This is a visiting role.</t>
  </si>
  <si>
    <t xml:space="preserve">Mafia Detective - A Mafia Detective Investigates one player each night to determine their role. This is a visiting role.</t>
  </si>
  <si>
    <t xml:space="preserve">Mafia Doctor - A Mafia Doctor chooses one player at night to save. This is a visiting role.</t>
  </si>
  <si>
    <t xml:space="preserve">The Mafia Doctor role may have the following variation: The Mafia Doctor can choose to use a self-heal once.</t>
  </si>
  <si>
    <t xml:space="preserve">Mafia Fabricator - A Mafia Fabricator can visit one player each night. That player will receive an item of the Fabricator's choice. A Fake vest will not protect. A Fake gun Fails on use. A fake Shield Fails on use. A limit of 3 of each Item may be given during a game. This is a visiting role.</t>
  </si>
  <si>
    <t xml:space="preserve">Mafia Framer - A Mafia Framer can make a target appear guilty to Cops and a gun owner to Gunsmiths for that night. This is a visiting role.</t>
  </si>
  <si>
    <t xml:space="preserve">Mafia Godfather - A Godfather is the head of the Mafia. The Godfather appears innocent to Cops. Detective investigations will fail. The Godfather does not carry a gun. This is a visiting role if they perform the factional kill.</t>
  </si>
  <si>
    <t xml:space="preserve">The Mafia Godfather role may have the following variation: The Godfather may choose to recruit a player once. The night the Godfather is recruiting someone, their team cannot perform the factional kill. The Godfather will die after the recruitment and cannot be saved. The recruited player will be randomly assigned a new role and will join the chat room. If the Godfather tries to recruit a player from another team (scum team, Cult or Mason, for example), the recruitment will fail and the Godfather will not die. This is a visiting role when performing the recruitment.</t>
  </si>
  <si>
    <t xml:space="preserve">Mafia Goon - A Mafia Goon is nothing more than cannon fodder. This is not a visiting role, unless they perform the factional kill.</t>
  </si>
  <si>
    <t xml:space="preserve">Mafia Gunman - A Mafia Gunman can kill one player on odd nights, but only 3 times. Failure does not count against this limit. This is a visiting role.</t>
  </si>
  <si>
    <t xml:space="preserve">Mafia Gunsmith - A Mafia Gunsmith investigates one player each night to determine if they have a gun. These common roles will carry guns: scum faction members, Detectives, Cops, Jacks of All Trades, FBI Agents, and Vigilantes (Note: this is a general guide. For information on whether or not a specific, less common role carries a gun, check that role's description). Third party killers and Godfathers do not carry guns. This is a visiting role.</t>
  </si>
  <si>
    <t xml:space="preserve">Mafia Intimidator - A Mafia Intimidator may choose a player to intimidate each night. Intimidated players’ actions fail and they are silenced for one day and cannot post in thread during that period. The Intimidator cannot target the same player two nights in a row. The Intimidator carries a gun. This is a visiting role.</t>
  </si>
  <si>
    <t xml:space="preserve">Mafia Jack of All Trades - A Mafia Jack of All Trades (JoAT) has the ability to perform one of these actions each night: detective, sane cop, roleblock, watch, track, gunsmith, cloak and jail. The JoAT can only use each action once (but a failed attempt doesn't count against this limit). This is a visiting role.</t>
  </si>
  <si>
    <t xml:space="preserve">Mafia Janitor - A Mafia Janitor can choose a target at night. If that target dies that night, the role and alignment of that target is concealed from the rest of the players upon death, but the Janitor will learn the player's role and alignment. The Janitor can use its ability 3 times. A failed attempt does not count against this limit. This is a visiting role.</t>
  </si>
  <si>
    <t xml:space="preserve">Mafia Lawyer - A Mafia Lawyer visits one player each night. That player appears innocent to Cops, Detective investigations fail, and that player does not appear to carry a gun. The Lawyer cannot target themselves. This is a visiting role.</t>
  </si>
  <si>
    <t xml:space="preserve">Mafia Mailman - A Mafia Mailman can send one anonymous message to another player of their choice at night. This is done by sending the host the target's name and the message. The host will then send the message on to the target. The recipient can send a message in reply. The Mafia Mailman carries a gun. This is not a visiting role.</t>
  </si>
  <si>
    <t xml:space="preserve">Mafia Private Eye - Each night, a Mafia Private Eye may track up to two players. The Private Eye learns who those players visit that night. This is a visiting role.</t>
  </si>
  <si>
    <t xml:space="preserve">Mafia Roleblocker - A Mafia Roleblocker chooses one player to block each night. The roleblocker cannot block the same player 3 nights in a row. This is a visiting role.</t>
  </si>
  <si>
    <t xml:space="preserve">Mafia Safety Expert - A Mafia Safety Expert may either gunsmith or roleblock a single target each night. The Safety Expert is one-shot Bulletproof. This is a visiting role.</t>
  </si>
  <si>
    <t xml:space="preserve">Mafia Seamstress - Similarly to a Tailor, the Mafia Seamstress can give a gown to a player each night, regardless of alignment. If that target dies or is investigated, that player will appear as the role of the gown. The player who receives the gown will get a message informing them they have received a gown, but it will not tell them the role of the gown. The gown lasts the entire game and can be replaced by another gown. The Seamstress only affects the Detective’s results. This is a visiting role.</t>
  </si>
  <si>
    <t xml:space="preserve">Mafia Tailor - The Mafia Tailor can give a suit to a player each night, regardless of alignment. If that target dies or is investigated, that player will appear as the role of the suit. The player who receives the suit will get a message the next day informing them that they have received a suit, but it will not tell them the role of the suit. The suit lasts the entire game, and can be replaced by another suit. The Tailor only influences the Detective’s, Cop’s, and Gunsmith's results. This is a visiting role.</t>
  </si>
  <si>
    <t xml:space="preserve">Mafia Mole - A Mafia Mole learns the identity of each Cop/Detective that investigates another Mafia member, but only receives this information two nights after the investigation (For Example, Learning of a Night 0 investigations on Night 2). The Mole does not know if they are investigated. This is not a visiting role.</t>
  </si>
  <si>
    <t xml:space="preserve">Mafia Thief - A Mafia Thief targets one player each night to steal an item from. The Thief is told what they stole, and the item will be related to that player's role. This is a visiting role.</t>
  </si>
  <si>
    <t xml:space="preserve">Mafia Torturer - A Mafia Torturer learns the night actions and results of everyone they kill.</t>
  </si>
  <si>
    <t xml:space="preserve">Mafia Tough Guy - Direct kills on a Mafia Tough Guy will fail. The Tough Guy can be lynched normally.</t>
  </si>
  <si>
    <t xml:space="preserve">Mafia Traitor - A Mafia Traitor is aligned with the Mafia but is not part of the team chat. The Mafia team will know if a Traitor exists in the game, and if they target the Traitor with their factional Kill, the Traitor will join the team chat instead of dying. The Traitor knows who is on the Mafia team, but the rest of the team does not know who the Traitor is. The Traitor will show as guilty to Cops, but does not carry a gun until he is brought into chat communication with the rest of his team. If this role is combined with another role, the other role will be what is revealed to Detectives. If all the other Mafia team members die, the unrecruited Traitor can inherit the factional Kill.</t>
  </si>
  <si>
    <t xml:space="preserve">Mafia Watchful Detective - Each night, a Mafia Watchful Detective may either Detective or Watch a target. The Watchful Detective carries a gun. This is a visiting role.</t>
  </si>
  <si>
    <t xml:space="preserve">Alien - An Alien visits one human each night to probe them. The human's night action will fail, and they will be notified of an eerie but still hazy memory of what happened to them the following night (i. e. if they are probed N1, they will be notified N2). The Alien wins if all living humans have been probed and the Alien is also still alive. If there is more than one Alien, they will be given a chat room to plot their world domination. The Alien is permanently cloaked, which means they are invisible to watch/track/follow/voyeur and are unblockable.</t>
  </si>
  <si>
    <t xml:space="preserve">Amnesiac - An Amnesiac can take over the role of any dead player on any team. The Amnesiac can only use this action once. However, they CAN take over the role of a dead scum Amnesiac or a dead Town Amnesiac and have that role’s power to take on another role again. If the third party Amnesiac becomes a scum team member, they CANNOT switch teams (i.e. to the other killing party or to town). This is not a visiting role.</t>
  </si>
  <si>
    <t xml:space="preserve">Anarchist - An Anarchist has the ability to perform one of these actions each night: detective and kill. The Anarchist wins if it kills the Governor and the Godfather. A vote to lynch players with those roles also counts for this win condition (if the lynching is successful). The Anarchist does not carry a gun. This is a visiting role.</t>
  </si>
  <si>
    <t xml:space="preserve">Barman - A Barman may choose one player each night to serve drinks to. The player’s night action will fail and they will have to use a Drunk Translator to translate any post they make during the following day. The Barman cannot target the same player three nights in a row. If the Barman is targeted for a kill, they will join their killer’s Team instead and will be able to communicate with the Team/killer through a provided chat room. After they are recruited, they will keep their abilities and can be killed normally. If recruited by a scum team, will appear guilty to sane Cops and will have a gun from that point on. This is a visiting role.</t>
  </si>
  <si>
    <t xml:space="preserve">The Barman role may have the following variation: A Barman may choose one player each night to serve drinks to. The player’s night action will fail, they will have to use a Drunk Translator to translate any post they make during the following day and they will be poisoned. Poisoned players don’t know they are poisoned and will die at the end of the following night unless saved by a Doctor (as other types of protection are ineffective against the poison). This Barman is not a recruitable role. This is a visiting role.</t>
  </si>
  <si>
    <t xml:space="preserve">Bloody Mary - A Bloody Mary has no night actions until she is summoned during the day in the game thread. When a player mentions Bloody Mary’s player’s name three or more times in the thread, she will visit that player the next night and that player will die. If more than one player summons her, she will appear to all of them. The only way to prevent the killings is by roleblocking Bloody Mary - no type of protection works against her, including jailing, snuggling by a Cat, or being locked in by an Engineer. Voting for Bloody Mary or quoting her or other players’ quotes naming her do not count as part of the summoning, but misspellings of her name do count. Detective investigations on Bloody Mary fail. This is not a visiting role.</t>
  </si>
  <si>
    <t xml:space="preserve">Bomber - Each night, a Bomber can choose to plant a bomb on a player or detonate. Detonating kills all players who have had bombs planted on them, unless they are doctored. The Bomber wins when all other players have been reduced to chunky salsa. The Bomber chooses one of the following variants on Night 0: Tough (Takes 2 night kill attempts to die.) or[/u] Unsuspecting. (Detective investigations fail). The Bomber does not carry a gun. This is a visiting role.</t>
  </si>
  <si>
    <t xml:space="preserve">The Bomber role may have the following variations: - The Bomber has a deadman switch that activates upon death. Any players that have a bomb planted on them will die simultaneously when the Bomber is lynched during the day or when the Bomber gets killed at night (unless they are doctored).</t>
  </si>
  <si>
    <t xml:space="preserve">- The Bomber has a delayed deadman switch that activates upon lynching. After the Bomber is lynched, any bombs that he has planted will go off at the end of the following night, allowing possible doctors or defusers to act at night and save the ones planted. If the Bomber is killed during the night, it will be up to the host if the bombs will go off immediately or won’t go off at all.</t>
  </si>
  <si>
    <t xml:space="preserve">Cat - A Cat snuggles with one player each night. That player's night action fails, and every action directed at that player will each be randomly redirected to someone else. Players that had their action redirected will be notified about it, but won’t know their new target. If a scum team successfully "kills" the Cat, it will instead become the scum team’s Cat and is able to join that team's chat room. If a Townie/3rd party killer successfully "kills" the Cat, it instead becomes the Townie's/killer's pet and is able to talk with the Townie/killer who targeted them (through a provided chat room). Once recruited, the Cat will keep its abilities and, if recruited by a scum faction, will appear guilty to sane cops and will carry a gun from that point on. The Cat cannot snuggle with the same player 3 nights in a row. This is a visiting role.</t>
  </si>
  <si>
    <t xml:space="preserve">Courier - Each night, a Courier may send up to 3 anonymous messages to other players, which can be replied to. After 5 players have died, or on night 3, the Courier must choose to commit to either the Town or the Mafia, and wins when its chosen faction does. The Courier does not gain access to the Mafia chat if it commits to their faction. The Courier will keep its abilities after committing to one faction. This is not a visiting role.</t>
  </si>
  <si>
    <t xml:space="preserve">Cult Amnesiac - The Cult Amnesiac is the first player recruited to join the Cult. A Cult Amnesiac can become the Cult Leader if the Cult Leader dies.</t>
  </si>
  <si>
    <t xml:space="preserve">Cult Leader - Each night, a Cult Leader selects one player to recruit to join the Cult. Attempting to recruit a member of a scum faction or other faction that offer communication kills the Cult Leader, so it must recruit carefully! The Cult Leader wins when the majority of living players are part of the Cult.</t>
  </si>
  <si>
    <t xml:space="preserve">Cult Member - A Cult Member is any player recruited to the Cult after the Cult Amnesiac has already been recruited. Cult Members have no night actions.</t>
  </si>
  <si>
    <t xml:space="preserve">Fallen Angel - A Fallen Angel has the ability to perform one of these actions each night: recruit OR kill OR investigate and roleblock (a single target). The Fallen Anger does not carry a gun and appears innocent to cops. Detective investigations will fail. Attempting to recruit a scum team member kills the Fallen Angel. The Fallen Anger wins when the majority of living players are part of the Satanic Cult or if it is the last player alive.</t>
  </si>
  <si>
    <t xml:space="preserve">Insane Amnesiac - The Insane Amnesiac takes over anyone's role... on the same night that it murders them! After that, it can revert back to Insane Amnesiac 3 times, a process which takes one night. If the Insane Amnesiac takes over a role that is part of a scum faction, it does not join that team’s chat room and it does not receive the name of faction members, just the faction’s name. This is a visiting role.</t>
  </si>
  <si>
    <t xml:space="preserve">Lover - A Lover visits one player on either N0 or N1 (if by N2 you haven't picked your target yet, the host will randomly assign one for you). The target falls madly in love with this player and they will get a bedroom chat room to talk to each other. If one dies, so does the other. They are not allowed to reveal they are lovers to anyone else or to reveal teammates to each other (if applicable). The Lover wins if both it and its target are alive when the game ends.</t>
  </si>
  <si>
    <t xml:space="preserve">Piper - A Piper targets one player each night to charm. Charmed players will know the names of all other charmed players, but not who the Piper is. The Piper wins when all other living players are charmed. This is a visiting role.</t>
  </si>
  <si>
    <t xml:space="preserve">Pyscho - A Psycho will be told they are a town visiting role. The Psycho may soon start to notice, however, that everyone it visits winds up dead. A Psycho will get fake results, made up by the host. When investigated, the Psycho will deliver the results of the town role it has been told it is. If visited by a Town Shrink, the Psycho will be cured and join Town as the role it was originally told it was. If there are no Shrinks, it just goes on killing until everyone dies. It does not carry a gun. This is a visiting role.</t>
  </si>
  <si>
    <t xml:space="preserve">Rambo - Rambo gets one kill each night. Rambo also can track OR watch one player each night. Rambo is one-shot bulletproof and appears innocent to Cops. At the start of the game (N0), Rambo chooses an "identity," which is what is revealed to Detectives. Rambo does not carry a gun. This is a visiting role.</t>
  </si>
  <si>
    <t xml:space="preserve">Satanic Cult Amnesiac - A Satanic Cult Amnesiac is the first player recruited by the Fallen Angel. The Satanic Cult Amnesiac can become the Fallen Angel if the Fallen Angel dies.</t>
  </si>
  <si>
    <t xml:space="preserve">Satanic Cult Member - A Satanic Cult Member is any player recruited by the Fallen Angel after the Satanic Cult Amnesiac has already been recruited. Satanic Cult Members have no night actions.</t>
  </si>
  <si>
    <t xml:space="preserve">Serial Killer - A Serial Killer can kill one player each night. The Serial Killer is one-shot Bulletproof. This is a visiting role.</t>
  </si>
  <si>
    <t xml:space="preserve">Sidekick - If targeted for a night kill, a Sidekick does not die. Instead, the Sidekick joins the team of the player who tried to kill them and can speak with them in a chat room. After recruitment, the Sidekick can be killed like anyone else. If recruited by another 3rd party, the Sidekick gains Detective abilities.</t>
  </si>
  <si>
    <t xml:space="preserve">Slut - A Slut targets one player each night. The target is roleblocked and infected with an STD. This STD is highly contagious and anyone they visit over the next 2 nights will be infected as well. The target will know they are sick the night after the infection, when they will be notified of a weird itching in their private area. If not cured, the target dies during the 3rd night after the infection. A regular doctor can cure the infected player. The Slut wins when all players are infected or when it is the last player alive. The Slut appears innocent to Cops. Detective investigations fail. This is a visiting role.</t>
  </si>
  <si>
    <t xml:space="preserve">Sneaky Pete - A Sneaky Pete chooses one player to kill each night. The Sneaky Pete cannot be tracked, watched or blocked. Sneaky Pete does not carry a gun.</t>
  </si>
  <si>
    <t xml:space="preserve">Spree Killer - Instead of killing right away, a Spree Killer targets a player each night to go onto its kill list. When there are names of 3 living players on this list, it goes on a killing spree and kills them all in one night. The last name is added the same night of the killings. (Ex: N0: Add Player X; N1: Add Player Y; N2: Add Player Z and kill all players on the list - X, Y, Z). On the night of the kills, the Spree Killer appears guilty to Cops and as Spree Killer to detectives. On the other nights, the Spree Killer appears innocent to Cops and Detectives will see a town role that has been randomly assigned by the host. This is a visiting role when performing the kill and can be blocked normally.</t>
  </si>
  <si>
    <t xml:space="preserve">The Imposter - The Imposter targets one player a night to "steal" the ability from for the following night. It will only steal abilities that are being actively used that night and factional abilities such as the Mafia kill cannot be stolen. On the next night, The Imposter can then use that ability while the previous night’s target will not be able to. The night after that, the target gets their ability back and The Imposter picks another player. They cannot target the same player twice (unless everyone alive has been picked already). The Imposter wins if they are alive at the end of the game AND Town loses</t>
  </si>
  <si>
    <t xml:space="preserve">Unabomber - A Unabomber will appear innocent to Cops, and show as Mailman to Detectives. The Unabomber sends mail just like a Mailman (and those mails can be replied to), and can choose to detonate the mail while alive on any night. Any player that has received mail from the Unabomber will be killed unless protected/jailed/etc. A new mail can be sent out on the same night as the detonation, but that detonation will not kill the player who is sent mail on that night. The Unabomber will appear as a Mailman if lynched, but as Unabomber if it is killed at night. If the Unabomber is killed before detonating, no mail detonates. This is not a visiting role.</t>
  </si>
  <si>
    <t xml:space="preserve">Werewolf - A Werewolf can choose to go on a rampage at a player’s house on odd nights. The Werewolf will kill the player and everyone that visits the player during that night (non-visiting roles will not be affected). The Werewolf can also choose to stay home on odd nights and, similarly, will kill anyone that visits it that night. The Werewolf cannot be blocked when going on a rampage, but its kill can be prevented normally by protective actions. Detective investigations fail on a Werewolf. This is a visiting role.</t>
  </si>
  <si>
    <t xml:space="preserve">Witch - A Witch targets one player each night to control, forcefully redirecting their action to a target of their choice. The action of the target becomes compulsory, i.e. they will perform an action even if they originally chose not to (and in that case, if they have more than one action available, the action used will be randomly selected). The Witch can only control active abilities. The target will know that they were controlled by a Witch, but they will not learn who they targeted. The Witch wins if they are alive at the end of the game AND Town loses. The witch appears innocent to Cops. Detective investigations fail. This is NOT a visiting role.</t>
  </si>
  <si>
    <t xml:space="preserve">Bleeding - If shot, a Bleeding player will not die instantly but at the beginning of the next night. The player will know he was shot but not by whom.</t>
  </si>
  <si>
    <t xml:space="preserve">Boastful - A Boastful player can either use his role OR announce something anonymously in the thread every night.</t>
  </si>
  <si>
    <t xml:space="preserve">Breakthrough - A player with the Breakthrough modifier cannot be roleblocked.</t>
  </si>
  <si>
    <t xml:space="preserve">Bulletproof - A Bulletproof player starts off with one bulletproof vest, which allows that player to survive one shot or one stab. The vest does not protect against bombs.</t>
  </si>
  <si>
    <t xml:space="preserve">Compulsive - A Compulsive player must use its action every night. If the player fails to submit an action, the host will randomly choose an action/target for that night.</t>
  </si>
  <si>
    <t xml:space="preserve">Consulting - A Consulting player can either use his role OR a mailman's action every night.</t>
  </si>
  <si>
    <t xml:space="preserve">Incognito - An Incognito player cannot be watched or tracked. Detective investigations fail.</t>
  </si>
  <si>
    <t xml:space="preserve">Lethal - When performing a kill, nothing can stop a Lethal player, including doctors, vests, bodyguards or any other protective role.</t>
  </si>
  <si>
    <t xml:space="preserve">Tough - A Tough player cannot be killed at night. (Not to be confused with the Mafia Tough Guy role.)</t>
  </si>
  <si>
    <t xml:space="preserve">Ward - A player with a Ward has a one-time use shield that will reflect a kill attempt to another randomly chosen target. It does not protect against bombs.</t>
  </si>
  <si>
    <t xml:space="preserve">Dead chat:</t>
  </si>
  <si>
    <t>https://chathe.net/join/jROE3GjE1G</t>
  </si>
  <si>
    <t xml:space="preserve">/msg ChanServ IDENTIFY n5rG955Wcswn</t>
  </si>
  <si>
    <t>Mafia:</t>
  </si>
  <si>
    <t>https://chathe.net/join/oWpEbl57l4</t>
  </si>
  <si>
    <t xml:space="preserve">/msg ChanServ IDENTIFY Huo1z60GGlKW</t>
  </si>
  <si>
    <t>Yakuza:</t>
  </si>
  <si>
    <t>KGB:</t>
  </si>
  <si>
    <t xml:space="preserve">3rd Party:</t>
  </si>
  <si>
    <t>https://chathe.net/join/82oejqGEyn</t>
  </si>
  <si>
    <t xml:space="preserve">/msg ChanServ IDENTIFY CtOHWWzTq4ts</t>
  </si>
  <si>
    <t xml:space="preserve">Game Title</t>
  </si>
  <si>
    <t xml:space="preserve">XXX Mafia # - </t>
  </si>
  <si>
    <t>Filler</t>
  </si>
  <si>
    <t xml:space="preserve">BBRole - Desc</t>
  </si>
  <si>
    <t>BBRole</t>
  </si>
  <si>
    <t xml:space="preserve">Solo PM</t>
  </si>
  <si>
    <t>Solo:</t>
  </si>
  <si>
    <t xml:space="preserve">Hello and welcome to XXX Mafia #XX - 
You are a 
Feel free to ask any questions about your role or the game itself.
Good luck and have fun!</t>
  </si>
  <si>
    <t>Team:</t>
  </si>
  <si>
    <t xml:space="preserve">Hello and welcome to XXX Mafia #XX - 
You are the team:
Chatroom link: 
Feel free to ask any questions about your role or the game itself.
Good luck and have fun!</t>
  </si>
  <si>
    <t xml:space="preserve">.
</t>
  </si>
  <si>
    <t xml:space="preserve">
Feel free to ask any questions about your role or the game itself.
Good luck and have fun!</t>
  </si>
  <si>
    <t>Town</t>
  </si>
  <si>
    <t>Mafia</t>
  </si>
  <si>
    <t xml:space="preserve">Hello and welcome to XXX Mafia # - 
Your role is [color=#00ff00]Absorber[/color].
[color=#00ff00]Absorber[/color] - An Absorber passively and reflexively copies all active abilities that target them. The Absorber can then use the "absorbed" abilities on subsequent nights (but only one ability per night). If the absorber is targeted by a JoAT or similar, it will only absorb the ability actively in use that night, not all the possible abilities. Each ability learned will be a one-shot action (a failed attempt does not count against the limit). The absorber is affected normally by the actions that target it.
Feel free to ask any questions about your role or the game itself.
Good luck and have fun!</t>
  </si>
  <si>
    <t xml:space="preserve">3rd Party</t>
  </si>
  <si>
    <t>Modifier</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</si>
</sst>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24">
    <font>
      <sz val="10.000000"/>
      <color theme="1"/>
      <name val="Arial"/>
    </font>
    <font>
      <name val="Arial"/>
    </font>
    <font/>
    <font>
      <sz val="9.000000"/>
      <name val="Arial"/>
    </font>
    <font>
      <color rgb="FFF3F3F3"/>
      <name val="Arial"/>
    </font>
    <font>
      <strike/>
    </font>
    <font>
      <strike/>
      <name val="Arial"/>
    </font>
    <font>
      <b/>
    </font>
    <font>
      <sz val="11.000000"/>
    </font>
    <font>
      <sz val="11.000000"/>
      <color rgb="FFA61D4C"/>
    </font>
    <font>
      <b/>
      <sz val="10.000000"/>
      <name val="Arial"/>
    </font>
    <font>
      <sz val="10.000000"/>
    </font>
    <font>
      <color indexed="65"/>
    </font>
    <font>
      <u/>
      <sz val="10.000000"/>
      <color theme="10"/>
      <name val="Arial"/>
    </font>
    <font>
      <sz val="10.000000"/>
      <name val="Arial"/>
    </font>
    <font>
      <b/>
      <color indexed="65"/>
    </font>
    <font>
      <color rgb="FF434343"/>
    </font>
    <font>
      <color rgb="FFCCCCCC"/>
    </font>
    <font>
      <color rgb="FF666666"/>
    </font>
    <font>
      <color indexed="3"/>
    </font>
    <font>
      <sz val="11.000000"/>
      <color rgb="FF666666"/>
    </font>
    <font>
      <sz val="11.000000"/>
      <color rgb="FF11A9CC"/>
    </font>
    <font>
      <sz val="11.000000"/>
      <color rgb="FF434343"/>
    </font>
    <font>
      <sz val="11.000000"/>
      <color rgb="FFEFEFEF"/>
    </font>
  </fonts>
  <fills count="28">
    <fill>
      <patternFill patternType="none"/>
    </fill>
    <fill>
      <patternFill patternType="gray125"/>
    </fill>
    <fill>
      <patternFill patternType="solid">
        <fgColor rgb="FFD9EAD3"/>
        <bgColor rgb="FFD9EAD3"/>
      </patternFill>
    </fill>
    <fill>
      <patternFill patternType="solid">
        <fgColor rgb="FF434343"/>
        <bgColor rgb="FF434343"/>
      </patternFill>
    </fill>
    <fill>
      <patternFill patternType="solid">
        <fgColor rgb="FF93C47D"/>
        <bgColor rgb="FF93C47D"/>
      </patternFill>
    </fill>
    <fill>
      <patternFill patternType="solid">
        <fgColor rgb="FFF6B26B"/>
        <bgColor rgb="FFF6B26B"/>
      </patternFill>
    </fill>
    <fill>
      <patternFill patternType="solid">
        <fgColor rgb="FFE06666"/>
        <bgColor rgb="FFE06666"/>
      </patternFill>
    </fill>
    <fill>
      <patternFill patternType="solid">
        <fgColor rgb="FF8E7CC3"/>
        <bgColor rgb="FF8E7CC3"/>
      </patternFill>
    </fill>
    <fill>
      <patternFill patternType="solid">
        <fgColor rgb="FFF4CCCC"/>
        <bgColor rgb="FFF4CCCC"/>
      </patternFill>
    </fill>
    <fill>
      <patternFill patternType="solid">
        <fgColor rgb="FFF1C232"/>
        <bgColor rgb="FFF1C232"/>
      </patternFill>
    </fill>
    <fill>
      <patternFill patternType="solid">
        <fgColor rgb="FFD9D9D9"/>
        <bgColor rgb="FFD9D9D9"/>
      </patternFill>
    </fill>
    <fill>
      <patternFill patternType="solid">
        <fgColor rgb="FF6D9EEB"/>
        <bgColor rgb="FF6D9EEB"/>
      </patternFill>
    </fill>
    <fill>
      <patternFill patternType="solid">
        <fgColor rgb="FFFFD966"/>
        <bgColor rgb="FFFFD966"/>
      </patternFill>
    </fill>
    <fill>
      <patternFill patternType="solid">
        <fgColor rgb="FFB7B7B7"/>
        <bgColor rgb="FFB7B7B7"/>
      </patternFill>
    </fill>
    <fill>
      <patternFill patternType="solid">
        <fgColor rgb="FFC9DAF8"/>
        <bgColor rgb="FFC9DAF8"/>
      </patternFill>
    </fill>
    <fill>
      <patternFill patternType="solid">
        <fgColor rgb="FFFFF2CC"/>
        <bgColor rgb="FFFFF2CC"/>
      </patternFill>
    </fill>
    <fill>
      <patternFill patternType="solid">
        <fgColor rgb="FFEFEFEF"/>
        <bgColor rgb="FFEFEFEF"/>
      </patternFill>
    </fill>
    <fill>
      <patternFill patternType="solid">
        <fgColor rgb="FFD9D2E9"/>
        <bgColor rgb="FFD9D2E9"/>
      </patternFill>
    </fill>
    <fill>
      <patternFill patternType="solid">
        <fgColor rgb="FF76A5AF"/>
        <bgColor rgb="FF76A5AF"/>
      </patternFill>
    </fill>
    <fill>
      <patternFill patternType="solid">
        <fgColor rgb="FFD0E0E3"/>
        <bgColor rgb="FFD0E0E3"/>
      </patternFill>
    </fill>
    <fill>
      <patternFill patternType="solid">
        <fgColor indexed="3"/>
        <bgColor indexed="3"/>
      </patternFill>
    </fill>
    <fill>
      <patternFill patternType="solid">
        <fgColor indexed="2"/>
        <bgColor indexed="2"/>
      </patternFill>
    </fill>
    <fill>
      <patternFill patternType="solid">
        <fgColor rgb="FFE300FF"/>
        <bgColor rgb="FFE300FF"/>
      </patternFill>
    </fill>
    <fill>
      <patternFill patternType="solid">
        <fgColor indexed="5"/>
        <bgColor indexed="5"/>
      </patternFill>
    </fill>
    <fill>
      <patternFill patternType="solid">
        <fgColor indexed="7"/>
        <bgColor indexed="7"/>
      </patternFill>
    </fill>
    <fill>
      <patternFill patternType="solid">
        <fgColor indexed="52"/>
        <bgColor indexed="52"/>
      </patternFill>
    </fill>
    <fill>
      <patternFill patternType="solid">
        <fgColor rgb="FFCCCCCC"/>
        <bgColor rgb="FFCCCCCC"/>
      </patternFill>
    </fill>
    <fill>
      <patternFill patternType="solid">
        <fgColor rgb="FFF3F3F3"/>
        <bgColor rgb="FFF3F3F3"/>
      </patternFill>
    </fill>
  </fills>
  <borders count="8">
    <border>
      <left style="none"/>
      <right style="none"/>
      <top style="none"/>
      <bottom style="none"/>
      <diagonal style="none"/>
    </border>
    <border>
      <left style="none"/>
      <right style="thick">
        <color auto="1"/>
      </right>
      <top style="none"/>
      <bottom style="none"/>
      <diagonal style="none"/>
    </border>
    <border>
      <left style="thin">
        <color auto="1"/>
      </left>
      <right style="thin">
        <color auto="1"/>
      </right>
      <top style="none"/>
      <bottom style="thin">
        <color rgb="FF666666"/>
      </bottom>
      <diagonal style="none"/>
    </border>
    <border>
      <left style="none"/>
      <right style="thin">
        <color auto="1"/>
      </right>
      <top style="none"/>
      <bottom style="thin">
        <color rgb="FF666666"/>
      </bottom>
      <diagonal style="none"/>
    </border>
    <border>
      <left style="none"/>
      <right style="none"/>
      <top style="none"/>
      <bottom style="thin">
        <color rgb="FF666666"/>
      </bottom>
      <diagonal style="none"/>
    </border>
    <border>
      <left style="none"/>
      <right style="thick">
        <color auto="1"/>
      </right>
      <top style="none"/>
      <bottom style="thin">
        <color rgb="FF666666"/>
      </bottom>
      <diagonal style="none"/>
    </border>
    <border>
      <left style="none"/>
      <right style="thin">
        <color rgb="FF666666"/>
      </right>
      <top style="none"/>
      <bottom style="thin">
        <color rgb="FF666666"/>
      </bottom>
      <diagonal style="none"/>
    </border>
    <border>
      <left style="none"/>
      <right style="thin">
        <color auto="1"/>
      </right>
      <top style="none"/>
      <bottom style="thin">
        <color auto="1"/>
      </bottom>
      <diagonal style="none"/>
    </border>
  </borders>
  <cellStyleXfs count="1">
    <xf fontId="0" fillId="0" borderId="0" numFmtId="0" applyNumberFormat="1" applyFont="1" applyFill="1" applyBorder="1"/>
  </cellStyleXfs>
  <cellXfs count="131">
    <xf fontId="0" fillId="0" borderId="0" numFmtId="0" xfId="0" applyAlignment="1">
      <alignment readingOrder="0"/>
    </xf>
    <xf fontId="1" fillId="2" borderId="0" numFmtId="0" xfId="0" applyFont="1" applyFill="1" applyAlignment="1" quotePrefix="1">
      <alignment horizontal="center" readingOrder="0"/>
    </xf>
    <xf fontId="1" fillId="2" borderId="0" numFmtId="0" xfId="0" applyFont="1" applyFill="1" applyAlignment="1">
      <alignment horizontal="center"/>
    </xf>
    <xf fontId="0" fillId="0" borderId="0" numFmtId="0" xfId="0" applyAlignment="1">
      <alignment readingOrder="0"/>
    </xf>
    <xf fontId="2" fillId="0" borderId="0" numFmtId="0" xfId="0" applyFont="1" applyAlignment="1">
      <alignment readingOrder="0"/>
    </xf>
    <xf fontId="1" fillId="0" borderId="0" numFmtId="0" xfId="0" applyFont="1" applyAlignment="1">
      <alignment readingOrder="0"/>
    </xf>
    <xf fontId="3" fillId="0" borderId="0" numFmtId="0" xfId="0" applyFont="1" applyAlignment="1">
      <alignment readingOrder="0"/>
    </xf>
    <xf fontId="3" fillId="0" borderId="1" numFmtId="0" xfId="0" applyFont="1" applyBorder="1" applyAlignment="1">
      <alignment readingOrder="0"/>
    </xf>
    <xf fontId="1" fillId="0" borderId="0" numFmtId="0" xfId="0" applyFont="1"/>
    <xf fontId="1" fillId="0" borderId="1" numFmtId="0" xfId="0" applyFont="1" applyBorder="1"/>
    <xf fontId="4" fillId="3" borderId="0" numFmtId="0" xfId="0" applyFont="1" applyFill="1" applyAlignment="1">
      <alignment horizontal="center" readingOrder="0"/>
    </xf>
    <xf fontId="4" fillId="3" borderId="2" numFmtId="0" xfId="0" applyFont="1" applyFill="1" applyBorder="1" applyAlignment="1">
      <alignment horizontal="center"/>
    </xf>
    <xf fontId="4" fillId="3" borderId="3" numFmtId="0" xfId="0" applyFont="1" applyFill="1" applyBorder="1" applyAlignment="1">
      <alignment horizontal="center"/>
    </xf>
    <xf fontId="4" fillId="3" borderId="4" numFmtId="0" xfId="0" applyFont="1" applyFill="1" applyBorder="1" applyAlignment="1">
      <alignment horizontal="center"/>
    </xf>
    <xf fontId="4" fillId="3" borderId="5" numFmtId="0" xfId="0" applyFont="1" applyFill="1" applyBorder="1" applyAlignment="1">
      <alignment horizontal="center" readingOrder="0"/>
    </xf>
    <xf fontId="4" fillId="3" borderId="6" numFmtId="0" xfId="0" applyFont="1" applyFill="1" applyBorder="1" applyAlignment="1">
      <alignment horizontal="center"/>
    </xf>
    <xf fontId="4" fillId="3" borderId="4" numFmtId="0" xfId="0" applyFont="1" applyFill="1" applyBorder="1" applyAlignment="1">
      <alignment horizontal="center" readingOrder="0"/>
    </xf>
    <xf fontId="4" fillId="3" borderId="1" numFmtId="0" xfId="0" applyFont="1" applyFill="1" applyBorder="1" applyAlignment="1">
      <alignment horizontal="center" readingOrder="0"/>
    </xf>
    <xf fontId="4" fillId="3" borderId="6" numFmtId="0" xfId="0" applyFont="1" applyFill="1" applyBorder="1" applyAlignment="1">
      <alignment horizontal="center" readingOrder="0"/>
    </xf>
    <xf fontId="0" fillId="4" borderId="0" numFmtId="0" xfId="0" applyFill="1" applyAlignment="1">
      <alignment readingOrder="0"/>
    </xf>
    <xf fontId="2" fillId="0" borderId="0" numFmtId="0" xfId="0" applyFont="1"/>
    <xf fontId="2" fillId="0" borderId="1" numFmtId="0" xfId="0" applyFont="1" applyBorder="1"/>
    <xf fontId="1" fillId="4" borderId="0" numFmtId="0" xfId="0" applyFont="1" applyFill="1" applyAlignment="1">
      <alignment readingOrder="0"/>
    </xf>
    <xf fontId="2" fillId="0" borderId="1" numFmtId="0" xfId="0" applyFont="1" applyBorder="1" applyAlignment="1">
      <alignment readingOrder="0"/>
    </xf>
    <xf fontId="0" fillId="5" borderId="0" numFmtId="0" xfId="0" applyFill="1" applyAlignment="1">
      <alignment readingOrder="0"/>
    </xf>
    <xf fontId="2" fillId="4" borderId="0" numFmtId="0" xfId="0" applyFont="1" applyFill="1" applyAlignment="1">
      <alignment readingOrder="0"/>
    </xf>
    <xf fontId="5" fillId="0" borderId="0" numFmtId="0" xfId="0" applyFont="1" applyAlignment="1">
      <alignment readingOrder="0"/>
    </xf>
    <xf fontId="1" fillId="0" borderId="1" numFmtId="0" xfId="0" applyFont="1" applyBorder="1" applyAlignment="1">
      <alignment readingOrder="0"/>
    </xf>
    <xf fontId="2" fillId="5" borderId="0" numFmtId="0" xfId="0" applyFont="1" applyFill="1" applyAlignment="1">
      <alignment readingOrder="0"/>
    </xf>
    <xf fontId="2" fillId="6" borderId="0" numFmtId="0" xfId="0" applyFont="1" applyFill="1" applyAlignment="1">
      <alignment readingOrder="0"/>
    </xf>
    <xf fontId="2" fillId="7" borderId="0" numFmtId="0" xfId="0" applyFont="1" applyFill="1" applyAlignment="1">
      <alignment readingOrder="0"/>
    </xf>
    <xf fontId="1" fillId="7" borderId="0" numFmtId="0" xfId="0" applyFont="1" applyFill="1" applyAlignment="1">
      <alignment readingOrder="0"/>
    </xf>
    <xf fontId="1" fillId="5" borderId="0" numFmtId="0" xfId="0" applyFont="1" applyFill="1" applyAlignment="1">
      <alignment readingOrder="0"/>
    </xf>
    <xf fontId="1" fillId="6" borderId="0" numFmtId="0" xfId="0" applyFont="1" applyFill="1" applyAlignment="1">
      <alignment readingOrder="0"/>
    </xf>
    <xf fontId="6" fillId="0" borderId="0" numFmtId="0" xfId="0" applyFont="1" applyAlignment="1">
      <alignment readingOrder="0"/>
    </xf>
    <xf fontId="1" fillId="8" borderId="0" numFmtId="0" xfId="0" applyFont="1" applyFill="1" applyAlignment="1">
      <alignment horizontal="center" readingOrder="0"/>
    </xf>
    <xf fontId="4" fillId="3" borderId="0" numFmtId="0" xfId="0" applyFont="1" applyFill="1" applyAlignment="1">
      <alignment horizontal="center"/>
    </xf>
    <xf fontId="1" fillId="9" borderId="0" numFmtId="0" xfId="0" applyFont="1" applyFill="1" applyAlignment="1">
      <alignment horizontal="center"/>
    </xf>
    <xf fontId="1" fillId="9" borderId="7" numFmtId="0" xfId="0" applyFont="1" applyFill="1" applyBorder="1" applyAlignment="1">
      <alignment horizontal="center"/>
    </xf>
    <xf fontId="1" fillId="0" borderId="0" numFmtId="0" xfId="0" applyFont="1" applyAlignment="1">
      <alignment horizontal="right"/>
    </xf>
    <xf fontId="7" fillId="10" borderId="0" numFmtId="0" xfId="0" applyFont="1" applyFill="1" applyAlignment="1">
      <alignment horizontal="center" readingOrder="0"/>
    </xf>
    <xf fontId="7" fillId="10" borderId="0" numFmtId="0" xfId="0" applyFont="1" applyFill="1" applyAlignment="1">
      <alignment horizontal="center"/>
    </xf>
    <xf fontId="0" fillId="0" borderId="0" numFmtId="0" xfId="0" applyAlignment="1">
      <alignment readingOrder="0" wrapText="1"/>
    </xf>
    <xf fontId="1" fillId="11" borderId="0" numFmtId="0" xfId="0" applyFont="1" applyFill="1" applyAlignment="1">
      <alignment readingOrder="0"/>
    </xf>
    <xf fontId="2" fillId="11" borderId="0" numFmtId="0" xfId="0" applyFont="1" applyFill="1"/>
    <xf fontId="2" fillId="12" borderId="0" numFmtId="0" xfId="0" applyFont="1" applyFill="1" applyAlignment="1">
      <alignment readingOrder="0"/>
    </xf>
    <xf fontId="2" fillId="12" borderId="0" numFmtId="0" xfId="0" applyFont="1" applyFill="1"/>
    <xf fontId="2" fillId="4" borderId="0" numFmtId="0" xfId="0" applyFont="1" applyFill="1"/>
    <xf fontId="2" fillId="13" borderId="0" numFmtId="0" xfId="0" applyFont="1" applyFill="1" applyAlignment="1">
      <alignment readingOrder="0"/>
    </xf>
    <xf fontId="2" fillId="13" borderId="0" numFmtId="0" xfId="0" applyFont="1" applyFill="1"/>
    <xf fontId="2" fillId="14" borderId="0" numFmtId="0" xfId="0" applyFont="1" applyFill="1" applyAlignment="1">
      <alignment readingOrder="0"/>
    </xf>
    <xf fontId="2" fillId="14" borderId="0" numFmtId="3" xfId="0" applyNumberFormat="1" applyFont="1" applyFill="1" applyAlignment="1">
      <alignment readingOrder="0"/>
    </xf>
    <xf fontId="2" fillId="15" borderId="0" numFmtId="0" xfId="0" applyFont="1" applyFill="1" applyAlignment="1">
      <alignment readingOrder="0"/>
    </xf>
    <xf fontId="2" fillId="15" borderId="0" numFmtId="3" xfId="0" applyNumberFormat="1" applyFont="1" applyFill="1" applyAlignment="1">
      <alignment readingOrder="0"/>
    </xf>
    <xf fontId="2" fillId="2" borderId="0" numFmtId="0" xfId="0" applyFont="1" applyFill="1" applyAlignment="1">
      <alignment readingOrder="0"/>
    </xf>
    <xf fontId="2" fillId="2" borderId="0" numFmtId="3" xfId="0" applyNumberFormat="1" applyFont="1" applyFill="1" applyAlignment="1">
      <alignment readingOrder="0"/>
    </xf>
    <xf fontId="2" fillId="10" borderId="0" numFmtId="0" xfId="0" applyFont="1" applyFill="1"/>
    <xf fontId="2" fillId="16" borderId="0" numFmtId="0" xfId="0" applyFont="1" applyFill="1"/>
    <xf fontId="2" fillId="15" borderId="0" numFmtId="0" xfId="0" applyFont="1" applyFill="1"/>
    <xf fontId="2" fillId="2" borderId="0" numFmtId="0" xfId="0" applyFont="1" applyFill="1"/>
    <xf fontId="2" fillId="14" borderId="0" numFmtId="0" xfId="0" applyFont="1" applyFill="1"/>
    <xf fontId="2" fillId="6" borderId="0" numFmtId="0" xfId="0" applyFont="1" applyFill="1"/>
    <xf fontId="2" fillId="8" borderId="0" numFmtId="0" xfId="0" applyFont="1" applyFill="1" applyAlignment="1">
      <alignment readingOrder="0"/>
    </xf>
    <xf fontId="2" fillId="8" borderId="0" numFmtId="0" xfId="0" applyFont="1" applyFill="1"/>
    <xf fontId="1" fillId="7" borderId="0" numFmtId="0" xfId="0" applyFont="1" applyFill="1"/>
    <xf fontId="2" fillId="7" borderId="0" numFmtId="0" xfId="0" applyFont="1" applyFill="1"/>
    <xf fontId="8" fillId="0" borderId="0" numFmtId="0" xfId="0" applyFont="1" applyAlignment="1">
      <alignment readingOrder="0"/>
    </xf>
    <xf fontId="2" fillId="17" borderId="0" numFmtId="0" xfId="0" applyFont="1" applyFill="1" applyAlignment="1">
      <alignment readingOrder="0"/>
    </xf>
    <xf fontId="2" fillId="17" borderId="0" numFmtId="3" xfId="0" applyNumberFormat="1" applyFont="1" applyFill="1" applyAlignment="1">
      <alignment readingOrder="0"/>
    </xf>
    <xf fontId="1" fillId="17" borderId="0" numFmtId="0" xfId="0" applyFont="1" applyFill="1" applyAlignment="1">
      <alignment horizontal="right"/>
    </xf>
    <xf fontId="2" fillId="17" borderId="0" numFmtId="0" xfId="0" applyFont="1" applyFill="1"/>
    <xf fontId="2" fillId="17" borderId="0" numFmtId="3" xfId="0" applyNumberFormat="1" applyFont="1" applyFill="1"/>
    <xf fontId="2" fillId="17" borderId="0" numFmtId="0" xfId="0" applyFont="1" applyFill="1" applyAlignment="1">
      <alignment wrapText="1"/>
    </xf>
    <xf fontId="9" fillId="0" borderId="0" numFmtId="0" xfId="0" applyFont="1" applyAlignment="1">
      <alignment readingOrder="0"/>
    </xf>
    <xf fontId="2" fillId="18" borderId="0" numFmtId="0" xfId="0" applyFont="1" applyFill="1" applyAlignment="1">
      <alignment readingOrder="0"/>
    </xf>
    <xf fontId="2" fillId="19" borderId="0" numFmtId="0" xfId="0" applyFont="1" applyFill="1"/>
    <xf fontId="2" fillId="19" borderId="0" numFmtId="0" xfId="0" applyFont="1" applyFill="1" applyAlignment="1">
      <alignment readingOrder="0"/>
    </xf>
    <xf fontId="10" fillId="10" borderId="0" numFmtId="0" xfId="0" applyFont="1" applyFill="1" applyAlignment="1">
      <alignment horizontal="center" readingOrder="0"/>
    </xf>
    <xf fontId="2" fillId="20" borderId="0" numFmtId="0" xfId="0" applyFont="1" applyFill="1" applyAlignment="1">
      <alignment readingOrder="0"/>
    </xf>
    <xf fontId="2" fillId="21" borderId="0" numFmtId="0" xfId="0" applyFont="1" applyFill="1" applyAlignment="1">
      <alignment readingOrder="0"/>
    </xf>
    <xf fontId="2" fillId="22" borderId="0" numFmtId="0" xfId="0" applyFont="1" applyFill="1" applyAlignment="1">
      <alignment readingOrder="0"/>
    </xf>
    <xf fontId="11" fillId="4" borderId="0" numFmtId="0" xfId="0" applyFont="1" applyFill="1"/>
    <xf fontId="2" fillId="0" borderId="0" numFmtId="0" xfId="0" applyFont="1" applyAlignment="1">
      <alignment readingOrder="0" vertical="center"/>
    </xf>
    <xf fontId="11" fillId="6" borderId="0" numFmtId="0" xfId="0" applyFont="1" applyFill="1"/>
    <xf fontId="11" fillId="7" borderId="0" numFmtId="0" xfId="0" applyFont="1" applyFill="1"/>
    <xf fontId="11" fillId="12" borderId="0" numFmtId="0" xfId="0" applyFont="1" applyFill="1"/>
    <xf fontId="11" fillId="5" borderId="0" numFmtId="0" xfId="0" applyFont="1" applyFill="1"/>
    <xf fontId="12" fillId="3" borderId="0" numFmtId="0" xfId="0" applyFont="1" applyFill="1" applyAlignment="1">
      <alignment readingOrder="0"/>
    </xf>
    <xf fontId="13" fillId="0" borderId="0" numFmtId="0" xfId="0" applyFont="1" applyAlignment="1">
      <alignment readingOrder="0"/>
    </xf>
    <xf fontId="2" fillId="23" borderId="0" numFmtId="0" xfId="0" applyFont="1" applyFill="1" applyAlignment="1">
      <alignment readingOrder="0"/>
    </xf>
    <xf fontId="2" fillId="24" borderId="0" numFmtId="0" xfId="0" applyFont="1" applyFill="1" applyAlignment="1">
      <alignment readingOrder="0"/>
    </xf>
    <xf fontId="14" fillId="0" borderId="0" numFmtId="0" xfId="0" applyFont="1" applyAlignment="1">
      <alignment horizontal="left" readingOrder="0"/>
    </xf>
    <xf fontId="7" fillId="10" borderId="0" numFmtId="0" xfId="0" applyFont="1" applyFill="1" applyAlignment="1">
      <alignment horizontal="center" readingOrder="0" vertical="center"/>
    </xf>
    <xf fontId="15" fillId="3" borderId="0" numFmtId="0" xfId="0" applyFont="1" applyFill="1" applyAlignment="1">
      <alignment horizontal="center" readingOrder="0" vertical="center"/>
    </xf>
    <xf fontId="2" fillId="25" borderId="0" numFmtId="0" xfId="0" applyFont="1" applyFill="1" applyAlignment="1">
      <alignment horizontal="center" readingOrder="0" vertical="center" wrapText="1"/>
    </xf>
    <xf fontId="10" fillId="10" borderId="0" numFmtId="0" xfId="0" applyFont="1" applyFill="1" applyAlignment="1">
      <alignment horizontal="center" readingOrder="0" vertical="center"/>
    </xf>
    <xf fontId="7" fillId="10" borderId="0" numFmtId="0" xfId="0" applyFont="1" applyFill="1" applyAlignment="1">
      <alignment horizontal="center" readingOrder="0" vertical="center" wrapText="1"/>
    </xf>
    <xf fontId="16" fillId="0" borderId="0" numFmtId="0" xfId="0" applyFont="1" applyAlignment="1">
      <alignment readingOrder="0" vertical="center"/>
    </xf>
    <xf fontId="17" fillId="0" borderId="0" numFmtId="0" xfId="0" applyFont="1" applyAlignment="1">
      <alignment readingOrder="0" vertical="center"/>
    </xf>
    <xf fontId="2" fillId="26" borderId="0" numFmtId="0" xfId="0" applyFont="1" applyFill="1" applyAlignment="1">
      <alignment readingOrder="0" vertical="center"/>
    </xf>
    <xf fontId="18" fillId="0" borderId="0" numFmtId="0" xfId="0" applyFont="1" applyAlignment="1">
      <alignment readingOrder="0" vertical="center"/>
    </xf>
    <xf fontId="2" fillId="20" borderId="0" numFmtId="0" xfId="0" applyFont="1" applyFill="1" applyAlignment="1">
      <alignment readingOrder="0" vertical="center"/>
    </xf>
    <xf fontId="0" fillId="0" borderId="0" numFmtId="0" xfId="0" applyAlignment="1">
      <alignment readingOrder="0" vertical="center"/>
    </xf>
    <xf fontId="2" fillId="0" borderId="0" numFmtId="0" xfId="0" applyFont="1" applyAlignment="1">
      <alignment readingOrder="0" vertical="center" wrapText="1"/>
    </xf>
    <xf fontId="16" fillId="0" borderId="0" numFmtId="0" xfId="0" applyFont="1" applyAlignment="1">
      <alignment vertical="center"/>
    </xf>
    <xf fontId="17" fillId="0" borderId="0" numFmtId="0" xfId="0" applyFont="1" applyAlignment="1">
      <alignment vertical="center"/>
    </xf>
    <xf fontId="2" fillId="0" borderId="0" numFmtId="0" xfId="0" applyFont="1" applyAlignment="1">
      <alignment vertical="center"/>
    </xf>
    <xf fontId="2" fillId="26" borderId="0" numFmtId="0" xfId="0" applyFont="1" applyFill="1" applyAlignment="1">
      <alignment vertical="center"/>
    </xf>
    <xf fontId="18" fillId="0" borderId="0" numFmtId="0" xfId="0" applyFont="1" applyAlignment="1">
      <alignment vertical="center"/>
    </xf>
    <xf fontId="8" fillId="0" borderId="0" numFmtId="0" xfId="0" applyFont="1" applyAlignment="1">
      <alignment readingOrder="0" vertical="center"/>
    </xf>
    <xf fontId="2" fillId="0" borderId="0" numFmtId="0" xfId="0" applyFont="1" applyAlignment="1">
      <alignment vertical="center" wrapText="1"/>
    </xf>
    <xf fontId="8" fillId="0" borderId="0" numFmtId="0" xfId="0" applyFont="1" applyAlignment="1">
      <alignment vertical="center"/>
    </xf>
    <xf fontId="8" fillId="0" borderId="0" numFmtId="0" xfId="0" applyFont="1"/>
    <xf fontId="2" fillId="21" borderId="0" numFmtId="0" xfId="0" applyFont="1" applyFill="1" applyAlignment="1">
      <alignment readingOrder="0" vertical="center"/>
    </xf>
    <xf fontId="19" fillId="0" borderId="0" numFmtId="0" xfId="0" applyFont="1" applyAlignment="1">
      <alignment readingOrder="0" vertical="center" wrapText="1"/>
    </xf>
    <xf fontId="8" fillId="27" borderId="0" numFmtId="0" xfId="0" applyFont="1" applyFill="1" applyAlignment="1">
      <alignment readingOrder="0" vertical="center"/>
    </xf>
    <xf fontId="20" fillId="0" borderId="0" numFmtId="0" xfId="0" applyFont="1" applyAlignment="1">
      <alignment readingOrder="0" vertical="center"/>
    </xf>
    <xf fontId="11" fillId="4" borderId="0" numFmtId="0" xfId="0" applyFont="1" applyFill="1" applyAlignment="1">
      <alignment vertical="center"/>
    </xf>
    <xf fontId="21" fillId="0" borderId="0" numFmtId="0" xfId="0" applyFont="1"/>
    <xf fontId="22" fillId="0" borderId="0" numFmtId="0" xfId="0" applyFont="1" applyAlignment="1">
      <alignment readingOrder="0" vertical="center"/>
    </xf>
    <xf fontId="23" fillId="0" borderId="0" numFmtId="0" xfId="0" applyFont="1" applyAlignment="1">
      <alignment readingOrder="0" vertical="center"/>
    </xf>
    <xf fontId="2" fillId="12" borderId="0" numFmtId="0" xfId="0" applyFont="1" applyFill="1" applyAlignment="1">
      <alignment vertical="center"/>
    </xf>
    <xf fontId="23" fillId="0" borderId="0" numFmtId="0" xfId="0" applyFont="1" applyAlignment="1">
      <alignment readingOrder="0"/>
    </xf>
    <xf fontId="2" fillId="26" borderId="0" numFmtId="0" xfId="0" applyFont="1" applyFill="1"/>
    <xf fontId="2" fillId="0" borderId="0" numFmtId="0" xfId="0" applyFont="1" applyAlignment="1">
      <alignment wrapText="1"/>
    </xf>
    <xf fontId="11" fillId="6" borderId="0" numFmtId="0" xfId="0" applyFont="1" applyFill="1" applyAlignment="1">
      <alignment vertical="center"/>
    </xf>
    <xf fontId="11" fillId="7" borderId="0" numFmtId="0" xfId="0" applyFont="1" applyFill="1" applyAlignment="1">
      <alignment vertical="center"/>
    </xf>
    <xf fontId="11" fillId="12" borderId="0" numFmtId="0" xfId="0" applyFont="1" applyFill="1" applyAlignment="1">
      <alignment vertical="center"/>
    </xf>
    <xf fontId="16" fillId="0" borderId="0" numFmtId="0" xfId="0" applyFont="1"/>
    <xf fontId="17" fillId="0" borderId="0" numFmtId="0" xfId="0" applyFont="1"/>
    <xf fontId="2" fillId="26" borderId="0" numFmtId="0" xfId="0" applyFont="1" applyFill="1" applyAlignment="1">
      <alignment readingOrder="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nlyoffice.com/jsaProject" Target="jsaProject.bin"/><Relationship  Id="rId10"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theme" Target="theme/theme1.xml"/><Relationship  Id="rId9" Type="http://schemas.openxmlformats.org/officeDocument/2006/relationships/sharedStrings" Target="sharedString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
  <a:themeElements>
    <a:clrScheme nam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
      <a:majorFont>
        <a:latin typeface="Calibri"/>
        <a:ea typeface="Arial"/>
        <a:cs typeface="Arial"/>
      </a:majorFont>
      <a:minorFont>
        <a:latin typeface="Calibri"/>
        <a:ea typeface="Arial"/>
        <a:cs typeface="Arial"/>
      </a:minorFont>
    </a:fontScheme>
    <a:fmtScheme nam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ln>
        <a:ln w="25400">
          <a:solidFill>
            <a:schemeClr val="phClr"/>
          </a:solidFill>
        </a:ln>
        <a:ln w="38100">
          <a:solidFill>
            <a:schemeClr val="phClr"/>
          </a:solidFill>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solidFill>
          <a:srgbClr val="000000"/>
        </a:solidFill>
        <a:solidFill>
          <a:srgbClr val="000000"/>
        </a:solidFill>
      </a:bgFillStyleLst>
    </a:fmtScheme>
  </a:themeElements>
  <a:objectDefaults/>
</a:theme>
</file>

<file path=xl/worksheets/_rels/sheet5.xml.rels><?xml version="1.0" encoding="UTF-8" standalone="yes"?><Relationships xmlns="http://schemas.openxmlformats.org/package/2006/relationships"><Relationship  Id="rId1" Type="http://schemas.openxmlformats.org/officeDocument/2006/relationships/hyperlink" Target="https://chathe.net/join/jROE3GjE1G" TargetMode="External"/><Relationship  Id="rId2" Type="http://schemas.openxmlformats.org/officeDocument/2006/relationships/hyperlink" Target="https://chathe.net/join/oWpEbl57l4" TargetMode="External"/><Relationship  Id="rId3" Type="http://schemas.openxmlformats.org/officeDocument/2006/relationships/hyperlink" Target="https://chathe.net/join/82oejqGEyn"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1" showOutlineSymbols="1"/>
    <pageSetUpPr autoPageBreaks="1" fitToPage="0"/>
  </sheetPr>
  <sheetViews>
    <sheetView zoomScale="100" workbookViewId="0">
      <pane xSplit="10" ySplit="2" topLeftCell="K3" activePane="bottomRight" state="frozen"/>
      <selection activeCell="H3" activeCellId="0" sqref="H3"/>
    </sheetView>
  </sheetViews>
  <sheetFormatPr defaultColWidth="12.630000000000001" defaultRowHeight="15.75" customHeight="1" outlineLevelCol="1"/>
  <cols>
    <col customWidth="1" hidden="1" min="1" max="2" outlineLevel="1" width="29.5"/>
    <col customWidth="1" hidden="1" min="3" max="3" outlineLevel="1" width="13.380000000000001"/>
    <col collapsed="1" customWidth="1" min="4" max="4" width="13.380000000000001"/>
    <col customWidth="1" min="5" max="6" width="22.629999999999999"/>
    <col bestFit="1" min="9" max="9" width="2.00390625"/>
    <col bestFit="1" min="10" max="10" width="2.140625"/>
    <col customWidth="1" min="11" max="11" width="16.879999999999999"/>
    <col customWidth="1" min="12" max="12" width="16.629999999999999"/>
    <col customWidth="1" min="13" max="13" width="17.879999999999999"/>
    <col customWidth="1" min="14" max="14" width="16.5"/>
    <col customWidth="1" min="17" max="17" width="16.5"/>
    <col customWidth="1" min="20" max="20" width="16.5"/>
    <col customWidth="1" min="23" max="23" width="16.5"/>
    <col customWidth="1" min="26" max="26" width="16.5"/>
    <col customWidth="1" min="29" max="29" width="16.5"/>
    <col customWidth="1" min="32" max="32" width="16.5"/>
    <col customWidth="1" min="35" max="35" width="16.5"/>
    <col customWidth="1" min="38" max="38" width="16.5"/>
    <col customWidth="1" min="41" max="41" width="16.5"/>
    <col customWidth="1" min="44" max="44" width="16.5"/>
    <col customWidth="1" min="47" max="47" width="16.5"/>
    <col customWidth="1" min="50" max="50" width="16.5"/>
    <col customWidth="1" min="53" max="53" width="16.5"/>
    <col customWidth="1" min="56" max="56" width="16.5"/>
    <col customWidth="1" min="59" max="59" width="16.5"/>
    <col customWidth="1" min="62" max="62" width="16.5"/>
    <col customWidth="1" min="65" max="65" width="16.5"/>
    <col customWidth="1" min="68" max="68" width="16.5"/>
  </cols>
  <sheetData>
    <row r="1">
      <c r="A1" s="1" t="s">
        <v>0</v>
      </c>
      <c r="B1" s="2"/>
      <c r="C1" s="2"/>
      <c r="D1" s="2" t="s">
        <v>1</v>
      </c>
      <c r="E1" t="str">
        <f>"With " &amp; D107 &amp; " players alive, it takes " &amp; D108 &amp; " to (no) lynch."</f>
        <v xml:space="preserve">With 32 players alive, it takes 17 to (no) lynch.</v>
      </c>
      <c r="F1" s="3"/>
      <c r="G1" s="4"/>
      <c r="K1" s="5" t="s">
        <v>2</v>
      </c>
      <c r="L1" s="6"/>
      <c r="M1" s="7"/>
      <c r="N1" s="8"/>
      <c r="O1" s="8"/>
      <c r="P1" s="9"/>
      <c r="Q1" s="8"/>
      <c r="R1" s="8"/>
      <c r="S1" s="9"/>
      <c r="T1" s="8"/>
      <c r="U1" s="8"/>
      <c r="V1" s="9"/>
      <c r="W1" s="8"/>
      <c r="X1" s="8"/>
      <c r="Y1" s="9"/>
      <c r="Z1" s="8"/>
      <c r="AA1" s="8"/>
      <c r="AB1" s="9"/>
      <c r="AC1" s="8"/>
      <c r="AD1" s="8"/>
      <c r="AE1" s="9"/>
      <c r="AF1" s="8"/>
      <c r="AG1" s="8"/>
      <c r="AH1" s="9"/>
      <c r="AI1" s="8"/>
      <c r="AJ1" s="8"/>
      <c r="AK1" s="9"/>
      <c r="AL1" s="8"/>
      <c r="AM1" s="8"/>
      <c r="AN1" s="9"/>
      <c r="AO1" s="8"/>
      <c r="AP1" s="8"/>
      <c r="AQ1" s="9"/>
      <c r="AR1" s="8"/>
      <c r="AS1" s="8"/>
      <c r="AT1" s="9"/>
      <c r="AU1" s="8"/>
      <c r="AV1" s="8"/>
      <c r="AW1" s="9"/>
      <c r="AX1" s="8"/>
      <c r="AY1" s="8"/>
      <c r="AZ1" s="9"/>
      <c r="BA1" s="8"/>
      <c r="BB1" s="8"/>
      <c r="BC1" s="9"/>
      <c r="BD1" s="8"/>
      <c r="BE1" s="8"/>
      <c r="BF1" s="9"/>
      <c r="BG1" s="8"/>
      <c r="BH1" s="8"/>
      <c r="BI1" s="9"/>
      <c r="BJ1" s="8"/>
      <c r="BK1" s="8"/>
      <c r="BL1" s="9"/>
      <c r="BM1" s="8"/>
      <c r="BN1" s="8"/>
      <c r="BO1" s="9"/>
      <c r="BP1" s="8"/>
      <c r="BQ1" s="8"/>
      <c r="BR1" s="9"/>
    </row>
    <row r="2">
      <c r="A2" s="10" t="s">
        <v>3</v>
      </c>
      <c r="B2" s="10" t="s">
        <v>4</v>
      </c>
      <c r="C2" s="10" t="s">
        <v>5</v>
      </c>
      <c r="D2" s="11" t="s">
        <v>6</v>
      </c>
      <c r="E2" s="12" t="s">
        <v>7</v>
      </c>
      <c r="F2" s="12" t="s">
        <v>8</v>
      </c>
      <c r="G2" s="12" t="s">
        <v>9</v>
      </c>
      <c r="H2" s="12" t="s">
        <v>10</v>
      </c>
      <c r="I2" s="13" t="s">
        <v>11</v>
      </c>
      <c r="J2" s="13" t="s">
        <v>12</v>
      </c>
      <c r="K2" s="13" t="s">
        <v>13</v>
      </c>
      <c r="L2" s="10" t="s">
        <v>14</v>
      </c>
      <c r="M2" s="14" t="s">
        <v>15</v>
      </c>
      <c r="N2" s="15" t="s">
        <v>16</v>
      </c>
      <c r="O2" s="16" t="s">
        <v>17</v>
      </c>
      <c r="P2" s="17" t="s">
        <v>18</v>
      </c>
      <c r="Q2" s="18" t="s">
        <v>19</v>
      </c>
      <c r="R2" s="16" t="s">
        <v>20</v>
      </c>
      <c r="S2" s="17" t="s">
        <v>21</v>
      </c>
      <c r="T2" s="18" t="s">
        <v>22</v>
      </c>
      <c r="U2" s="16" t="s">
        <v>23</v>
      </c>
      <c r="V2" s="17" t="s">
        <v>24</v>
      </c>
      <c r="W2" s="18" t="s">
        <v>25</v>
      </c>
      <c r="X2" s="16" t="s">
        <v>26</v>
      </c>
      <c r="Y2" s="17" t="s">
        <v>27</v>
      </c>
      <c r="Z2" s="18" t="s">
        <v>28</v>
      </c>
      <c r="AA2" s="16" t="s">
        <v>29</v>
      </c>
      <c r="AB2" s="17" t="s">
        <v>30</v>
      </c>
      <c r="AC2" s="18" t="s">
        <v>31</v>
      </c>
      <c r="AD2" s="16" t="s">
        <v>32</v>
      </c>
      <c r="AE2" s="17" t="s">
        <v>33</v>
      </c>
      <c r="AF2" s="18" t="s">
        <v>34</v>
      </c>
      <c r="AG2" s="16" t="s">
        <v>35</v>
      </c>
      <c r="AH2" s="17" t="s">
        <v>36</v>
      </c>
      <c r="AI2" s="18" t="s">
        <v>37</v>
      </c>
      <c r="AJ2" s="16" t="s">
        <v>38</v>
      </c>
      <c r="AK2" s="17" t="s">
        <v>39</v>
      </c>
      <c r="AL2" s="18" t="s">
        <v>40</v>
      </c>
      <c r="AM2" s="16" t="s">
        <v>41</v>
      </c>
      <c r="AN2" s="17" t="s">
        <v>42</v>
      </c>
      <c r="AO2" s="18" t="s">
        <v>43</v>
      </c>
      <c r="AP2" s="16" t="s">
        <v>44</v>
      </c>
      <c r="AQ2" s="17" t="s">
        <v>45</v>
      </c>
      <c r="AR2" s="18" t="s">
        <v>46</v>
      </c>
      <c r="AS2" s="16" t="s">
        <v>47</v>
      </c>
      <c r="AT2" s="17" t="s">
        <v>48</v>
      </c>
      <c r="AU2" s="18" t="s">
        <v>49</v>
      </c>
      <c r="AV2" s="16" t="s">
        <v>50</v>
      </c>
      <c r="AW2" s="17" t="s">
        <v>51</v>
      </c>
      <c r="AX2" s="18" t="s">
        <v>52</v>
      </c>
      <c r="AY2" s="16" t="s">
        <v>53</v>
      </c>
      <c r="AZ2" s="17" t="s">
        <v>54</v>
      </c>
      <c r="BA2" s="18" t="s">
        <v>55</v>
      </c>
      <c r="BB2" s="16" t="s">
        <v>56</v>
      </c>
      <c r="BC2" s="17" t="s">
        <v>57</v>
      </c>
      <c r="BD2" s="18" t="s">
        <v>58</v>
      </c>
      <c r="BE2" s="16" t="s">
        <v>59</v>
      </c>
      <c r="BF2" s="17" t="s">
        <v>60</v>
      </c>
      <c r="BG2" s="18" t="s">
        <v>61</v>
      </c>
      <c r="BH2" s="16" t="s">
        <v>62</v>
      </c>
      <c r="BI2" s="17" t="s">
        <v>63</v>
      </c>
      <c r="BJ2" s="18" t="s">
        <v>64</v>
      </c>
      <c r="BK2" s="16" t="s">
        <v>65</v>
      </c>
      <c r="BL2" s="17" t="s">
        <v>66</v>
      </c>
      <c r="BM2" s="18" t="s">
        <v>67</v>
      </c>
      <c r="BN2" s="16" t="s">
        <v>68</v>
      </c>
      <c r="BO2" s="17" t="s">
        <v>69</v>
      </c>
      <c r="BP2" s="18" t="s">
        <v>70</v>
      </c>
      <c r="BQ2" s="16" t="s">
        <v>71</v>
      </c>
      <c r="BR2" s="17" t="s">
        <v>72</v>
      </c>
    </row>
    <row r="3">
      <c r="A3" t="str">
        <f t="array" ref="A3:A53">sort(D3:D53,1,true)</f>
        <v>armistice</v>
      </c>
      <c r="B3" s="4" t="str">
        <f>concatenate(D4," - ",IF(C3="Town","[color=#00ff00]",if(C3="Mafia","[color=red]",if(C3="3rd party","[color=#8e7cc3]",if(C3="Modifier","[color=ff9900]",if(C3="Yakuza","[color=ffff00]",if(C3="KGB","[color=cyan]","[color=magenta]")))))),E3,"[/color])")</f>
        <v xml:space="preserve">BlueMarble - [color=magenta]Absorber[/color])</v>
      </c>
      <c r="D3" t="s">
        <v>73</v>
      </c>
      <c r="E3" s="19" t="s">
        <v>74</v>
      </c>
      <c r="F3" t="s">
        <v>75</v>
      </c>
      <c r="G3" s="4" t="s">
        <v>76</v>
      </c>
      <c r="K3" s="4" t="s">
        <v>77</v>
      </c>
      <c r="L3" s="20" t="s">
        <v>78</v>
      </c>
      <c r="M3" s="21" t="s">
        <v>79</v>
      </c>
      <c r="N3" s="4" t="s">
        <v>80</v>
      </c>
      <c r="O3" s="4" t="s">
        <v>81</v>
      </c>
      <c r="P3" s="21"/>
      <c r="Q3" s="4" t="s">
        <v>77</v>
      </c>
      <c r="R3" t="s">
        <v>78</v>
      </c>
      <c r="S3" s="21"/>
      <c r="T3" s="4" t="s">
        <v>77</v>
      </c>
      <c r="U3" t="s">
        <v>78</v>
      </c>
      <c r="V3" s="21" t="s">
        <v>82</v>
      </c>
      <c r="W3" t="s">
        <v>77</v>
      </c>
      <c r="X3" t="s">
        <v>78</v>
      </c>
      <c r="Y3" s="21"/>
      <c r="Z3" t="s">
        <v>83</v>
      </c>
      <c r="AA3" t="s">
        <v>81</v>
      </c>
      <c r="AB3" s="21"/>
      <c r="AC3" t="s">
        <v>84</v>
      </c>
      <c r="AD3" t="s">
        <v>81</v>
      </c>
      <c r="AE3" s="21" t="s">
        <v>85</v>
      </c>
      <c r="AF3" t="s">
        <v>77</v>
      </c>
      <c r="AG3" t="s">
        <v>78</v>
      </c>
      <c r="AH3" s="21" t="s">
        <v>86</v>
      </c>
      <c r="AK3" s="21"/>
      <c r="AN3" s="21"/>
      <c r="AQ3" s="21"/>
      <c r="AT3" s="21"/>
      <c r="AW3" s="21"/>
      <c r="AZ3" s="21"/>
      <c r="BC3" s="21"/>
      <c r="BF3" s="21"/>
      <c r="BI3" s="21"/>
      <c r="BL3" s="21"/>
      <c r="BO3" s="21"/>
      <c r="BR3" s="21"/>
    </row>
    <row r="4">
      <c r="A4" t="str">
        <f/>
        <v>Bliepo</v>
      </c>
      <c r="B4" s="4"/>
      <c r="C4" s="4"/>
      <c r="D4" t="s">
        <v>87</v>
      </c>
      <c r="E4" s="22" t="s">
        <v>88</v>
      </c>
      <c r="F4" s="5" t="s">
        <v>89</v>
      </c>
      <c r="G4" s="8"/>
      <c r="H4" s="8"/>
      <c r="I4" s="8"/>
      <c r="J4" s="8"/>
      <c r="K4" s="5" t="s">
        <v>87</v>
      </c>
      <c r="L4" s="5" t="s">
        <v>81</v>
      </c>
      <c r="M4" s="9" t="s">
        <v>90</v>
      </c>
      <c r="N4" s="5" t="s">
        <v>91</v>
      </c>
      <c r="O4" s="5" t="s">
        <v>81</v>
      </c>
      <c r="P4" s="9"/>
      <c r="Q4" s="5" t="s">
        <v>92</v>
      </c>
      <c r="R4" s="5" t="s">
        <v>81</v>
      </c>
      <c r="S4" s="9"/>
      <c r="T4" s="5" t="s">
        <v>73</v>
      </c>
      <c r="U4" s="5" t="s">
        <v>81</v>
      </c>
      <c r="V4" s="9"/>
      <c r="W4" s="5" t="s">
        <v>77</v>
      </c>
      <c r="X4" s="5" t="s">
        <v>78</v>
      </c>
      <c r="Y4" s="9"/>
      <c r="Z4" s="5" t="s">
        <v>77</v>
      </c>
      <c r="AA4" s="5" t="s">
        <v>78</v>
      </c>
      <c r="AB4" s="9"/>
      <c r="AC4" s="5" t="s">
        <v>77</v>
      </c>
      <c r="AD4" s="5" t="s">
        <v>78</v>
      </c>
      <c r="AE4" s="9"/>
      <c r="AF4" s="5" t="s">
        <v>77</v>
      </c>
      <c r="AG4" s="5" t="s">
        <v>78</v>
      </c>
      <c r="AH4" s="9"/>
      <c r="AI4" s="5" t="s">
        <v>77</v>
      </c>
      <c r="AJ4" s="5" t="s">
        <v>78</v>
      </c>
      <c r="AK4" s="9"/>
      <c r="AL4" s="5"/>
      <c r="AM4" s="5"/>
      <c r="AN4" s="9"/>
      <c r="AO4" s="5"/>
      <c r="AP4" s="5"/>
      <c r="AQ4" s="9"/>
      <c r="AR4" s="5"/>
      <c r="AS4" s="5"/>
      <c r="AT4" s="9"/>
      <c r="AU4" s="5"/>
      <c r="AV4" s="5"/>
      <c r="AW4" s="9"/>
      <c r="AX4" s="5"/>
      <c r="AY4" s="5"/>
      <c r="AZ4" s="9"/>
      <c r="BA4" s="5"/>
      <c r="BB4" s="5"/>
      <c r="BC4" s="9"/>
      <c r="BD4" s="5"/>
      <c r="BE4" s="5"/>
      <c r="BF4" s="9"/>
      <c r="BG4" s="5"/>
      <c r="BH4" s="5"/>
      <c r="BI4" s="9"/>
      <c r="BJ4" s="5"/>
      <c r="BK4" s="5"/>
      <c r="BL4" s="9"/>
      <c r="BM4" s="5"/>
      <c r="BN4" s="5"/>
      <c r="BO4" s="9"/>
      <c r="BP4" s="5"/>
      <c r="BQ4" s="5"/>
      <c r="BR4" s="9"/>
    </row>
    <row r="5">
      <c r="A5" t="str">
        <f/>
        <v>BlueMarble</v>
      </c>
      <c r="B5" s="4"/>
      <c r="C5" s="4"/>
      <c r="D5" t="s">
        <v>93</v>
      </c>
      <c r="E5" s="22" t="s">
        <v>94</v>
      </c>
      <c r="F5" s="5" t="s">
        <v>95</v>
      </c>
      <c r="G5" s="5"/>
      <c r="H5" s="8"/>
      <c r="I5" s="8"/>
      <c r="J5" s="8"/>
      <c r="K5" s="4" t="s">
        <v>91</v>
      </c>
      <c r="L5" s="4" t="s">
        <v>81</v>
      </c>
      <c r="M5" s="23" t="s">
        <v>96</v>
      </c>
      <c r="N5" s="4" t="s">
        <v>91</v>
      </c>
      <c r="O5" s="4" t="s">
        <v>81</v>
      </c>
      <c r="P5" s="23" t="s">
        <v>97</v>
      </c>
      <c r="Q5" s="4" t="s">
        <v>91</v>
      </c>
      <c r="R5" s="4" t="s">
        <v>81</v>
      </c>
      <c r="S5" s="23"/>
      <c r="T5" s="4" t="s">
        <v>98</v>
      </c>
      <c r="U5" s="4" t="s">
        <v>81</v>
      </c>
      <c r="V5" s="23"/>
      <c r="W5" s="4" t="s">
        <v>99</v>
      </c>
      <c r="X5" s="4" t="s">
        <v>81</v>
      </c>
      <c r="Y5" s="23"/>
      <c r="Z5" s="4" t="s">
        <v>100</v>
      </c>
      <c r="AA5" s="4" t="s">
        <v>81</v>
      </c>
      <c r="AB5" s="23"/>
      <c r="AC5" s="4" t="s">
        <v>101</v>
      </c>
      <c r="AD5" s="4" t="s">
        <v>81</v>
      </c>
      <c r="AE5" s="23" t="s">
        <v>102</v>
      </c>
      <c r="AF5" s="4"/>
      <c r="AG5" s="4"/>
      <c r="AH5" s="23"/>
      <c r="AI5" s="4"/>
      <c r="AJ5" s="4"/>
      <c r="AK5" s="23"/>
      <c r="AL5" s="4"/>
      <c r="AM5" s="4"/>
      <c r="AN5" s="23"/>
      <c r="AO5" s="4"/>
      <c r="AP5" s="4"/>
      <c r="AQ5" s="23"/>
      <c r="AR5" s="4"/>
      <c r="AS5" s="4"/>
      <c r="AT5" s="23"/>
      <c r="AU5" s="4"/>
      <c r="AV5" s="4"/>
      <c r="AW5" s="23"/>
      <c r="AX5" s="4"/>
      <c r="AY5" s="4"/>
      <c r="AZ5" s="23"/>
      <c r="BA5" s="4"/>
      <c r="BB5" s="4"/>
      <c r="BC5" s="23"/>
      <c r="BD5" s="4"/>
      <c r="BE5" s="4"/>
      <c r="BF5" s="23"/>
      <c r="BG5" s="4"/>
      <c r="BH5" s="4"/>
      <c r="BI5" s="23"/>
      <c r="BJ5" s="4"/>
      <c r="BK5" s="4"/>
      <c r="BL5" s="23"/>
      <c r="BM5" s="4"/>
      <c r="BN5" s="4"/>
      <c r="BO5" s="23"/>
      <c r="BP5" s="4"/>
      <c r="BQ5" s="4"/>
      <c r="BR5" s="23"/>
    </row>
    <row r="6">
      <c r="A6" t="str">
        <f/>
        <v>btchmistry</v>
      </c>
      <c r="B6" s="4"/>
      <c r="C6" s="4"/>
      <c r="D6" t="s">
        <v>103</v>
      </c>
      <c r="E6" s="19" t="s">
        <v>104</v>
      </c>
      <c r="F6" t="s">
        <v>105</v>
      </c>
      <c r="H6" s="24" t="s">
        <v>106</v>
      </c>
      <c r="I6" s="3"/>
      <c r="J6" s="3"/>
      <c r="K6" t="s">
        <v>77</v>
      </c>
      <c r="L6" s="4" t="s">
        <v>78</v>
      </c>
      <c r="M6" s="21"/>
      <c r="N6" t="s">
        <v>77</v>
      </c>
      <c r="O6" s="4" t="s">
        <v>78</v>
      </c>
      <c r="P6" s="21"/>
      <c r="Q6" t="s">
        <v>77</v>
      </c>
      <c r="R6" t="s">
        <v>78</v>
      </c>
      <c r="S6" s="21"/>
      <c r="T6" t="s">
        <v>77</v>
      </c>
      <c r="U6" t="s">
        <v>78</v>
      </c>
      <c r="V6" s="21"/>
      <c r="W6" t="s">
        <v>77</v>
      </c>
      <c r="X6" t="s">
        <v>78</v>
      </c>
      <c r="Y6" s="21"/>
      <c r="Z6" t="s">
        <v>101</v>
      </c>
      <c r="AA6" t="s">
        <v>81</v>
      </c>
      <c r="AB6" s="21"/>
      <c r="AC6" t="s">
        <v>77</v>
      </c>
      <c r="AD6" t="s">
        <v>78</v>
      </c>
      <c r="AE6" s="21"/>
      <c r="AF6" t="s">
        <v>77</v>
      </c>
      <c r="AG6" t="s">
        <v>78</v>
      </c>
      <c r="AH6" s="21" t="s">
        <v>107</v>
      </c>
      <c r="AI6" t="s">
        <v>77</v>
      </c>
      <c r="AJ6" t="s">
        <v>78</v>
      </c>
      <c r="AK6" s="21"/>
      <c r="AN6" s="21"/>
      <c r="AQ6" s="21"/>
      <c r="AT6" s="21"/>
      <c r="AW6" s="21"/>
      <c r="AZ6" s="21"/>
      <c r="BC6" s="21"/>
      <c r="BF6" s="21"/>
      <c r="BI6" s="21"/>
      <c r="BL6" s="21"/>
      <c r="BO6" s="21"/>
      <c r="BR6" s="21"/>
    </row>
    <row r="7">
      <c r="A7" t="str">
        <f/>
        <v>CrkMStanz</v>
      </c>
      <c r="B7" s="4"/>
      <c r="C7" s="4"/>
      <c r="D7" t="s">
        <v>108</v>
      </c>
      <c r="E7" s="25" t="s">
        <v>109</v>
      </c>
      <c r="F7" s="4" t="s">
        <v>110</v>
      </c>
      <c r="G7" s="4"/>
      <c r="H7" s="4" t="s">
        <v>111</v>
      </c>
      <c r="I7" s="4"/>
      <c r="J7" s="4"/>
      <c r="K7" s="4" t="s">
        <v>77</v>
      </c>
      <c r="L7" s="4" t="s">
        <v>78</v>
      </c>
      <c r="M7" s="21"/>
      <c r="N7" s="4" t="s">
        <v>112</v>
      </c>
      <c r="O7" s="4" t="s">
        <v>113</v>
      </c>
      <c r="P7" s="21"/>
      <c r="Q7" s="4" t="s">
        <v>114</v>
      </c>
      <c r="R7" s="4" t="s">
        <v>81</v>
      </c>
      <c r="S7" s="21"/>
      <c r="T7" s="4" t="s">
        <v>115</v>
      </c>
      <c r="U7" s="4" t="s">
        <v>81</v>
      </c>
      <c r="V7" s="21"/>
      <c r="W7" s="4" t="s">
        <v>91</v>
      </c>
      <c r="X7" s="4" t="s">
        <v>81</v>
      </c>
      <c r="Y7" s="21"/>
      <c r="Z7" s="4" t="s">
        <v>115</v>
      </c>
      <c r="AA7" s="4" t="s">
        <v>113</v>
      </c>
      <c r="AB7" s="21" t="s">
        <v>116</v>
      </c>
      <c r="AC7" s="4" t="s">
        <v>101</v>
      </c>
      <c r="AD7" s="4" t="s">
        <v>81</v>
      </c>
      <c r="AE7" s="21"/>
      <c r="AF7" s="4" t="s">
        <v>101</v>
      </c>
      <c r="AG7" s="4" t="s">
        <v>81</v>
      </c>
      <c r="AH7" s="21"/>
      <c r="AI7" s="4" t="s">
        <v>117</v>
      </c>
      <c r="AJ7" s="4" t="s">
        <v>81</v>
      </c>
      <c r="AK7" s="21" t="s">
        <v>118</v>
      </c>
      <c r="AL7" s="4"/>
      <c r="AM7" s="4"/>
      <c r="AN7" s="21"/>
      <c r="AO7" s="4"/>
      <c r="AP7" s="4"/>
      <c r="AQ7" s="21"/>
      <c r="AR7" s="4"/>
      <c r="AS7" s="4"/>
      <c r="AT7" s="21"/>
      <c r="AU7" s="4"/>
      <c r="AV7" s="4"/>
      <c r="AW7" s="21"/>
      <c r="AX7" s="4"/>
      <c r="AY7" s="4"/>
      <c r="AZ7" s="21"/>
      <c r="BA7" s="4"/>
      <c r="BB7" s="4"/>
      <c r="BC7" s="21"/>
      <c r="BD7" s="4"/>
      <c r="BE7" s="4"/>
      <c r="BF7" s="21"/>
      <c r="BG7" s="4"/>
      <c r="BH7" s="4"/>
      <c r="BI7" s="21"/>
      <c r="BJ7" s="4"/>
      <c r="BK7" s="4"/>
      <c r="BL7" s="21"/>
      <c r="BM7" s="4"/>
      <c r="BN7" s="4"/>
      <c r="BO7" s="21"/>
      <c r="BP7" s="4"/>
      <c r="BQ7" s="4"/>
      <c r="BR7" s="21"/>
    </row>
    <row r="8">
      <c r="A8" t="str">
        <f/>
        <v>darisk</v>
      </c>
      <c r="B8" s="4"/>
      <c r="C8" s="4"/>
      <c r="D8" t="s">
        <v>119</v>
      </c>
      <c r="E8" s="25" t="s">
        <v>109</v>
      </c>
      <c r="F8" s="4" t="s">
        <v>120</v>
      </c>
      <c r="H8" s="26" t="s">
        <v>111</v>
      </c>
      <c r="I8" s="4"/>
      <c r="J8" s="4"/>
      <c r="K8" s="4" t="s">
        <v>77</v>
      </c>
      <c r="L8" s="4" t="s">
        <v>78</v>
      </c>
      <c r="M8" s="27"/>
      <c r="N8" s="4" t="s">
        <v>119</v>
      </c>
      <c r="O8" s="4" t="s">
        <v>81</v>
      </c>
      <c r="P8" s="21" t="s">
        <v>121</v>
      </c>
      <c r="Q8" s="4" t="s">
        <v>114</v>
      </c>
      <c r="R8" s="4" t="s">
        <v>81</v>
      </c>
      <c r="S8" s="21"/>
      <c r="T8" s="4" t="s">
        <v>101</v>
      </c>
      <c r="U8" s="4" t="s">
        <v>81</v>
      </c>
      <c r="V8" s="21"/>
      <c r="W8" s="4" t="s">
        <v>100</v>
      </c>
      <c r="X8" s="4" t="s">
        <v>81</v>
      </c>
      <c r="Y8" s="21"/>
      <c r="Z8" s="4" t="s">
        <v>101</v>
      </c>
      <c r="AA8" s="4" t="s">
        <v>81</v>
      </c>
      <c r="AB8" s="21"/>
      <c r="AC8" s="4" t="s">
        <v>122</v>
      </c>
      <c r="AD8" s="4" t="s">
        <v>81</v>
      </c>
      <c r="AE8" s="21"/>
      <c r="AF8" s="4" t="s">
        <v>123</v>
      </c>
      <c r="AG8" s="4" t="s">
        <v>81</v>
      </c>
      <c r="AH8" s="21"/>
      <c r="AI8" s="4" t="s">
        <v>117</v>
      </c>
      <c r="AJ8" s="4" t="s">
        <v>81</v>
      </c>
      <c r="AK8" s="21" t="s">
        <v>124</v>
      </c>
      <c r="AL8" s="4"/>
      <c r="AM8" s="4"/>
      <c r="AN8" s="21"/>
      <c r="AO8" s="4"/>
      <c r="AP8" s="4"/>
      <c r="AQ8" s="21"/>
      <c r="AR8" s="4"/>
      <c r="AS8" s="4"/>
      <c r="AT8" s="21"/>
      <c r="AU8" s="4"/>
      <c r="AV8" s="4"/>
      <c r="AW8" s="21"/>
      <c r="AX8" s="4"/>
      <c r="AY8" s="4"/>
      <c r="AZ8" s="21"/>
      <c r="BA8" s="4"/>
      <c r="BB8" s="4"/>
      <c r="BC8" s="21"/>
      <c r="BD8" s="4"/>
      <c r="BE8" s="4"/>
      <c r="BF8" s="21"/>
      <c r="BG8" s="4"/>
      <c r="BH8" s="4"/>
      <c r="BI8" s="21"/>
      <c r="BJ8" s="4"/>
      <c r="BK8" s="4"/>
      <c r="BL8" s="21"/>
      <c r="BM8" s="4"/>
      <c r="BN8" s="4"/>
      <c r="BO8" s="21"/>
      <c r="BP8" s="4"/>
      <c r="BQ8" s="4"/>
      <c r="BR8" s="21"/>
    </row>
    <row r="9">
      <c r="A9" t="str">
        <f/>
        <v>dyno10</v>
      </c>
      <c r="B9" s="4"/>
      <c r="C9" s="4"/>
      <c r="D9" t="s">
        <v>125</v>
      </c>
      <c r="E9" s="25" t="s">
        <v>126</v>
      </c>
      <c r="F9" s="4" t="s">
        <v>127</v>
      </c>
      <c r="H9" s="28" t="s">
        <v>128</v>
      </c>
      <c r="I9" s="4"/>
      <c r="J9" s="4"/>
      <c r="K9" t="s">
        <v>129</v>
      </c>
      <c r="L9" s="4" t="s">
        <v>130</v>
      </c>
      <c r="M9" s="21"/>
      <c r="N9" t="s">
        <v>129</v>
      </c>
      <c r="O9" s="4" t="s">
        <v>113</v>
      </c>
      <c r="P9" s="21"/>
      <c r="Q9" s="4" t="s">
        <v>129</v>
      </c>
      <c r="R9" s="4" t="s">
        <v>113</v>
      </c>
      <c r="S9" s="21"/>
      <c r="T9" t="s">
        <v>131</v>
      </c>
      <c r="U9" t="s">
        <v>132</v>
      </c>
      <c r="V9" s="21"/>
      <c r="W9" t="s">
        <v>129</v>
      </c>
      <c r="X9" t="s">
        <v>113</v>
      </c>
      <c r="Y9" s="21"/>
      <c r="Z9" t="s">
        <v>129</v>
      </c>
      <c r="AA9" t="s">
        <v>113</v>
      </c>
      <c r="AB9" s="21" t="s">
        <v>133</v>
      </c>
      <c r="AE9" s="21"/>
      <c r="AH9" s="21"/>
      <c r="AK9" s="21"/>
      <c r="AN9" s="21"/>
      <c r="AQ9" s="21"/>
      <c r="AT9" s="21"/>
      <c r="AW9" s="21"/>
      <c r="AZ9" s="21"/>
      <c r="BC9" s="21"/>
      <c r="BF9" s="21"/>
      <c r="BI9" s="21"/>
      <c r="BL9" s="21"/>
      <c r="BO9" s="21"/>
      <c r="BR9" s="21"/>
    </row>
    <row r="10">
      <c r="A10" t="str">
        <f/>
        <v>eastlondondon</v>
      </c>
      <c r="B10" s="4"/>
      <c r="C10" s="4"/>
      <c r="D10" t="s">
        <v>100</v>
      </c>
      <c r="E10" s="22" t="s">
        <v>134</v>
      </c>
      <c r="F10" s="5" t="s">
        <v>135</v>
      </c>
      <c r="G10" s="8"/>
      <c r="H10" s="5"/>
      <c r="I10" s="5"/>
      <c r="J10" s="5"/>
      <c r="K10" s="5" t="s">
        <v>77</v>
      </c>
      <c r="L10" s="5" t="s">
        <v>78</v>
      </c>
      <c r="M10" s="27"/>
      <c r="N10" s="5" t="s">
        <v>77</v>
      </c>
      <c r="O10" s="5" t="s">
        <v>78</v>
      </c>
      <c r="P10" s="9"/>
      <c r="Q10" s="5" t="s">
        <v>77</v>
      </c>
      <c r="R10" s="5" t="s">
        <v>78</v>
      </c>
      <c r="S10" s="9"/>
      <c r="T10" s="5" t="s">
        <v>77</v>
      </c>
      <c r="U10" s="5" t="s">
        <v>78</v>
      </c>
      <c r="V10" s="9"/>
      <c r="W10" s="5" t="s">
        <v>77</v>
      </c>
      <c r="X10" s="5" t="s">
        <v>78</v>
      </c>
      <c r="Y10" s="9" t="s">
        <v>136</v>
      </c>
      <c r="Z10" s="5" t="s">
        <v>137</v>
      </c>
      <c r="AA10" s="5" t="s">
        <v>81</v>
      </c>
      <c r="AB10" s="9" t="s">
        <v>138</v>
      </c>
      <c r="AC10" s="5" t="s">
        <v>137</v>
      </c>
      <c r="AD10" s="5" t="s">
        <v>81</v>
      </c>
      <c r="AE10" s="9"/>
      <c r="AF10" s="5" t="s">
        <v>137</v>
      </c>
      <c r="AG10" s="5" t="s">
        <v>113</v>
      </c>
      <c r="AH10" s="9" t="s">
        <v>139</v>
      </c>
      <c r="AI10" s="5"/>
      <c r="AJ10" s="5"/>
      <c r="AK10" s="9"/>
      <c r="AL10" s="5"/>
      <c r="AM10" s="5"/>
      <c r="AN10" s="9"/>
      <c r="AO10" s="5"/>
      <c r="AP10" s="5"/>
      <c r="AQ10" s="9"/>
      <c r="AR10" s="5"/>
      <c r="AS10" s="5"/>
      <c r="AT10" s="9"/>
      <c r="AU10" s="5"/>
      <c r="AV10" s="5"/>
      <c r="AW10" s="9"/>
      <c r="AX10" s="5"/>
      <c r="AY10" s="5"/>
      <c r="AZ10" s="9"/>
      <c r="BA10" s="5"/>
      <c r="BB10" s="5"/>
      <c r="BC10" s="9"/>
      <c r="BD10" s="5"/>
      <c r="BE10" s="5"/>
      <c r="BF10" s="9"/>
      <c r="BG10" s="5"/>
      <c r="BH10" s="5"/>
      <c r="BI10" s="9"/>
      <c r="BJ10" s="5"/>
      <c r="BK10" s="5"/>
      <c r="BL10" s="9"/>
      <c r="BM10" s="5"/>
      <c r="BN10" s="5"/>
      <c r="BO10" s="9"/>
      <c r="BP10" s="5"/>
      <c r="BQ10" s="5"/>
      <c r="BR10" s="9"/>
    </row>
    <row r="11">
      <c r="A11" t="str">
        <f/>
        <v>Flatline</v>
      </c>
      <c r="B11" s="4"/>
      <c r="C11" s="4"/>
      <c r="D11" s="4" t="s">
        <v>140</v>
      </c>
      <c r="E11" s="25" t="s">
        <v>141</v>
      </c>
      <c r="F11" s="4" t="s">
        <v>142</v>
      </c>
      <c r="G11" s="4" t="s">
        <v>143</v>
      </c>
      <c r="H11" s="4"/>
      <c r="I11" s="4"/>
      <c r="J11" s="4"/>
      <c r="K11" s="4" t="s">
        <v>144</v>
      </c>
      <c r="L11" s="4" t="s">
        <v>145</v>
      </c>
      <c r="M11" s="23"/>
      <c r="N11" s="4" t="s">
        <v>146</v>
      </c>
      <c r="O11" s="4" t="s">
        <v>113</v>
      </c>
      <c r="P11" s="21" t="s">
        <v>147</v>
      </c>
      <c r="Q11" s="4" t="s">
        <v>146</v>
      </c>
      <c r="R11" s="4" t="s">
        <v>148</v>
      </c>
      <c r="S11" s="21"/>
      <c r="T11" s="4" t="s">
        <v>149</v>
      </c>
      <c r="U11" s="4" t="s">
        <v>78</v>
      </c>
      <c r="V11" s="21" t="s">
        <v>150</v>
      </c>
      <c r="W11" s="4" t="s">
        <v>149</v>
      </c>
      <c r="X11" s="4" t="s">
        <v>78</v>
      </c>
      <c r="Y11" s="21"/>
      <c r="Z11" s="4" t="s">
        <v>151</v>
      </c>
      <c r="AA11" s="4" t="s">
        <v>152</v>
      </c>
      <c r="AB11" s="21"/>
      <c r="AC11" s="4" t="s">
        <v>153</v>
      </c>
      <c r="AD11" s="4" t="s">
        <v>154</v>
      </c>
      <c r="AE11" s="21" t="s">
        <v>107</v>
      </c>
      <c r="AF11" s="4" t="s">
        <v>155</v>
      </c>
      <c r="AG11" s="4" t="s">
        <v>81</v>
      </c>
      <c r="AH11" s="21"/>
      <c r="AI11" s="4" t="s">
        <v>156</v>
      </c>
      <c r="AJ11" s="4" t="s">
        <v>81</v>
      </c>
      <c r="AK11" s="21"/>
      <c r="AL11" s="4"/>
      <c r="AM11" s="4"/>
      <c r="AN11" s="21"/>
      <c r="AO11" s="4"/>
      <c r="AP11" s="4"/>
      <c r="AQ11" s="21"/>
      <c r="AR11" s="4"/>
      <c r="AS11" s="4"/>
      <c r="AT11" s="21"/>
      <c r="AU11" s="4"/>
      <c r="AV11" s="4"/>
      <c r="AW11" s="21"/>
      <c r="AX11" s="4"/>
      <c r="AY11" s="4"/>
      <c r="AZ11" s="21"/>
      <c r="BA11" s="4"/>
      <c r="BB11" s="4"/>
      <c r="BC11" s="21"/>
      <c r="BD11" s="4"/>
      <c r="BE11" s="4"/>
      <c r="BF11" s="21"/>
      <c r="BG11" s="4"/>
      <c r="BH11" s="4"/>
      <c r="BI11" s="21"/>
      <c r="BJ11" s="4"/>
      <c r="BK11" s="4"/>
      <c r="BL11" s="21"/>
      <c r="BM11" s="4"/>
      <c r="BN11" s="4"/>
      <c r="BO11" s="21"/>
      <c r="BP11" s="4"/>
      <c r="BQ11" s="4"/>
      <c r="BR11" s="21"/>
    </row>
    <row r="12">
      <c r="A12" t="str">
        <f/>
        <v>getrav</v>
      </c>
      <c r="B12" s="4"/>
      <c r="C12" s="4"/>
      <c r="D12" s="4" t="s">
        <v>157</v>
      </c>
      <c r="E12" s="19" t="s">
        <v>158</v>
      </c>
      <c r="F12" t="s">
        <v>159</v>
      </c>
      <c r="G12" s="4"/>
      <c r="K12" s="4" t="s">
        <v>73</v>
      </c>
      <c r="L12" s="20" t="s">
        <v>81</v>
      </c>
      <c r="M12" s="21"/>
      <c r="N12" s="20" t="s">
        <v>112</v>
      </c>
      <c r="O12" s="20" t="s">
        <v>113</v>
      </c>
      <c r="P12" s="21"/>
      <c r="Q12" s="20" t="s">
        <v>99</v>
      </c>
      <c r="R12" s="20" t="s">
        <v>81</v>
      </c>
      <c r="S12" s="21" t="s">
        <v>96</v>
      </c>
      <c r="T12" s="20" t="s">
        <v>140</v>
      </c>
      <c r="U12" s="20" t="s">
        <v>113</v>
      </c>
      <c r="V12" s="21" t="s">
        <v>160</v>
      </c>
      <c r="W12" s="20" t="s">
        <v>161</v>
      </c>
      <c r="X12" s="20" t="s">
        <v>81</v>
      </c>
      <c r="Y12" s="21"/>
      <c r="Z12" s="20" t="s">
        <v>125</v>
      </c>
      <c r="AA12" s="20" t="s">
        <v>81</v>
      </c>
      <c r="AB12" s="21" t="s">
        <v>86</v>
      </c>
      <c r="AC12" s="20"/>
      <c r="AD12" s="20"/>
      <c r="AE12" s="21"/>
      <c r="AF12" s="20"/>
      <c r="AG12" s="20"/>
      <c r="AH12" s="21"/>
      <c r="AI12" s="20"/>
      <c r="AJ12" s="20"/>
      <c r="AK12" s="21"/>
      <c r="AL12" s="20"/>
      <c r="AM12" s="20"/>
      <c r="AN12" s="21"/>
      <c r="AO12" s="20"/>
      <c r="AP12" s="20"/>
      <c r="AQ12" s="21"/>
      <c r="AR12" s="20"/>
      <c r="AS12" s="20"/>
      <c r="AT12" s="21"/>
      <c r="AU12" s="20"/>
      <c r="AV12" s="20"/>
      <c r="AW12" s="21"/>
      <c r="AX12" s="20"/>
      <c r="AY12" s="20"/>
      <c r="AZ12" s="21"/>
      <c r="BA12" s="20"/>
      <c r="BB12" s="20"/>
      <c r="BC12" s="21"/>
      <c r="BD12" s="20"/>
      <c r="BE12" s="20"/>
      <c r="BF12" s="21"/>
      <c r="BG12" s="20"/>
      <c r="BH12" s="20"/>
      <c r="BI12" s="21"/>
      <c r="BJ12" s="20"/>
      <c r="BK12" s="20"/>
      <c r="BL12" s="21"/>
      <c r="BM12" s="20"/>
      <c r="BN12" s="20"/>
      <c r="BO12" s="21"/>
      <c r="BP12" s="20"/>
      <c r="BQ12" s="20"/>
      <c r="BR12" s="21"/>
    </row>
    <row r="13">
      <c r="A13" t="str">
        <f/>
        <v>HookTL</v>
      </c>
      <c r="B13" s="4"/>
      <c r="C13" s="4"/>
      <c r="D13" s="4" t="s">
        <v>162</v>
      </c>
      <c r="E13" s="22" t="s">
        <v>163</v>
      </c>
      <c r="F13" s="5" t="s">
        <v>164</v>
      </c>
      <c r="G13" s="5"/>
      <c r="H13" s="5"/>
      <c r="I13" s="5"/>
      <c r="J13" s="5"/>
      <c r="K13" s="5" t="s">
        <v>149</v>
      </c>
      <c r="L13" s="5" t="s">
        <v>78</v>
      </c>
      <c r="M13" s="27"/>
      <c r="N13" s="5" t="s">
        <v>112</v>
      </c>
      <c r="O13" s="5" t="s">
        <v>81</v>
      </c>
      <c r="P13" s="27" t="s">
        <v>121</v>
      </c>
      <c r="Q13" s="5" t="s">
        <v>165</v>
      </c>
      <c r="R13" s="5" t="s">
        <v>81</v>
      </c>
      <c r="S13" s="27"/>
      <c r="T13" s="5" t="s">
        <v>166</v>
      </c>
      <c r="U13" s="5" t="s">
        <v>81</v>
      </c>
      <c r="V13" s="27"/>
      <c r="W13" s="5" t="s">
        <v>114</v>
      </c>
      <c r="X13" s="5" t="s">
        <v>81</v>
      </c>
      <c r="Y13" s="27"/>
      <c r="Z13" s="5" t="s">
        <v>167</v>
      </c>
      <c r="AA13" s="5" t="s">
        <v>81</v>
      </c>
      <c r="AB13" s="27"/>
      <c r="AC13" s="5" t="s">
        <v>140</v>
      </c>
      <c r="AD13" s="5" t="s">
        <v>81</v>
      </c>
      <c r="AE13" s="27"/>
      <c r="AF13" s="5" t="s">
        <v>103</v>
      </c>
      <c r="AG13" s="5" t="s">
        <v>81</v>
      </c>
      <c r="AH13" s="27"/>
      <c r="AI13" s="5" t="s">
        <v>108</v>
      </c>
      <c r="AJ13" s="5" t="s">
        <v>81</v>
      </c>
      <c r="AK13" s="27"/>
      <c r="AL13" s="5"/>
      <c r="AM13" s="5"/>
      <c r="AN13" s="27"/>
      <c r="AO13" s="5"/>
      <c r="AP13" s="5"/>
      <c r="AQ13" s="27"/>
      <c r="AR13" s="5"/>
      <c r="AS13" s="5"/>
      <c r="AT13" s="27"/>
      <c r="AU13" s="5"/>
      <c r="AV13" s="5"/>
      <c r="AW13" s="27"/>
      <c r="AX13" s="5"/>
      <c r="AY13" s="5"/>
      <c r="AZ13" s="27"/>
      <c r="BA13" s="5"/>
      <c r="BB13" s="5"/>
      <c r="BC13" s="27"/>
      <c r="BD13" s="5"/>
      <c r="BE13" s="5"/>
      <c r="BF13" s="27"/>
      <c r="BG13" s="5"/>
      <c r="BH13" s="5"/>
      <c r="BI13" s="27"/>
      <c r="BJ13" s="5"/>
      <c r="BK13" s="5"/>
      <c r="BL13" s="27"/>
      <c r="BM13" s="5"/>
      <c r="BN13" s="5"/>
      <c r="BO13" s="27"/>
      <c r="BP13" s="5"/>
      <c r="BQ13" s="5"/>
      <c r="BR13" s="27"/>
    </row>
    <row r="14">
      <c r="A14" s="4" t="str">
        <f/>
        <v>hotshotxwl</v>
      </c>
      <c r="B14" s="4"/>
      <c r="C14" s="4"/>
      <c r="D14" s="4" t="s">
        <v>122</v>
      </c>
      <c r="E14" s="25" t="s">
        <v>168</v>
      </c>
      <c r="F14" s="4" t="s">
        <v>169</v>
      </c>
      <c r="H14" s="4"/>
      <c r="I14" s="4"/>
      <c r="J14" s="4"/>
      <c r="K14" s="4" t="s">
        <v>170</v>
      </c>
      <c r="L14" s="4" t="s">
        <v>81</v>
      </c>
      <c r="M14" s="27"/>
      <c r="N14" s="4" t="s">
        <v>112</v>
      </c>
      <c r="O14" s="4" t="s">
        <v>113</v>
      </c>
      <c r="P14" s="21"/>
      <c r="Q14" s="4" t="s">
        <v>101</v>
      </c>
      <c r="R14" s="4" t="s">
        <v>81</v>
      </c>
      <c r="S14" s="23"/>
      <c r="T14" s="4" t="s">
        <v>123</v>
      </c>
      <c r="U14" s="4" t="s">
        <v>81</v>
      </c>
      <c r="V14" s="21"/>
      <c r="W14" s="4" t="s">
        <v>101</v>
      </c>
      <c r="X14" s="4" t="s">
        <v>81</v>
      </c>
      <c r="Y14" s="21"/>
      <c r="Z14" s="4" t="s">
        <v>166</v>
      </c>
      <c r="AA14" s="4" t="s">
        <v>81</v>
      </c>
      <c r="AB14" s="21"/>
      <c r="AC14" s="4" t="s">
        <v>101</v>
      </c>
      <c r="AD14" s="4" t="s">
        <v>81</v>
      </c>
      <c r="AE14" s="21" t="s">
        <v>121</v>
      </c>
      <c r="AF14" s="4" t="s">
        <v>101</v>
      </c>
      <c r="AG14" s="4" t="s">
        <v>81</v>
      </c>
      <c r="AH14" s="21"/>
      <c r="AI14" s="4" t="s">
        <v>119</v>
      </c>
      <c r="AJ14" s="4" t="s">
        <v>81</v>
      </c>
      <c r="AK14" s="21" t="s">
        <v>96</v>
      </c>
      <c r="AL14" s="4"/>
      <c r="AM14" s="4"/>
      <c r="AN14" s="21"/>
      <c r="AO14" s="4"/>
      <c r="AP14" s="4"/>
      <c r="AQ14" s="21"/>
      <c r="AR14" s="4"/>
      <c r="AS14" s="4"/>
      <c r="AT14" s="21"/>
      <c r="AU14" s="4"/>
      <c r="AV14" s="4"/>
      <c r="AW14" s="21"/>
      <c r="AX14" s="4"/>
      <c r="AY14" s="4"/>
      <c r="AZ14" s="21"/>
      <c r="BA14" s="4"/>
      <c r="BB14" s="4"/>
      <c r="BC14" s="21"/>
      <c r="BD14" s="4"/>
      <c r="BE14" s="4"/>
      <c r="BF14" s="21"/>
      <c r="BG14" s="4"/>
      <c r="BH14" s="4"/>
      <c r="BI14" s="21"/>
      <c r="BJ14" s="4"/>
      <c r="BK14" s="4"/>
      <c r="BL14" s="21"/>
      <c r="BM14" s="4"/>
      <c r="BN14" s="4"/>
      <c r="BO14" s="21"/>
      <c r="BP14" s="4"/>
      <c r="BQ14" s="4"/>
      <c r="BR14" s="21"/>
    </row>
    <row r="15">
      <c r="A15" s="4" t="str">
        <f/>
        <v>ichiro666</v>
      </c>
      <c r="B15" s="4"/>
      <c r="C15" s="4"/>
      <c r="D15" s="4" t="s">
        <v>161</v>
      </c>
      <c r="E15" s="25" t="s">
        <v>171</v>
      </c>
      <c r="F15" s="4" t="s">
        <v>172</v>
      </c>
      <c r="H15" s="4"/>
      <c r="I15" s="4"/>
      <c r="J15" s="4"/>
      <c r="K15" s="5" t="s">
        <v>173</v>
      </c>
      <c r="L15" s="5" t="s">
        <v>81</v>
      </c>
      <c r="M15" s="9"/>
      <c r="N15" s="5" t="s">
        <v>101</v>
      </c>
      <c r="O15" s="5" t="s">
        <v>81</v>
      </c>
      <c r="P15" s="27"/>
      <c r="Q15" s="5" t="s">
        <v>167</v>
      </c>
      <c r="R15" s="5" t="s">
        <v>81</v>
      </c>
      <c r="S15" s="27"/>
      <c r="T15" s="5" t="s">
        <v>173</v>
      </c>
      <c r="U15" s="5" t="s">
        <v>113</v>
      </c>
      <c r="V15" s="27"/>
      <c r="W15" s="5" t="s">
        <v>167</v>
      </c>
      <c r="X15" s="5" t="s">
        <v>81</v>
      </c>
      <c r="Y15" s="27" t="s">
        <v>174</v>
      </c>
      <c r="Z15" s="5"/>
      <c r="AA15" s="5"/>
      <c r="AB15" s="27"/>
      <c r="AC15" s="5"/>
      <c r="AD15" s="5"/>
      <c r="AE15" s="27"/>
      <c r="AF15" s="5"/>
      <c r="AG15" s="5"/>
      <c r="AH15" s="27"/>
      <c r="AI15" s="5"/>
      <c r="AJ15" s="5"/>
      <c r="AK15" s="27"/>
      <c r="AL15" s="5"/>
      <c r="AM15" s="5"/>
      <c r="AN15" s="27"/>
      <c r="AO15" s="5"/>
      <c r="AP15" s="5"/>
      <c r="AQ15" s="27"/>
      <c r="AR15" s="5"/>
      <c r="AS15" s="5"/>
      <c r="AT15" s="27"/>
      <c r="AU15" s="5"/>
      <c r="AV15" s="5"/>
      <c r="AW15" s="27"/>
      <c r="AX15" s="5"/>
      <c r="AY15" s="5"/>
      <c r="AZ15" s="27"/>
      <c r="BA15" s="5"/>
      <c r="BB15" s="5"/>
      <c r="BC15" s="27"/>
      <c r="BD15" s="5"/>
      <c r="BE15" s="5"/>
      <c r="BF15" s="27"/>
      <c r="BG15" s="5"/>
      <c r="BH15" s="5"/>
      <c r="BI15" s="27"/>
      <c r="BJ15" s="5"/>
      <c r="BK15" s="5"/>
      <c r="BL15" s="27"/>
      <c r="BM15" s="5"/>
      <c r="BN15" s="5"/>
      <c r="BO15" s="27"/>
      <c r="BP15" s="5"/>
      <c r="BQ15" s="5"/>
      <c r="BR15" s="27"/>
    </row>
    <row r="16">
      <c r="A16" s="4" t="str">
        <f/>
        <v>James868</v>
      </c>
      <c r="B16" s="4"/>
      <c r="C16" s="4"/>
      <c r="D16" s="4" t="s">
        <v>115</v>
      </c>
      <c r="E16" s="29" t="s">
        <v>175</v>
      </c>
      <c r="F16" s="4" t="s">
        <v>176</v>
      </c>
      <c r="G16" s="4" t="s">
        <v>177</v>
      </c>
      <c r="H16" s="4"/>
      <c r="I16" s="4"/>
      <c r="J16" s="4"/>
      <c r="K16" s="4" t="s">
        <v>77</v>
      </c>
      <c r="L16" s="4" t="s">
        <v>78</v>
      </c>
      <c r="M16" s="23"/>
      <c r="N16" s="4" t="s">
        <v>178</v>
      </c>
      <c r="O16" s="4" t="s">
        <v>81</v>
      </c>
      <c r="P16" s="23"/>
      <c r="Q16" s="4" t="s">
        <v>101</v>
      </c>
      <c r="R16" s="4" t="s">
        <v>81</v>
      </c>
      <c r="S16" s="23"/>
      <c r="T16" s="4" t="s">
        <v>101</v>
      </c>
      <c r="U16" s="4" t="s">
        <v>78</v>
      </c>
      <c r="V16" s="23" t="s">
        <v>179</v>
      </c>
      <c r="W16" s="4" t="s">
        <v>180</v>
      </c>
      <c r="X16" s="4" t="s">
        <v>81</v>
      </c>
      <c r="Y16" s="23" t="s">
        <v>97</v>
      </c>
      <c r="Z16" s="4" t="s">
        <v>157</v>
      </c>
      <c r="AA16" s="4" t="s">
        <v>81</v>
      </c>
      <c r="AB16" s="23"/>
      <c r="AC16" s="4" t="s">
        <v>77</v>
      </c>
      <c r="AD16" s="4" t="s">
        <v>78</v>
      </c>
      <c r="AE16" s="23"/>
      <c r="AF16" s="4" t="s">
        <v>100</v>
      </c>
      <c r="AG16" s="4" t="s">
        <v>81</v>
      </c>
      <c r="AH16" s="23"/>
      <c r="AI16" s="4" t="s">
        <v>77</v>
      </c>
      <c r="AJ16" s="4" t="s">
        <v>78</v>
      </c>
      <c r="AK16" s="23"/>
      <c r="AL16" s="4"/>
      <c r="AM16" s="4"/>
      <c r="AN16" s="23"/>
      <c r="AO16" s="4"/>
      <c r="AP16" s="4"/>
      <c r="AQ16" s="23"/>
      <c r="AR16" s="4"/>
      <c r="AS16" s="4"/>
      <c r="AT16" s="23"/>
      <c r="AU16" s="4"/>
      <c r="AV16" s="4"/>
      <c r="AW16" s="23"/>
      <c r="AX16" s="4"/>
      <c r="AY16" s="4"/>
      <c r="AZ16" s="23"/>
      <c r="BA16" s="4"/>
      <c r="BB16" s="4"/>
      <c r="BC16" s="23"/>
      <c r="BD16" s="4"/>
      <c r="BE16" s="4"/>
      <c r="BF16" s="23"/>
      <c r="BG16" s="4"/>
      <c r="BH16" s="4"/>
      <c r="BI16" s="23"/>
      <c r="BJ16" s="4"/>
      <c r="BK16" s="4"/>
      <c r="BL16" s="23"/>
      <c r="BM16" s="4"/>
      <c r="BN16" s="4"/>
      <c r="BO16" s="23"/>
      <c r="BP16" s="4"/>
      <c r="BQ16" s="4"/>
      <c r="BR16" s="23"/>
    </row>
    <row r="17">
      <c r="A17" s="4" t="str">
        <f/>
        <v xml:space="preserve">Katara jetstream</v>
      </c>
      <c r="B17" s="4"/>
      <c r="C17" s="4"/>
      <c r="D17" s="4" t="s">
        <v>91</v>
      </c>
      <c r="E17" s="25" t="s">
        <v>181</v>
      </c>
      <c r="F17" s="4" t="s">
        <v>182</v>
      </c>
      <c r="G17" s="4"/>
      <c r="H17" s="28" t="s">
        <v>183</v>
      </c>
      <c r="I17" s="4" t="s">
        <v>184</v>
      </c>
      <c r="J17" s="4"/>
      <c r="K17" s="4" t="s">
        <v>157</v>
      </c>
      <c r="L17" s="4" t="s">
        <v>185</v>
      </c>
      <c r="M17" s="23" t="s">
        <v>138</v>
      </c>
      <c r="N17" s="4" t="s">
        <v>103</v>
      </c>
      <c r="O17" s="4" t="s">
        <v>186</v>
      </c>
      <c r="P17" s="21" t="s">
        <v>187</v>
      </c>
      <c r="Q17" s="4" t="s">
        <v>188</v>
      </c>
      <c r="R17" s="4" t="s">
        <v>113</v>
      </c>
      <c r="S17" s="21" t="s">
        <v>189</v>
      </c>
      <c r="T17" s="4" t="s">
        <v>190</v>
      </c>
      <c r="U17" s="4" t="s">
        <v>191</v>
      </c>
      <c r="V17" s="21"/>
      <c r="W17" s="4" t="s">
        <v>192</v>
      </c>
      <c r="X17" s="4" t="s">
        <v>113</v>
      </c>
      <c r="Y17" s="21" t="s">
        <v>193</v>
      </c>
      <c r="Z17" s="4"/>
      <c r="AA17" s="4"/>
      <c r="AB17" s="21"/>
      <c r="AC17" s="4"/>
      <c r="AD17" s="4"/>
      <c r="AE17" s="21"/>
      <c r="AF17" s="4"/>
      <c r="AG17" s="4"/>
      <c r="AH17" s="21"/>
      <c r="AI17" s="4"/>
      <c r="AJ17" s="4"/>
      <c r="AK17" s="21"/>
      <c r="AL17" s="4"/>
      <c r="AM17" s="4"/>
      <c r="AN17" s="21"/>
      <c r="AO17" s="4"/>
      <c r="AP17" s="4"/>
      <c r="AQ17" s="21"/>
      <c r="AR17" s="4"/>
      <c r="AS17" s="4"/>
      <c r="AT17" s="21"/>
      <c r="AU17" s="4"/>
      <c r="AV17" s="4"/>
      <c r="AW17" s="21"/>
      <c r="AX17" s="4"/>
      <c r="AY17" s="4"/>
      <c r="AZ17" s="21"/>
      <c r="BA17" s="4"/>
      <c r="BB17" s="4"/>
      <c r="BC17" s="21"/>
      <c r="BD17" s="4"/>
      <c r="BE17" s="4"/>
      <c r="BF17" s="21"/>
      <c r="BG17" s="4"/>
      <c r="BH17" s="4"/>
      <c r="BI17" s="21"/>
      <c r="BJ17" s="4"/>
      <c r="BK17" s="4"/>
      <c r="BL17" s="21"/>
      <c r="BM17" s="4"/>
      <c r="BN17" s="4"/>
      <c r="BO17" s="21"/>
      <c r="BP17" s="4"/>
      <c r="BQ17" s="4"/>
      <c r="BR17" s="21"/>
    </row>
    <row r="18">
      <c r="A18" s="4" t="str">
        <f/>
        <v>Landorus</v>
      </c>
      <c r="B18" s="4"/>
      <c r="C18" s="4"/>
      <c r="D18" s="4" t="s">
        <v>99</v>
      </c>
      <c r="E18" s="25" t="s">
        <v>181</v>
      </c>
      <c r="F18" s="4" t="s">
        <v>194</v>
      </c>
      <c r="G18" s="4"/>
      <c r="H18" s="4"/>
      <c r="I18" s="4"/>
      <c r="J18" s="4"/>
      <c r="K18" s="4" t="s">
        <v>149</v>
      </c>
      <c r="L18" s="4" t="s">
        <v>78</v>
      </c>
      <c r="M18" s="21"/>
      <c r="N18" s="4" t="s">
        <v>112</v>
      </c>
      <c r="O18" s="4" t="s">
        <v>113</v>
      </c>
      <c r="P18" s="21"/>
      <c r="Q18" s="4" t="s">
        <v>173</v>
      </c>
      <c r="R18" s="4" t="s">
        <v>113</v>
      </c>
      <c r="S18" s="21" t="s">
        <v>116</v>
      </c>
      <c r="T18" s="4" t="s">
        <v>101</v>
      </c>
      <c r="U18" s="4" t="s">
        <v>195</v>
      </c>
      <c r="V18" s="21"/>
      <c r="W18" s="4" t="s">
        <v>123</v>
      </c>
      <c r="X18" s="4" t="s">
        <v>186</v>
      </c>
      <c r="Y18" s="21" t="s">
        <v>138</v>
      </c>
      <c r="Z18" s="4" t="s">
        <v>122</v>
      </c>
      <c r="AA18" s="4" t="s">
        <v>196</v>
      </c>
      <c r="AB18" s="21"/>
      <c r="AC18" s="4" t="s">
        <v>166</v>
      </c>
      <c r="AD18" s="4" t="s">
        <v>197</v>
      </c>
      <c r="AE18" s="21"/>
      <c r="AF18" s="4" t="s">
        <v>123</v>
      </c>
      <c r="AG18" s="4" t="s">
        <v>198</v>
      </c>
      <c r="AH18" s="21" t="s">
        <v>86</v>
      </c>
      <c r="AI18" s="4"/>
      <c r="AJ18" s="4"/>
      <c r="AK18" s="21"/>
      <c r="AL18" s="4"/>
      <c r="AM18" s="4"/>
      <c r="AN18" s="21"/>
      <c r="AO18" s="4"/>
      <c r="AP18" s="4"/>
      <c r="AQ18" s="21"/>
      <c r="AR18" s="4"/>
      <c r="AS18" s="4"/>
      <c r="AT18" s="21"/>
      <c r="AU18" s="4"/>
      <c r="AV18" s="4"/>
      <c r="AW18" s="21"/>
      <c r="AX18" s="4"/>
      <c r="AY18" s="4"/>
      <c r="AZ18" s="21"/>
      <c r="BA18" s="4"/>
      <c r="BB18" s="4"/>
      <c r="BC18" s="21"/>
      <c r="BD18" s="4"/>
      <c r="BE18" s="4"/>
      <c r="BF18" s="21"/>
      <c r="BG18" s="4"/>
      <c r="BH18" s="4"/>
      <c r="BI18" s="21"/>
      <c r="BJ18" s="4"/>
      <c r="BK18" s="4"/>
      <c r="BL18" s="21"/>
      <c r="BM18" s="4"/>
      <c r="BN18" s="4"/>
      <c r="BO18" s="21"/>
      <c r="BP18" s="4"/>
      <c r="BQ18" s="4"/>
      <c r="BR18" s="21"/>
    </row>
    <row r="19">
      <c r="A19" s="4" t="str">
        <f/>
        <v>lksaar</v>
      </c>
      <c r="B19" s="4"/>
      <c r="C19" s="4"/>
      <c r="D19" s="4" t="s">
        <v>165</v>
      </c>
      <c r="E19" s="25" t="s">
        <v>199</v>
      </c>
      <c r="F19" s="4" t="s">
        <v>200</v>
      </c>
      <c r="H19" s="28" t="s">
        <v>201</v>
      </c>
      <c r="I19" s="4"/>
      <c r="J19" s="4"/>
      <c r="K19" s="5" t="s">
        <v>77</v>
      </c>
      <c r="L19" s="5" t="s">
        <v>78</v>
      </c>
      <c r="M19" s="9"/>
      <c r="N19" s="5" t="s">
        <v>77</v>
      </c>
      <c r="O19" s="5" t="s">
        <v>78</v>
      </c>
      <c r="P19" s="9"/>
      <c r="Q19" s="5" t="s">
        <v>77</v>
      </c>
      <c r="R19" s="5" t="s">
        <v>78</v>
      </c>
      <c r="S19" s="27" t="s">
        <v>202</v>
      </c>
      <c r="T19" s="5" t="s">
        <v>77</v>
      </c>
      <c r="U19" s="5" t="s">
        <v>78</v>
      </c>
      <c r="V19" s="27"/>
      <c r="W19" s="5" t="s">
        <v>77</v>
      </c>
      <c r="X19" s="5" t="s">
        <v>78</v>
      </c>
      <c r="Y19" s="9"/>
      <c r="Z19" s="5" t="s">
        <v>77</v>
      </c>
      <c r="AA19" s="5" t="s">
        <v>78</v>
      </c>
      <c r="AB19" s="9"/>
      <c r="AC19" s="5" t="s">
        <v>77</v>
      </c>
      <c r="AD19" s="5" t="s">
        <v>78</v>
      </c>
      <c r="AE19" s="9"/>
      <c r="AF19" s="5" t="s">
        <v>77</v>
      </c>
      <c r="AG19" s="5" t="s">
        <v>78</v>
      </c>
      <c r="AH19" s="9"/>
      <c r="AI19" s="5" t="s">
        <v>77</v>
      </c>
      <c r="AJ19" s="5" t="s">
        <v>78</v>
      </c>
      <c r="AK19" s="9"/>
      <c r="AL19" s="5"/>
      <c r="AM19" s="5"/>
      <c r="AN19" s="9"/>
      <c r="AO19" s="5"/>
      <c r="AP19" s="5"/>
      <c r="AQ19" s="9"/>
      <c r="AR19" s="5"/>
      <c r="AS19" s="5"/>
      <c r="AT19" s="9"/>
      <c r="AU19" s="5"/>
      <c r="AV19" s="5"/>
      <c r="AW19" s="9"/>
      <c r="AX19" s="5"/>
      <c r="AY19" s="5"/>
      <c r="AZ19" s="9"/>
      <c r="BA19" s="5"/>
      <c r="BB19" s="5"/>
      <c r="BC19" s="9"/>
      <c r="BD19" s="5"/>
      <c r="BE19" s="5"/>
      <c r="BF19" s="9"/>
      <c r="BG19" s="5"/>
      <c r="BH19" s="5"/>
      <c r="BI19" s="9"/>
      <c r="BJ19" s="5"/>
      <c r="BK19" s="5"/>
      <c r="BL19" s="9"/>
      <c r="BM19" s="5"/>
      <c r="BN19" s="5"/>
      <c r="BO19" s="9"/>
      <c r="BP19" s="5"/>
      <c r="BQ19" s="5"/>
      <c r="BR19" s="9"/>
    </row>
    <row r="20">
      <c r="A20" s="4" t="str">
        <f/>
        <v>nastykast</v>
      </c>
      <c r="B20" s="4"/>
      <c r="C20" s="4"/>
      <c r="D20" s="4" t="s">
        <v>188</v>
      </c>
      <c r="E20" s="19" t="s">
        <v>203</v>
      </c>
      <c r="F20" t="s">
        <v>204</v>
      </c>
      <c r="G20" t="s">
        <v>205</v>
      </c>
      <c r="J20" s="3" t="s">
        <v>184</v>
      </c>
      <c r="K20" s="4" t="s">
        <v>77</v>
      </c>
      <c r="L20" s="4" t="s">
        <v>78</v>
      </c>
      <c r="M20" s="23" t="s">
        <v>206</v>
      </c>
      <c r="N20" t="s">
        <v>77</v>
      </c>
      <c r="O20" s="4" t="s">
        <v>78</v>
      </c>
      <c r="P20" s="21"/>
      <c r="Q20" t="s">
        <v>77</v>
      </c>
      <c r="R20" s="20" t="s">
        <v>78</v>
      </c>
      <c r="S20" s="21"/>
      <c r="T20" t="s">
        <v>207</v>
      </c>
      <c r="U20" s="20" t="s">
        <v>81</v>
      </c>
      <c r="V20" s="21"/>
      <c r="W20" t="s">
        <v>77</v>
      </c>
      <c r="X20" s="20" t="s">
        <v>78</v>
      </c>
      <c r="Y20" s="21"/>
      <c r="Z20" t="s">
        <v>77</v>
      </c>
      <c r="AA20" s="20" t="s">
        <v>78</v>
      </c>
      <c r="AB20" s="21"/>
      <c r="AC20" t="s">
        <v>207</v>
      </c>
      <c r="AD20" s="20" t="s">
        <v>81</v>
      </c>
      <c r="AE20" s="21"/>
      <c r="AF20" t="s">
        <v>77</v>
      </c>
      <c r="AG20" s="20" t="s">
        <v>78</v>
      </c>
      <c r="AH20" s="21"/>
      <c r="AI20" t="s">
        <v>77</v>
      </c>
      <c r="AJ20" s="20" t="s">
        <v>78</v>
      </c>
      <c r="AK20" s="21"/>
      <c r="AM20" s="20"/>
      <c r="AN20" s="21"/>
      <c r="AP20" s="20"/>
      <c r="AQ20" s="21"/>
      <c r="AS20" s="20"/>
      <c r="AT20" s="21"/>
      <c r="AV20" s="20"/>
      <c r="AW20" s="21"/>
      <c r="AY20" s="20"/>
      <c r="AZ20" s="21"/>
      <c r="BB20" s="20"/>
      <c r="BC20" s="21"/>
      <c r="BE20" s="20"/>
      <c r="BF20" s="21"/>
      <c r="BH20" s="20"/>
      <c r="BI20" s="21"/>
      <c r="BK20" s="20"/>
      <c r="BL20" s="21"/>
      <c r="BN20" s="20"/>
      <c r="BO20" s="21"/>
      <c r="BQ20" s="20"/>
      <c r="BR20" s="21"/>
    </row>
    <row r="21">
      <c r="A21" s="4" t="str">
        <f/>
        <v>Nehtaro</v>
      </c>
      <c r="B21" s="4"/>
      <c r="C21" s="4"/>
      <c r="D21" s="4" t="s">
        <v>123</v>
      </c>
      <c r="E21" s="29" t="s">
        <v>208</v>
      </c>
      <c r="F21" s="4" t="s">
        <v>209</v>
      </c>
      <c r="H21" s="4"/>
      <c r="I21" s="4"/>
      <c r="J21" s="4"/>
      <c r="K21" s="4" t="s">
        <v>210</v>
      </c>
      <c r="L21" s="4" t="s">
        <v>199</v>
      </c>
      <c r="M21" s="23"/>
      <c r="N21" s="4" t="s">
        <v>211</v>
      </c>
      <c r="O21" s="4" t="s">
        <v>88</v>
      </c>
      <c r="P21" s="21"/>
      <c r="Q21" s="4" t="s">
        <v>212</v>
      </c>
      <c r="R21" s="4" t="s">
        <v>213</v>
      </c>
      <c r="S21" s="21"/>
      <c r="T21" s="4" t="s">
        <v>214</v>
      </c>
      <c r="U21" s="4" t="s">
        <v>113</v>
      </c>
      <c r="V21" s="21" t="s">
        <v>215</v>
      </c>
      <c r="W21" s="4" t="s">
        <v>77</v>
      </c>
      <c r="X21" s="4" t="s">
        <v>78</v>
      </c>
      <c r="Y21" s="21"/>
      <c r="Z21" s="4" t="s">
        <v>77</v>
      </c>
      <c r="AA21" s="4" t="s">
        <v>78</v>
      </c>
      <c r="AB21" s="21" t="s">
        <v>216</v>
      </c>
      <c r="AC21" s="4" t="s">
        <v>217</v>
      </c>
      <c r="AD21" s="4" t="s">
        <v>81</v>
      </c>
      <c r="AE21" s="21" t="s">
        <v>218</v>
      </c>
      <c r="AF21" s="4" t="s">
        <v>77</v>
      </c>
      <c r="AG21" s="4" t="s">
        <v>78</v>
      </c>
      <c r="AH21" s="21" t="s">
        <v>121</v>
      </c>
      <c r="AI21" s="4" t="s">
        <v>180</v>
      </c>
      <c r="AJ21" s="4" t="s">
        <v>113</v>
      </c>
      <c r="AK21" s="21" t="s">
        <v>116</v>
      </c>
      <c r="AL21" s="4"/>
      <c r="AM21" s="4"/>
      <c r="AN21" s="21"/>
      <c r="AO21" s="4"/>
      <c r="AP21" s="4"/>
      <c r="AQ21" s="21"/>
      <c r="AR21" s="4"/>
      <c r="AS21" s="4"/>
      <c r="AT21" s="21"/>
      <c r="AU21" s="4"/>
      <c r="AV21" s="4"/>
      <c r="AW21" s="21"/>
      <c r="AX21" s="4"/>
      <c r="AY21" s="4"/>
      <c r="AZ21" s="21"/>
      <c r="BA21" s="4"/>
      <c r="BB21" s="4"/>
      <c r="BC21" s="21"/>
      <c r="BD21" s="4"/>
      <c r="BE21" s="4"/>
      <c r="BF21" s="21"/>
      <c r="BG21" s="4"/>
      <c r="BH21" s="4"/>
      <c r="BI21" s="21"/>
      <c r="BJ21" s="4"/>
      <c r="BK21" s="4"/>
      <c r="BL21" s="21"/>
      <c r="BM21" s="4"/>
      <c r="BN21" s="4"/>
      <c r="BO21" s="21"/>
      <c r="BP21" s="4"/>
      <c r="BQ21" s="4"/>
      <c r="BR21" s="21"/>
    </row>
    <row r="22">
      <c r="A22" s="4" t="str">
        <f/>
        <v>Neo</v>
      </c>
      <c r="B22" s="4"/>
      <c r="C22" s="4"/>
      <c r="D22" s="4"/>
      <c r="E22" s="4"/>
      <c r="F22" s="4"/>
      <c r="H22" s="4"/>
      <c r="I22" s="4"/>
      <c r="J22" s="4"/>
      <c r="K22" s="5"/>
      <c r="L22" s="5"/>
      <c r="M22" s="9"/>
      <c r="N22" s="5"/>
      <c r="O22" s="5"/>
      <c r="P22" s="27"/>
      <c r="Q22" s="5"/>
      <c r="R22" s="5"/>
      <c r="S22" s="27"/>
      <c r="T22" s="5"/>
      <c r="U22" s="5"/>
      <c r="V22" s="27"/>
      <c r="W22" s="5"/>
      <c r="X22" s="5"/>
      <c r="Y22" s="27"/>
      <c r="Z22" s="5"/>
      <c r="AA22" s="5"/>
      <c r="AB22" s="27"/>
      <c r="AC22" s="5"/>
      <c r="AD22" s="5"/>
      <c r="AE22" s="27"/>
      <c r="AF22" s="5"/>
      <c r="AG22" s="5"/>
      <c r="AH22" s="27"/>
      <c r="AI22" s="5"/>
      <c r="AJ22" s="5"/>
      <c r="AK22" s="27"/>
      <c r="AL22" s="5"/>
      <c r="AM22" s="5"/>
      <c r="AN22" s="27"/>
      <c r="AO22" s="5"/>
      <c r="AP22" s="5"/>
      <c r="AQ22" s="27"/>
      <c r="AR22" s="5"/>
      <c r="AS22" s="5"/>
      <c r="AT22" s="27"/>
      <c r="AU22" s="5"/>
      <c r="AV22" s="5"/>
      <c r="AW22" s="27"/>
      <c r="AX22" s="5"/>
      <c r="AY22" s="5"/>
      <c r="AZ22" s="27"/>
      <c r="BA22" s="5"/>
      <c r="BB22" s="5"/>
      <c r="BC22" s="27"/>
      <c r="BD22" s="5"/>
      <c r="BE22" s="5"/>
      <c r="BF22" s="27"/>
      <c r="BG22" s="5"/>
      <c r="BH22" s="5"/>
      <c r="BI22" s="27"/>
      <c r="BJ22" s="5"/>
      <c r="BK22" s="5"/>
      <c r="BL22" s="27"/>
      <c r="BM22" s="5"/>
      <c r="BN22" s="5"/>
      <c r="BO22" s="27"/>
      <c r="BP22" s="5"/>
      <c r="BQ22" s="5"/>
      <c r="BR22" s="27"/>
    </row>
    <row r="23">
      <c r="A23" s="4" t="str">
        <f/>
        <v>Noway</v>
      </c>
      <c r="B23" s="4"/>
      <c r="C23" s="4"/>
      <c r="D23" s="4" t="s">
        <v>98</v>
      </c>
      <c r="E23" s="30" t="s">
        <v>219</v>
      </c>
      <c r="F23" s="4" t="s">
        <v>220</v>
      </c>
      <c r="G23" s="4" t="s">
        <v>221</v>
      </c>
      <c r="H23" s="28" t="s">
        <v>222</v>
      </c>
      <c r="I23" s="4"/>
      <c r="J23" s="4"/>
      <c r="K23" s="4" t="s">
        <v>188</v>
      </c>
      <c r="L23" s="4" t="s">
        <v>81</v>
      </c>
      <c r="M23" s="23"/>
      <c r="N23" s="4" t="s">
        <v>114</v>
      </c>
      <c r="O23" s="4" t="s">
        <v>81</v>
      </c>
      <c r="P23" s="21"/>
      <c r="Q23" s="4" t="s">
        <v>188</v>
      </c>
      <c r="R23" s="4" t="s">
        <v>81</v>
      </c>
      <c r="S23" s="21"/>
      <c r="T23" s="4" t="s">
        <v>188</v>
      </c>
      <c r="U23" s="4" t="s">
        <v>113</v>
      </c>
      <c r="V23" s="21" t="s">
        <v>138</v>
      </c>
      <c r="W23" s="4" t="s">
        <v>77</v>
      </c>
      <c r="X23" s="4" t="s">
        <v>78</v>
      </c>
      <c r="Y23" s="21"/>
      <c r="Z23" s="4" t="s">
        <v>125</v>
      </c>
      <c r="AA23" s="4" t="s">
        <v>113</v>
      </c>
      <c r="AB23" s="21" t="s">
        <v>86</v>
      </c>
      <c r="AC23" s="4"/>
      <c r="AD23" s="4"/>
      <c r="AE23" s="21"/>
      <c r="AF23" s="4"/>
      <c r="AG23" s="4"/>
      <c r="AH23" s="21"/>
      <c r="AI23" s="4"/>
      <c r="AJ23" s="4"/>
      <c r="AK23" s="21"/>
      <c r="AL23" s="4"/>
      <c r="AM23" s="4"/>
      <c r="AN23" s="21"/>
      <c r="AO23" s="4"/>
      <c r="AP23" s="4"/>
      <c r="AQ23" s="21"/>
      <c r="AR23" s="4"/>
      <c r="AS23" s="4"/>
      <c r="AT23" s="21"/>
      <c r="AU23" s="4"/>
      <c r="AV23" s="4"/>
      <c r="AW23" s="21"/>
      <c r="AX23" s="4"/>
      <c r="AY23" s="4"/>
      <c r="AZ23" s="21"/>
      <c r="BA23" s="4"/>
      <c r="BB23" s="4"/>
      <c r="BC23" s="21"/>
      <c r="BD23" s="4"/>
      <c r="BE23" s="4"/>
      <c r="BF23" s="21"/>
      <c r="BG23" s="4"/>
      <c r="BH23" s="4"/>
      <c r="BI23" s="21"/>
      <c r="BJ23" s="4"/>
      <c r="BK23" s="4"/>
      <c r="BL23" s="21"/>
      <c r="BM23" s="4"/>
      <c r="BN23" s="4"/>
      <c r="BO23" s="21"/>
      <c r="BP23" s="4"/>
      <c r="BQ23" s="4"/>
      <c r="BR23" s="21"/>
    </row>
    <row r="24">
      <c r="A24" s="4" t="str">
        <f/>
        <v>PeterParker</v>
      </c>
      <c r="B24" s="4"/>
      <c r="C24" s="4"/>
      <c r="D24" s="4" t="s">
        <v>101</v>
      </c>
      <c r="E24" s="22" t="s">
        <v>223</v>
      </c>
      <c r="F24" s="5" t="s">
        <v>224</v>
      </c>
      <c r="G24" s="5"/>
      <c r="H24" s="5" t="s">
        <v>225</v>
      </c>
      <c r="I24" s="5"/>
      <c r="J24" s="5"/>
      <c r="K24" s="5" t="s">
        <v>114</v>
      </c>
      <c r="L24" s="4" t="s">
        <v>113</v>
      </c>
      <c r="M24" s="9" t="s">
        <v>226</v>
      </c>
      <c r="N24" s="5" t="s">
        <v>227</v>
      </c>
      <c r="O24" s="5" t="s">
        <v>113</v>
      </c>
      <c r="P24" s="9" t="s">
        <v>228</v>
      </c>
      <c r="Q24" s="5" t="s">
        <v>117</v>
      </c>
      <c r="R24" s="5" t="s">
        <v>78</v>
      </c>
      <c r="S24" s="9" t="s">
        <v>229</v>
      </c>
      <c r="T24" s="5" t="s">
        <v>230</v>
      </c>
      <c r="U24" s="5" t="s">
        <v>231</v>
      </c>
      <c r="V24" s="9" t="s">
        <v>121</v>
      </c>
      <c r="W24" s="5" t="s">
        <v>114</v>
      </c>
      <c r="X24" s="5" t="s">
        <v>232</v>
      </c>
      <c r="Y24" s="9" t="s">
        <v>124</v>
      </c>
      <c r="Z24" s="5" t="s">
        <v>233</v>
      </c>
      <c r="AA24" s="5" t="s">
        <v>234</v>
      </c>
      <c r="AB24" s="9" t="s">
        <v>96</v>
      </c>
      <c r="AC24" s="5" t="s">
        <v>167</v>
      </c>
      <c r="AD24" s="5" t="s">
        <v>232</v>
      </c>
      <c r="AE24" s="9" t="s">
        <v>96</v>
      </c>
      <c r="AF24" s="5" t="s">
        <v>100</v>
      </c>
      <c r="AG24" s="5" t="s">
        <v>113</v>
      </c>
      <c r="AH24" s="9" t="s">
        <v>193</v>
      </c>
      <c r="AI24" s="5"/>
      <c r="AJ24" s="5"/>
      <c r="AK24" s="9"/>
      <c r="AL24" s="5"/>
      <c r="AM24" s="5"/>
      <c r="AN24" s="9"/>
      <c r="AO24" s="5"/>
      <c r="AP24" s="5"/>
      <c r="AQ24" s="9"/>
      <c r="AR24" s="5"/>
      <c r="AS24" s="5"/>
      <c r="AT24" s="9"/>
      <c r="AU24" s="5"/>
      <c r="AV24" s="5"/>
      <c r="AW24" s="9"/>
      <c r="AX24" s="5"/>
      <c r="AY24" s="5"/>
      <c r="AZ24" s="9"/>
      <c r="BA24" s="5"/>
      <c r="BB24" s="5"/>
      <c r="BC24" s="9"/>
      <c r="BD24" s="5"/>
      <c r="BE24" s="5"/>
      <c r="BF24" s="9"/>
      <c r="BG24" s="5"/>
      <c r="BH24" s="5"/>
      <c r="BI24" s="9"/>
      <c r="BJ24" s="5"/>
      <c r="BK24" s="5"/>
      <c r="BL24" s="9"/>
      <c r="BM24" s="5"/>
      <c r="BN24" s="5"/>
      <c r="BO24" s="9"/>
      <c r="BP24" s="5"/>
      <c r="BQ24" s="5"/>
      <c r="BR24" s="9"/>
    </row>
    <row r="25">
      <c r="A25" s="4" t="str">
        <f/>
        <v>plateofeggs</v>
      </c>
      <c r="B25" s="4"/>
      <c r="C25" s="4"/>
      <c r="D25" s="4" t="s">
        <v>112</v>
      </c>
      <c r="E25" s="31" t="s">
        <v>235</v>
      </c>
      <c r="F25" s="5" t="s">
        <v>236</v>
      </c>
      <c r="G25" s="5" t="s">
        <v>237</v>
      </c>
      <c r="H25" s="32" t="s">
        <v>238</v>
      </c>
      <c r="I25" s="5"/>
      <c r="J25" s="5"/>
      <c r="K25" s="5" t="s">
        <v>239</v>
      </c>
      <c r="L25" s="5" t="s">
        <v>81</v>
      </c>
      <c r="M25" s="27"/>
      <c r="N25" s="5" t="s">
        <v>240</v>
      </c>
      <c r="O25" s="5" t="s">
        <v>113</v>
      </c>
      <c r="P25" s="27" t="s">
        <v>241</v>
      </c>
      <c r="Q25" s="5" t="s">
        <v>242</v>
      </c>
      <c r="R25" s="5" t="s">
        <v>109</v>
      </c>
      <c r="S25" s="27" t="s">
        <v>243</v>
      </c>
      <c r="T25" s="5"/>
      <c r="U25" s="5"/>
      <c r="V25" s="27"/>
      <c r="W25" s="5"/>
      <c r="X25" s="5"/>
      <c r="Y25" s="27"/>
      <c r="Z25" s="5"/>
      <c r="AA25" s="5"/>
      <c r="AB25" s="27"/>
      <c r="AC25" s="5"/>
      <c r="AD25" s="5"/>
      <c r="AE25" s="27"/>
      <c r="AF25" s="5"/>
      <c r="AG25" s="5"/>
      <c r="AH25" s="27"/>
      <c r="AI25" s="5"/>
      <c r="AJ25" s="5"/>
      <c r="AK25" s="27"/>
      <c r="AL25" s="5"/>
      <c r="AM25" s="5"/>
      <c r="AN25" s="27"/>
      <c r="AO25" s="5"/>
      <c r="AP25" s="5"/>
      <c r="AQ25" s="27"/>
      <c r="AR25" s="5"/>
      <c r="AS25" s="5"/>
      <c r="AT25" s="27"/>
      <c r="AU25" s="5"/>
      <c r="AV25" s="5"/>
      <c r="AW25" s="27"/>
      <c r="AX25" s="5"/>
      <c r="AY25" s="5"/>
      <c r="AZ25" s="27"/>
      <c r="BA25" s="5"/>
      <c r="BB25" s="5"/>
      <c r="BC25" s="27"/>
      <c r="BD25" s="5"/>
      <c r="BE25" s="5"/>
      <c r="BF25" s="27"/>
      <c r="BG25" s="5"/>
      <c r="BH25" s="5"/>
      <c r="BI25" s="27"/>
      <c r="BJ25" s="5"/>
      <c r="BK25" s="5"/>
      <c r="BL25" s="27"/>
      <c r="BM25" s="5"/>
      <c r="BN25" s="5"/>
      <c r="BO25" s="27"/>
      <c r="BP25" s="5"/>
      <c r="BQ25" s="5"/>
      <c r="BR25" s="27"/>
    </row>
    <row r="26">
      <c r="A26" s="4" t="str">
        <f/>
        <v>Red123</v>
      </c>
      <c r="B26" s="4"/>
      <c r="C26" s="4"/>
      <c r="D26" s="4" t="s">
        <v>190</v>
      </c>
      <c r="E26" s="31" t="s">
        <v>244</v>
      </c>
      <c r="F26" s="5" t="s">
        <v>245</v>
      </c>
      <c r="G26" s="5"/>
      <c r="H26" s="32" t="s">
        <v>106</v>
      </c>
      <c r="I26" s="5"/>
      <c r="J26" s="5"/>
      <c r="K26" s="4" t="s">
        <v>77</v>
      </c>
      <c r="L26" s="4" t="s">
        <v>78</v>
      </c>
      <c r="M26" s="23"/>
      <c r="N26" s="4" t="s">
        <v>112</v>
      </c>
      <c r="O26" s="4" t="s">
        <v>81</v>
      </c>
      <c r="P26" s="21"/>
      <c r="Q26" s="4" t="s">
        <v>91</v>
      </c>
      <c r="R26" s="4" t="s">
        <v>81</v>
      </c>
      <c r="S26" s="21" t="s">
        <v>121</v>
      </c>
      <c r="T26" s="4" t="s">
        <v>123</v>
      </c>
      <c r="U26" s="4" t="s">
        <v>81</v>
      </c>
      <c r="V26" s="21" t="s">
        <v>246</v>
      </c>
      <c r="W26" s="4"/>
      <c r="X26" s="4"/>
      <c r="Y26" s="21"/>
      <c r="Z26" s="4"/>
      <c r="AA26" s="4"/>
      <c r="AB26" s="21"/>
      <c r="AC26" s="4"/>
      <c r="AD26" s="4"/>
      <c r="AE26" s="21"/>
      <c r="AF26" s="4"/>
      <c r="AG26" s="4"/>
      <c r="AH26" s="21"/>
      <c r="AI26" s="4"/>
      <c r="AJ26" s="4"/>
      <c r="AK26" s="21"/>
      <c r="AL26" s="4"/>
      <c r="AM26" s="4"/>
      <c r="AN26" s="21"/>
      <c r="AO26" s="4"/>
      <c r="AP26" s="4"/>
      <c r="AQ26" s="21"/>
      <c r="AR26" s="4"/>
      <c r="AS26" s="4"/>
      <c r="AT26" s="21"/>
      <c r="AU26" s="4"/>
      <c r="AV26" s="4"/>
      <c r="AW26" s="21"/>
      <c r="AX26" s="4"/>
      <c r="AY26" s="4"/>
      <c r="AZ26" s="21"/>
      <c r="BA26" s="4"/>
      <c r="BB26" s="4"/>
      <c r="BC26" s="21"/>
      <c r="BD26" s="4"/>
      <c r="BE26" s="4"/>
      <c r="BF26" s="21"/>
      <c r="BG26" s="4"/>
      <c r="BH26" s="4"/>
      <c r="BI26" s="21"/>
      <c r="BJ26" s="4"/>
      <c r="BK26" s="4"/>
      <c r="BL26" s="21"/>
      <c r="BM26" s="4"/>
      <c r="BN26" s="4"/>
      <c r="BO26" s="21"/>
      <c r="BP26" s="4"/>
      <c r="BQ26" s="4"/>
      <c r="BR26" s="21"/>
    </row>
    <row r="27">
      <c r="A27" s="4" t="str">
        <f/>
        <v>SFerris</v>
      </c>
      <c r="B27" s="4"/>
      <c r="C27" s="4"/>
      <c r="D27" s="4" t="s">
        <v>178</v>
      </c>
      <c r="E27" s="30" t="s">
        <v>247</v>
      </c>
      <c r="F27" s="4" t="s">
        <v>248</v>
      </c>
      <c r="G27" s="4"/>
      <c r="H27" s="4"/>
      <c r="I27" s="4"/>
      <c r="J27" s="4"/>
      <c r="K27" s="5" t="s">
        <v>249</v>
      </c>
      <c r="L27" s="5" t="s">
        <v>113</v>
      </c>
      <c r="M27" s="9"/>
      <c r="N27" s="5" t="s">
        <v>250</v>
      </c>
      <c r="O27" s="5" t="s">
        <v>81</v>
      </c>
      <c r="P27" s="9"/>
      <c r="Q27" s="5" t="s">
        <v>77</v>
      </c>
      <c r="R27" s="5" t="s">
        <v>78</v>
      </c>
      <c r="S27" s="27" t="s">
        <v>86</v>
      </c>
      <c r="T27" s="5"/>
      <c r="U27" s="5"/>
      <c r="V27" s="9"/>
      <c r="W27" s="5"/>
      <c r="X27" s="5"/>
      <c r="Y27" s="9"/>
      <c r="Z27" s="5"/>
      <c r="AA27" s="5"/>
      <c r="AB27" s="9"/>
      <c r="AC27" s="5"/>
      <c r="AD27" s="5"/>
      <c r="AE27" s="9"/>
      <c r="AF27" s="5"/>
      <c r="AG27" s="5"/>
      <c r="AH27" s="9"/>
      <c r="AI27" s="5"/>
      <c r="AJ27" s="5"/>
      <c r="AK27" s="9"/>
      <c r="AL27" s="5"/>
      <c r="AM27" s="5"/>
      <c r="AN27" s="9"/>
      <c r="AO27" s="5"/>
      <c r="AP27" s="5"/>
      <c r="AQ27" s="9"/>
      <c r="AR27" s="5"/>
      <c r="AS27" s="5"/>
      <c r="AT27" s="9"/>
      <c r="AU27" s="5"/>
      <c r="AV27" s="5"/>
      <c r="AW27" s="9"/>
      <c r="AX27" s="5"/>
      <c r="AY27" s="5"/>
      <c r="AZ27" s="9"/>
      <c r="BA27" s="5"/>
      <c r="BB27" s="5"/>
      <c r="BC27" s="9"/>
      <c r="BD27" s="5"/>
      <c r="BE27" s="5"/>
      <c r="BF27" s="9"/>
      <c r="BG27" s="5"/>
      <c r="BH27" s="5"/>
      <c r="BI27" s="9"/>
      <c r="BJ27" s="5"/>
      <c r="BK27" s="5"/>
      <c r="BL27" s="9"/>
      <c r="BM27" s="5"/>
      <c r="BN27" s="5"/>
      <c r="BO27" s="9"/>
      <c r="BP27" s="5"/>
      <c r="BQ27" s="5"/>
      <c r="BR27" s="9"/>
    </row>
    <row r="28">
      <c r="A28" s="4" t="str">
        <f/>
        <v>shogunsama</v>
      </c>
      <c r="B28" s="4"/>
      <c r="C28" s="4"/>
      <c r="D28" s="4"/>
      <c r="E28" s="4"/>
      <c r="F28" s="4"/>
      <c r="G28" s="4"/>
      <c r="H28" s="4"/>
      <c r="I28" s="4"/>
      <c r="J28" s="4"/>
      <c r="K28" s="4"/>
      <c r="L28" s="20"/>
      <c r="M28" s="21"/>
      <c r="N28" s="20"/>
      <c r="O28" s="20"/>
      <c r="P28" s="21"/>
      <c r="Q28" s="20"/>
      <c r="R28" s="20"/>
      <c r="S28" s="21"/>
      <c r="T28" s="20"/>
      <c r="U28" s="20"/>
      <c r="V28" s="21"/>
      <c r="W28" s="20"/>
      <c r="X28" s="20"/>
      <c r="Y28" s="21"/>
      <c r="Z28" s="20"/>
      <c r="AA28" s="20"/>
      <c r="AB28" s="21"/>
      <c r="AC28" s="20"/>
      <c r="AD28" s="20"/>
      <c r="AE28" s="21"/>
      <c r="AF28" s="20"/>
      <c r="AG28" s="20"/>
      <c r="AH28" s="21"/>
      <c r="AI28" s="20"/>
      <c r="AJ28" s="20"/>
      <c r="AK28" s="21"/>
      <c r="AL28" s="20"/>
      <c r="AM28" s="20"/>
      <c r="AN28" s="21"/>
      <c r="AO28" s="20"/>
      <c r="AP28" s="20"/>
      <c r="AQ28" s="21"/>
      <c r="AR28" s="20"/>
      <c r="AS28" s="20"/>
      <c r="AT28" s="21"/>
      <c r="AU28" s="20"/>
      <c r="AV28" s="20"/>
      <c r="AW28" s="21"/>
      <c r="AX28" s="20"/>
      <c r="AY28" s="20"/>
      <c r="AZ28" s="21"/>
      <c r="BA28" s="20"/>
      <c r="BB28" s="20"/>
      <c r="BC28" s="21"/>
      <c r="BD28" s="20"/>
      <c r="BE28" s="20"/>
      <c r="BF28" s="21"/>
      <c r="BG28" s="20"/>
      <c r="BH28" s="20"/>
      <c r="BI28" s="21"/>
      <c r="BJ28" s="20"/>
      <c r="BK28" s="20"/>
      <c r="BL28" s="21"/>
      <c r="BM28" s="20"/>
      <c r="BN28" s="20"/>
      <c r="BO28" s="21"/>
      <c r="BP28" s="20"/>
      <c r="BQ28" s="20"/>
      <c r="BR28" s="21"/>
    </row>
    <row r="29">
      <c r="A29" s="4" t="str">
        <f/>
        <v>sl0play</v>
      </c>
      <c r="B29" s="4"/>
      <c r="C29" s="4"/>
      <c r="D29" s="4" t="s">
        <v>251</v>
      </c>
      <c r="E29" s="29" t="s">
        <v>252</v>
      </c>
      <c r="F29" s="4" t="s">
        <v>253</v>
      </c>
      <c r="G29" s="4"/>
      <c r="H29" s="26" t="s">
        <v>254</v>
      </c>
      <c r="I29" s="4"/>
      <c r="J29" s="4"/>
      <c r="K29" s="4" t="s">
        <v>77</v>
      </c>
      <c r="L29" s="4" t="s">
        <v>78</v>
      </c>
      <c r="M29" s="23"/>
      <c r="N29" s="4" t="s">
        <v>77</v>
      </c>
      <c r="O29" s="4" t="s">
        <v>78</v>
      </c>
      <c r="P29" s="23"/>
      <c r="Q29" s="4" t="s">
        <v>77</v>
      </c>
      <c r="R29" s="4" t="s">
        <v>78</v>
      </c>
      <c r="S29" s="23"/>
      <c r="T29" s="4" t="s">
        <v>77</v>
      </c>
      <c r="U29" s="4" t="s">
        <v>78</v>
      </c>
      <c r="V29" s="23"/>
      <c r="W29" s="4" t="s">
        <v>173</v>
      </c>
      <c r="X29" s="4" t="s">
        <v>81</v>
      </c>
      <c r="Y29" s="23"/>
      <c r="Z29" s="4" t="s">
        <v>255</v>
      </c>
      <c r="AA29" s="4" t="s">
        <v>81</v>
      </c>
      <c r="AB29" s="23" t="s">
        <v>256</v>
      </c>
      <c r="AC29" s="4"/>
      <c r="AD29" s="4"/>
      <c r="AE29" s="23"/>
      <c r="AF29" s="4"/>
      <c r="AG29" s="4"/>
      <c r="AH29" s="23"/>
      <c r="AI29" s="4"/>
      <c r="AJ29" s="4"/>
      <c r="AK29" s="23"/>
      <c r="AL29" s="4"/>
      <c r="AM29" s="4"/>
      <c r="AN29" s="23"/>
      <c r="AO29" s="4"/>
      <c r="AP29" s="4"/>
      <c r="AQ29" s="23"/>
      <c r="AR29" s="4"/>
      <c r="AS29" s="4"/>
      <c r="AT29" s="23"/>
      <c r="AU29" s="4"/>
      <c r="AV29" s="4"/>
      <c r="AW29" s="23"/>
      <c r="AX29" s="4"/>
      <c r="AY29" s="4"/>
      <c r="AZ29" s="23"/>
      <c r="BA29" s="4"/>
      <c r="BB29" s="4"/>
      <c r="BC29" s="23"/>
      <c r="BD29" s="4"/>
      <c r="BE29" s="4"/>
      <c r="BF29" s="23"/>
      <c r="BG29" s="4"/>
      <c r="BH29" s="4"/>
      <c r="BI29" s="23"/>
      <c r="BJ29" s="4"/>
      <c r="BK29" s="4"/>
      <c r="BL29" s="23"/>
      <c r="BM29" s="4"/>
      <c r="BN29" s="4"/>
      <c r="BO29" s="23"/>
      <c r="BP29" s="4"/>
      <c r="BQ29" s="4"/>
      <c r="BR29" s="23"/>
    </row>
    <row r="30">
      <c r="A30" s="4" t="str">
        <f/>
        <v>Tithis</v>
      </c>
      <c r="B30" s="4"/>
      <c r="C30" s="4"/>
      <c r="D30" s="4" t="s">
        <v>117</v>
      </c>
      <c r="E30" s="33" t="s">
        <v>257</v>
      </c>
      <c r="F30" s="5" t="s">
        <v>258</v>
      </c>
      <c r="G30" s="5"/>
      <c r="H30" s="5"/>
      <c r="I30" s="5"/>
      <c r="J30" s="5"/>
      <c r="K30" s="5" t="s">
        <v>259</v>
      </c>
      <c r="L30" s="4" t="s">
        <v>81</v>
      </c>
      <c r="M30" s="9"/>
      <c r="N30" s="5" t="s">
        <v>260</v>
      </c>
      <c r="O30" s="5" t="s">
        <v>81</v>
      </c>
      <c r="P30" s="27"/>
      <c r="Q30" s="5" t="s">
        <v>261</v>
      </c>
      <c r="R30" s="5" t="s">
        <v>81</v>
      </c>
      <c r="S30" s="27"/>
      <c r="T30" s="5" t="s">
        <v>262</v>
      </c>
      <c r="U30" s="5" t="s">
        <v>81</v>
      </c>
      <c r="V30" s="27"/>
      <c r="W30" s="5" t="s">
        <v>263</v>
      </c>
      <c r="X30" s="5" t="s">
        <v>81</v>
      </c>
      <c r="Y30" s="27"/>
      <c r="Z30" s="5" t="s">
        <v>264</v>
      </c>
      <c r="AA30" s="5" t="s">
        <v>81</v>
      </c>
      <c r="AB30" s="27"/>
      <c r="AC30" s="5" t="s">
        <v>259</v>
      </c>
      <c r="AD30" s="5" t="s">
        <v>113</v>
      </c>
      <c r="AE30" s="27" t="s">
        <v>121</v>
      </c>
      <c r="AF30" s="5" t="s">
        <v>265</v>
      </c>
      <c r="AG30" s="5" t="s">
        <v>81</v>
      </c>
      <c r="AH30" s="27"/>
      <c r="AI30" s="5" t="s">
        <v>266</v>
      </c>
      <c r="AJ30" s="5" t="s">
        <v>81</v>
      </c>
      <c r="AK30" s="27" t="s">
        <v>121</v>
      </c>
      <c r="AL30" s="5"/>
      <c r="AM30" s="5"/>
      <c r="AN30" s="27"/>
      <c r="AO30" s="5"/>
      <c r="AP30" s="5"/>
      <c r="AQ30" s="27"/>
      <c r="AR30" s="5"/>
      <c r="AS30" s="5"/>
      <c r="AT30" s="27"/>
      <c r="AU30" s="5"/>
      <c r="AV30" s="5"/>
      <c r="AW30" s="27"/>
      <c r="AX30" s="5"/>
      <c r="AY30" s="5"/>
      <c r="AZ30" s="27"/>
      <c r="BA30" s="5"/>
      <c r="BB30" s="5"/>
      <c r="BC30" s="27"/>
      <c r="BD30" s="5"/>
      <c r="BE30" s="5"/>
      <c r="BF30" s="27"/>
      <c r="BG30" s="5"/>
      <c r="BH30" s="5"/>
      <c r="BI30" s="27"/>
      <c r="BJ30" s="5"/>
      <c r="BK30" s="5"/>
      <c r="BL30" s="27"/>
      <c r="BM30" s="5"/>
      <c r="BN30" s="5"/>
      <c r="BO30" s="27"/>
      <c r="BP30" s="5"/>
      <c r="BQ30" s="5"/>
      <c r="BR30" s="27"/>
    </row>
    <row r="31">
      <c r="A31" s="4" t="str">
        <f/>
        <v>tonicgin</v>
      </c>
      <c r="B31" s="4"/>
      <c r="C31" s="4"/>
      <c r="D31" s="4" t="s">
        <v>114</v>
      </c>
      <c r="E31" s="33" t="s">
        <v>267</v>
      </c>
      <c r="F31" s="5" t="s">
        <v>268</v>
      </c>
      <c r="G31" s="4"/>
      <c r="H31" s="5"/>
      <c r="I31" s="5"/>
      <c r="J31" s="5" t="s">
        <v>184</v>
      </c>
      <c r="K31" s="5" t="s">
        <v>77</v>
      </c>
      <c r="L31" s="5" t="s">
        <v>78</v>
      </c>
      <c r="M31" s="9"/>
      <c r="N31" s="5" t="s">
        <v>93</v>
      </c>
      <c r="O31" s="5" t="s">
        <v>81</v>
      </c>
      <c r="P31" s="9" t="s">
        <v>206</v>
      </c>
      <c r="Q31" s="5" t="s">
        <v>173</v>
      </c>
      <c r="R31" s="5" t="s">
        <v>81</v>
      </c>
      <c r="S31" s="9" t="s">
        <v>121</v>
      </c>
      <c r="T31" s="5" t="s">
        <v>173</v>
      </c>
      <c r="U31" s="5" t="s">
        <v>81</v>
      </c>
      <c r="V31" s="9"/>
      <c r="W31" s="5" t="s">
        <v>115</v>
      </c>
      <c r="X31" s="5" t="s">
        <v>81</v>
      </c>
      <c r="Y31" s="9" t="s">
        <v>107</v>
      </c>
      <c r="Z31" s="5" t="s">
        <v>166</v>
      </c>
      <c r="AA31" s="5" t="s">
        <v>81</v>
      </c>
      <c r="AB31" s="9" t="s">
        <v>121</v>
      </c>
      <c r="AC31" s="5"/>
      <c r="AD31" s="5"/>
      <c r="AE31" s="9"/>
      <c r="AF31" s="5"/>
      <c r="AG31" s="5"/>
      <c r="AH31" s="9"/>
      <c r="AI31" s="5"/>
      <c r="AJ31" s="5"/>
      <c r="AK31" s="9"/>
      <c r="AL31" s="5"/>
      <c r="AM31" s="5"/>
      <c r="AN31" s="9"/>
      <c r="AO31" s="5"/>
      <c r="AP31" s="5"/>
      <c r="AQ31" s="9"/>
      <c r="AR31" s="5"/>
      <c r="AS31" s="5"/>
      <c r="AT31" s="9"/>
      <c r="AU31" s="5"/>
      <c r="AV31" s="5"/>
      <c r="AW31" s="9"/>
      <c r="AX31" s="5"/>
      <c r="AY31" s="5"/>
      <c r="AZ31" s="9"/>
      <c r="BA31" s="5"/>
      <c r="BB31" s="5"/>
      <c r="BC31" s="9"/>
      <c r="BD31" s="5"/>
      <c r="BE31" s="5"/>
      <c r="BF31" s="9"/>
      <c r="BG31" s="5"/>
      <c r="BH31" s="5"/>
      <c r="BI31" s="9"/>
      <c r="BJ31" s="5"/>
      <c r="BK31" s="5"/>
      <c r="BL31" s="9"/>
      <c r="BM31" s="5"/>
      <c r="BN31" s="5"/>
      <c r="BO31" s="9"/>
      <c r="BP31" s="5"/>
      <c r="BQ31" s="5"/>
      <c r="BR31" s="9"/>
    </row>
    <row r="32">
      <c r="A32" s="4" t="str">
        <f/>
        <v>veecou</v>
      </c>
      <c r="B32" s="4"/>
      <c r="C32" s="4"/>
      <c r="D32" s="4" t="s">
        <v>173</v>
      </c>
      <c r="E32" s="33" t="s">
        <v>269</v>
      </c>
      <c r="F32" s="5" t="s">
        <v>270</v>
      </c>
      <c r="G32" s="4"/>
      <c r="H32" s="34" t="s">
        <v>254</v>
      </c>
      <c r="I32" s="5"/>
      <c r="J32" s="5"/>
      <c r="K32" s="4" t="s">
        <v>77</v>
      </c>
      <c r="L32" s="4" t="s">
        <v>78</v>
      </c>
      <c r="M32" s="23" t="s">
        <v>160</v>
      </c>
      <c r="N32" s="4" t="s">
        <v>271</v>
      </c>
      <c r="O32" s="4" t="s">
        <v>81</v>
      </c>
      <c r="P32" s="21" t="s">
        <v>272</v>
      </c>
      <c r="Q32" s="4" t="s">
        <v>273</v>
      </c>
      <c r="R32" s="4" t="s">
        <v>81</v>
      </c>
      <c r="S32" s="21" t="s">
        <v>97</v>
      </c>
      <c r="T32" s="4" t="s">
        <v>274</v>
      </c>
      <c r="U32" s="4" t="s">
        <v>81</v>
      </c>
      <c r="V32" s="21" t="s">
        <v>275</v>
      </c>
      <c r="W32" s="4"/>
      <c r="X32" s="4"/>
      <c r="Y32" s="21"/>
      <c r="Z32" s="4"/>
      <c r="AA32" s="4"/>
      <c r="AB32" s="21"/>
      <c r="AC32" s="4"/>
      <c r="AD32" s="4"/>
      <c r="AE32" s="21"/>
      <c r="AF32" s="4"/>
      <c r="AG32" s="4"/>
      <c r="AH32" s="21"/>
      <c r="AI32" s="4"/>
      <c r="AJ32" s="4"/>
      <c r="AK32" s="21"/>
      <c r="AL32" s="4"/>
      <c r="AM32" s="4"/>
      <c r="AN32" s="21"/>
      <c r="AO32" s="4"/>
      <c r="AP32" s="4"/>
      <c r="AQ32" s="21"/>
      <c r="AR32" s="4"/>
      <c r="AS32" s="4"/>
      <c r="AT32" s="21"/>
      <c r="AU32" s="4"/>
      <c r="AV32" s="4"/>
      <c r="AW32" s="21"/>
      <c r="AX32" s="4"/>
      <c r="AY32" s="4"/>
      <c r="AZ32" s="21"/>
      <c r="BA32" s="4"/>
      <c r="BB32" s="4"/>
      <c r="BC32" s="21"/>
      <c r="BD32" s="4"/>
      <c r="BE32" s="4"/>
      <c r="BF32" s="21"/>
      <c r="BG32" s="4"/>
      <c r="BH32" s="4"/>
      <c r="BI32" s="21"/>
      <c r="BJ32" s="4"/>
      <c r="BK32" s="4"/>
      <c r="BL32" s="21"/>
      <c r="BM32" s="4"/>
      <c r="BN32" s="4"/>
      <c r="BO32" s="21"/>
      <c r="BP32" s="4"/>
      <c r="BQ32" s="4"/>
      <c r="BR32" s="21"/>
    </row>
    <row r="33">
      <c r="A33" s="4" t="str">
        <f/>
        <v>Venche</v>
      </c>
      <c r="B33" s="4"/>
      <c r="C33" s="4"/>
      <c r="D33" s="4" t="s">
        <v>276</v>
      </c>
      <c r="E33" s="29" t="s">
        <v>277</v>
      </c>
      <c r="F33" s="4" t="s">
        <v>278</v>
      </c>
      <c r="G33" s="4" t="s">
        <v>279</v>
      </c>
      <c r="H33" s="4"/>
      <c r="I33" s="4"/>
      <c r="J33" s="4"/>
      <c r="K33" s="4" t="s">
        <v>280</v>
      </c>
      <c r="L33" s="20" t="s">
        <v>145</v>
      </c>
      <c r="M33" s="23"/>
      <c r="N33" s="4" t="s">
        <v>281</v>
      </c>
      <c r="O33" t="s">
        <v>232</v>
      </c>
      <c r="P33" s="23"/>
      <c r="Q33" s="4" t="s">
        <v>282</v>
      </c>
      <c r="R33" t="s">
        <v>113</v>
      </c>
      <c r="S33" s="23"/>
      <c r="T33" s="4" t="s">
        <v>283</v>
      </c>
      <c r="U33" t="s">
        <v>81</v>
      </c>
      <c r="V33" s="23" t="s">
        <v>107</v>
      </c>
      <c r="W33" s="4" t="s">
        <v>77</v>
      </c>
      <c r="X33" t="s">
        <v>78</v>
      </c>
      <c r="Y33" s="23"/>
      <c r="Z33" s="4" t="s">
        <v>284</v>
      </c>
      <c r="AA33" t="s">
        <v>81</v>
      </c>
      <c r="AB33" s="23" t="s">
        <v>285</v>
      </c>
      <c r="AC33" s="4" t="s">
        <v>286</v>
      </c>
      <c r="AD33" t="s">
        <v>287</v>
      </c>
      <c r="AE33" s="23" t="s">
        <v>121</v>
      </c>
      <c r="AF33" s="4" t="s">
        <v>288</v>
      </c>
      <c r="AG33" t="s">
        <v>81</v>
      </c>
      <c r="AH33" s="23" t="s">
        <v>121</v>
      </c>
      <c r="AI33" s="4" t="s">
        <v>289</v>
      </c>
      <c r="AJ33" t="s">
        <v>81</v>
      </c>
      <c r="AK33" s="23"/>
      <c r="AL33" s="4"/>
      <c r="AN33" s="23"/>
      <c r="AO33" s="4"/>
      <c r="AQ33" s="23"/>
      <c r="AR33" s="4"/>
      <c r="AT33" s="23"/>
      <c r="AU33" s="4"/>
      <c r="AW33" s="23"/>
      <c r="AX33" s="4"/>
      <c r="AZ33" s="23"/>
      <c r="BA33" s="4"/>
      <c r="BC33" s="23"/>
      <c r="BD33" s="4"/>
      <c r="BF33" s="23"/>
      <c r="BG33" s="4"/>
      <c r="BI33" s="23"/>
      <c r="BJ33" s="4"/>
      <c r="BL33" s="23"/>
      <c r="BM33" s="4"/>
      <c r="BO33" s="23"/>
      <c r="BP33" s="4"/>
      <c r="BR33" s="23"/>
    </row>
    <row r="34">
      <c r="A34" s="4" t="str">
        <f/>
        <v>vortec42</v>
      </c>
      <c r="B34" s="4"/>
      <c r="C34" s="4"/>
      <c r="D34" s="4" t="s">
        <v>167</v>
      </c>
      <c r="E34" s="33" t="s">
        <v>290</v>
      </c>
      <c r="F34" s="5" t="s">
        <v>291</v>
      </c>
      <c r="G34" s="8" t="s">
        <v>292</v>
      </c>
      <c r="H34" s="32" t="s">
        <v>128</v>
      </c>
      <c r="I34" s="5"/>
      <c r="J34" s="5"/>
      <c r="K34" s="4" t="s">
        <v>77</v>
      </c>
      <c r="L34" s="4" t="s">
        <v>78</v>
      </c>
      <c r="M34" s="23"/>
      <c r="N34" s="4" t="s">
        <v>123</v>
      </c>
      <c r="O34" s="4" t="s">
        <v>113</v>
      </c>
      <c r="P34" s="21"/>
      <c r="Q34" s="4" t="s">
        <v>178</v>
      </c>
      <c r="R34" s="4" t="s">
        <v>113</v>
      </c>
      <c r="S34" s="21" t="s">
        <v>160</v>
      </c>
      <c r="T34" s="4" t="s">
        <v>173</v>
      </c>
      <c r="U34" s="4" t="s">
        <v>269</v>
      </c>
      <c r="V34" s="21"/>
      <c r="W34" s="4" t="s">
        <v>251</v>
      </c>
      <c r="X34" s="4" t="s">
        <v>113</v>
      </c>
      <c r="Y34" s="21" t="s">
        <v>293</v>
      </c>
      <c r="Z34" s="4" t="s">
        <v>170</v>
      </c>
      <c r="AA34" s="4" t="s">
        <v>269</v>
      </c>
      <c r="AB34" s="21" t="s">
        <v>107</v>
      </c>
      <c r="AC34" s="4" t="s">
        <v>93</v>
      </c>
      <c r="AD34" s="4" t="s">
        <v>94</v>
      </c>
      <c r="AE34" s="21"/>
      <c r="AF34" s="4"/>
      <c r="AG34" s="4"/>
      <c r="AH34" s="21"/>
      <c r="AI34" s="4"/>
      <c r="AJ34" s="4"/>
      <c r="AK34" s="21"/>
      <c r="AL34" s="4"/>
      <c r="AM34" s="4"/>
      <c r="AN34" s="21"/>
      <c r="AO34" s="4"/>
      <c r="AP34" s="4"/>
      <c r="AQ34" s="21"/>
      <c r="AR34" s="4"/>
      <c r="AS34" s="4"/>
      <c r="AT34" s="21"/>
      <c r="AU34" s="4"/>
      <c r="AV34" s="4"/>
      <c r="AW34" s="21"/>
      <c r="AX34" s="4"/>
      <c r="AY34" s="4"/>
      <c r="AZ34" s="21"/>
      <c r="BA34" s="4"/>
      <c r="BB34" s="4"/>
      <c r="BC34" s="21"/>
      <c r="BD34" s="4"/>
      <c r="BE34" s="4"/>
      <c r="BF34" s="21"/>
      <c r="BG34" s="4"/>
      <c r="BH34" s="4"/>
      <c r="BI34" s="21"/>
      <c r="BJ34" s="4"/>
      <c r="BK34" s="4"/>
      <c r="BL34" s="21"/>
      <c r="BM34" s="4"/>
      <c r="BN34" s="4"/>
      <c r="BO34" s="21"/>
      <c r="BP34" s="4"/>
      <c r="BQ34" s="4"/>
      <c r="BR34" s="21"/>
    </row>
    <row r="35">
      <c r="A35" s="4">
        <f/>
        <v>0</v>
      </c>
      <c r="B35" s="4"/>
      <c r="C35" s="4"/>
      <c r="D35" s="4" t="s">
        <v>227</v>
      </c>
      <c r="E35" s="33" t="s">
        <v>294</v>
      </c>
      <c r="F35" s="5" t="s">
        <v>295</v>
      </c>
      <c r="G35" s="5" t="s">
        <v>183</v>
      </c>
      <c r="H35" s="8"/>
      <c r="I35" s="8"/>
      <c r="J35" s="8"/>
      <c r="K35" s="5" t="s">
        <v>296</v>
      </c>
      <c r="L35" s="5" t="s">
        <v>145</v>
      </c>
      <c r="M35" s="9"/>
      <c r="N35" s="5" t="s">
        <v>77</v>
      </c>
      <c r="O35" s="5" t="s">
        <v>78</v>
      </c>
      <c r="P35" s="9" t="s">
        <v>297</v>
      </c>
      <c r="Q35" s="5"/>
      <c r="R35" s="5"/>
      <c r="S35" s="9"/>
      <c r="T35" s="5"/>
      <c r="U35" s="5"/>
      <c r="V35" s="9"/>
      <c r="W35" s="5"/>
      <c r="X35" s="5"/>
      <c r="Y35" s="9"/>
      <c r="Z35" s="5"/>
      <c r="AA35" s="5"/>
      <c r="AB35" s="9"/>
      <c r="AC35" s="5"/>
      <c r="AD35" s="5"/>
      <c r="AE35" s="9"/>
      <c r="AF35" s="5"/>
      <c r="AG35" s="5"/>
      <c r="AH35" s="9"/>
      <c r="AI35" s="5"/>
      <c r="AJ35" s="5"/>
      <c r="AK35" s="9"/>
      <c r="AL35" s="5"/>
      <c r="AM35" s="5"/>
      <c r="AN35" s="9"/>
      <c r="AO35" s="5"/>
      <c r="AP35" s="5"/>
      <c r="AQ35" s="9"/>
      <c r="AR35" s="5"/>
      <c r="AS35" s="5"/>
      <c r="AT35" s="9"/>
      <c r="AU35" s="5"/>
      <c r="AV35" s="5"/>
      <c r="AW35" s="9"/>
      <c r="AX35" s="5"/>
      <c r="AY35" s="5"/>
      <c r="AZ35" s="9"/>
      <c r="BA35" s="5"/>
      <c r="BB35" s="5"/>
      <c r="BC35" s="9"/>
      <c r="BD35" s="5"/>
      <c r="BE35" s="5"/>
      <c r="BF35" s="9"/>
      <c r="BG35" s="5"/>
      <c r="BH35" s="5"/>
      <c r="BI35" s="9"/>
      <c r="BJ35" s="5"/>
      <c r="BK35" s="5"/>
      <c r="BL35" s="9"/>
      <c r="BM35" s="5"/>
      <c r="BN35" s="5"/>
      <c r="BO35" s="9"/>
      <c r="BP35" s="5"/>
      <c r="BQ35" s="5"/>
      <c r="BR35" s="9"/>
    </row>
    <row r="36">
      <c r="A36" s="4">
        <f/>
        <v>0</v>
      </c>
      <c r="B36" s="4"/>
      <c r="C36" s="4"/>
      <c r="D36" s="4"/>
      <c r="E36" s="5"/>
      <c r="F36" s="5"/>
      <c r="G36" s="8"/>
      <c r="H36" s="8"/>
      <c r="I36" s="8"/>
      <c r="J36" s="8"/>
      <c r="K36" s="5"/>
      <c r="L36" s="5"/>
      <c r="M36" s="9"/>
      <c r="N36" s="5"/>
      <c r="O36" s="5"/>
      <c r="P36" s="9"/>
      <c r="Q36" s="5"/>
      <c r="R36" s="5"/>
      <c r="S36" s="9"/>
      <c r="T36" s="5"/>
      <c r="U36" s="5"/>
      <c r="V36" s="9"/>
      <c r="W36" s="5"/>
      <c r="X36" s="5"/>
      <c r="Y36" s="9"/>
      <c r="Z36" s="5"/>
      <c r="AA36" s="5"/>
      <c r="AB36" s="9"/>
      <c r="AC36" s="5"/>
      <c r="AD36" s="5"/>
      <c r="AE36" s="9"/>
      <c r="AF36" s="5"/>
      <c r="AG36" s="5"/>
      <c r="AH36" s="9"/>
      <c r="AI36" s="5"/>
      <c r="AJ36" s="5"/>
      <c r="AK36" s="9"/>
      <c r="AL36" s="5"/>
      <c r="AM36" s="5"/>
      <c r="AN36" s="9"/>
      <c r="AO36" s="5"/>
      <c r="AP36" s="5"/>
      <c r="AQ36" s="9"/>
      <c r="AR36" s="5"/>
      <c r="AS36" s="5"/>
      <c r="AT36" s="9"/>
      <c r="AU36" s="5"/>
      <c r="AV36" s="5"/>
      <c r="AW36" s="9"/>
      <c r="AX36" s="5"/>
      <c r="AY36" s="5"/>
      <c r="AZ36" s="9"/>
      <c r="BA36" s="5"/>
      <c r="BB36" s="5"/>
      <c r="BC36" s="9"/>
      <c r="BD36" s="5"/>
      <c r="BE36" s="5"/>
      <c r="BF36" s="9"/>
      <c r="BG36" s="5"/>
      <c r="BH36" s="5"/>
      <c r="BI36" s="9"/>
      <c r="BJ36" s="5"/>
      <c r="BK36" s="5"/>
      <c r="BL36" s="9"/>
      <c r="BM36" s="5"/>
      <c r="BN36" s="5"/>
      <c r="BO36" s="9"/>
      <c r="BP36" s="5"/>
      <c r="BQ36" s="5"/>
      <c r="BR36" s="9"/>
    </row>
    <row r="37">
      <c r="A37" s="4">
        <f/>
        <v>0</v>
      </c>
      <c r="B37" s="4"/>
      <c r="C37" s="4"/>
      <c r="D37" s="4" t="s">
        <v>170</v>
      </c>
      <c r="E37" s="33" t="s">
        <v>298</v>
      </c>
      <c r="F37" s="5" t="s">
        <v>299</v>
      </c>
      <c r="G37" s="5"/>
      <c r="H37" s="8" t="s">
        <v>111</v>
      </c>
      <c r="I37" s="8"/>
      <c r="J37" s="8"/>
      <c r="K37" s="5" t="s">
        <v>115</v>
      </c>
      <c r="L37" s="5" t="s">
        <v>81</v>
      </c>
      <c r="M37" s="9" t="s">
        <v>124</v>
      </c>
      <c r="N37" s="5" t="s">
        <v>300</v>
      </c>
      <c r="O37" s="5" t="s">
        <v>301</v>
      </c>
      <c r="P37" s="27"/>
      <c r="Q37" s="5" t="s">
        <v>190</v>
      </c>
      <c r="R37" s="5" t="s">
        <v>81</v>
      </c>
      <c r="S37" s="27"/>
      <c r="T37" s="5" t="s">
        <v>101</v>
      </c>
      <c r="U37" s="5" t="s">
        <v>81</v>
      </c>
      <c r="V37" s="27"/>
      <c r="W37" s="5" t="s">
        <v>91</v>
      </c>
      <c r="X37" s="5" t="s">
        <v>81</v>
      </c>
      <c r="Y37" s="27" t="s">
        <v>302</v>
      </c>
      <c r="Z37" s="5" t="s">
        <v>114</v>
      </c>
      <c r="AA37" s="5" t="s">
        <v>81</v>
      </c>
      <c r="AB37" s="27" t="s">
        <v>96</v>
      </c>
      <c r="AC37" s="5"/>
      <c r="AD37" s="5"/>
      <c r="AE37" s="27"/>
      <c r="AF37" s="5" t="s">
        <v>166</v>
      </c>
      <c r="AG37" s="5" t="s">
        <v>81</v>
      </c>
      <c r="AH37" s="27"/>
      <c r="AI37" s="5" t="s">
        <v>170</v>
      </c>
      <c r="AJ37" s="5" t="s">
        <v>81</v>
      </c>
      <c r="AK37" s="27" t="s">
        <v>96</v>
      </c>
      <c r="AL37" s="5"/>
      <c r="AM37" s="5"/>
      <c r="AN37" s="27"/>
      <c r="AO37" s="5"/>
      <c r="AP37" s="5"/>
      <c r="AQ37" s="27"/>
      <c r="AR37" s="5"/>
      <c r="AS37" s="5"/>
      <c r="AT37" s="27"/>
      <c r="AU37" s="5"/>
      <c r="AV37" s="5"/>
      <c r="AW37" s="27"/>
      <c r="AX37" s="5"/>
      <c r="AY37" s="5"/>
      <c r="AZ37" s="27"/>
      <c r="BA37" s="5"/>
      <c r="BB37" s="5"/>
      <c r="BC37" s="27"/>
      <c r="BD37" s="5"/>
      <c r="BE37" s="5"/>
      <c r="BF37" s="27"/>
      <c r="BG37" s="5"/>
      <c r="BH37" s="5"/>
      <c r="BI37" s="27"/>
      <c r="BJ37" s="5"/>
      <c r="BK37" s="5"/>
      <c r="BL37" s="27"/>
      <c r="BM37" s="5"/>
      <c r="BN37" s="5"/>
      <c r="BO37" s="27"/>
      <c r="BP37" s="5"/>
      <c r="BQ37" s="5"/>
      <c r="BR37" s="27"/>
    </row>
    <row r="38">
      <c r="A38" s="4">
        <f/>
        <v>0</v>
      </c>
      <c r="B38" s="4"/>
      <c r="C38" s="4"/>
      <c r="D38" s="4"/>
      <c r="E38" s="5"/>
      <c r="F38" s="5"/>
      <c r="G38" s="5"/>
      <c r="H38" s="8"/>
      <c r="I38" s="8"/>
      <c r="J38" s="8"/>
      <c r="K38" s="5"/>
      <c r="L38" s="5"/>
      <c r="M38" s="9"/>
      <c r="N38" s="5"/>
      <c r="O38" s="5"/>
      <c r="P38" s="27"/>
      <c r="Q38" s="5"/>
      <c r="R38" s="5"/>
      <c r="S38" s="27"/>
      <c r="T38" s="5"/>
      <c r="U38" s="5"/>
      <c r="V38" s="27"/>
      <c r="W38" s="5"/>
      <c r="X38" s="5"/>
      <c r="Y38" s="27"/>
      <c r="Z38" s="5"/>
      <c r="AA38" s="5"/>
      <c r="AB38" s="27"/>
      <c r="AC38" s="5"/>
      <c r="AD38" s="5"/>
      <c r="AE38" s="27"/>
      <c r="AF38" s="5"/>
      <c r="AG38" s="5"/>
      <c r="AH38" s="27"/>
      <c r="AI38" s="5"/>
      <c r="AJ38" s="5"/>
      <c r="AK38" s="27"/>
      <c r="AL38" s="5"/>
      <c r="AM38" s="5"/>
      <c r="AN38" s="27"/>
      <c r="AO38" s="5"/>
      <c r="AP38" s="5"/>
      <c r="AQ38" s="27"/>
      <c r="AR38" s="5"/>
      <c r="AS38" s="5"/>
      <c r="AT38" s="27"/>
      <c r="AU38" s="5"/>
      <c r="AV38" s="5"/>
      <c r="AW38" s="27"/>
      <c r="AX38" s="5"/>
      <c r="AY38" s="5"/>
      <c r="AZ38" s="27"/>
      <c r="BA38" s="5"/>
      <c r="BB38" s="5"/>
      <c r="BC38" s="27"/>
      <c r="BD38" s="5"/>
      <c r="BE38" s="5"/>
      <c r="BF38" s="27"/>
      <c r="BG38" s="5"/>
      <c r="BH38" s="5"/>
      <c r="BI38" s="27"/>
      <c r="BJ38" s="5"/>
      <c r="BK38" s="5"/>
      <c r="BL38" s="27"/>
      <c r="BM38" s="5"/>
      <c r="BN38" s="5"/>
      <c r="BO38" s="27"/>
      <c r="BP38" s="5"/>
      <c r="BQ38" s="5"/>
      <c r="BR38" s="27"/>
    </row>
    <row r="39">
      <c r="A39" s="4">
        <f/>
        <v>0</v>
      </c>
      <c r="B39" s="4"/>
      <c r="C39" s="4"/>
      <c r="D39" s="4"/>
      <c r="E39" s="4"/>
      <c r="F39" s="4"/>
      <c r="K39" s="4"/>
      <c r="L39" s="4"/>
      <c r="M39" s="23"/>
      <c r="N39" s="4"/>
      <c r="O39" s="4"/>
      <c r="P39" s="21"/>
      <c r="Q39" s="4"/>
      <c r="R39" s="4"/>
      <c r="S39" s="21"/>
      <c r="T39" s="4"/>
      <c r="U39" s="4"/>
      <c r="V39" s="21"/>
      <c r="W39" s="4"/>
      <c r="X39" s="4"/>
      <c r="Y39" s="21"/>
      <c r="Z39" s="4"/>
      <c r="AA39" s="4"/>
      <c r="AB39" s="21"/>
      <c r="AC39" s="4"/>
      <c r="AD39" s="4"/>
      <c r="AE39" s="21"/>
      <c r="AF39" s="4"/>
      <c r="AG39" s="4"/>
      <c r="AH39" s="21"/>
      <c r="AI39" s="4"/>
      <c r="AJ39" s="4"/>
      <c r="AK39" s="21"/>
      <c r="AL39" s="4"/>
      <c r="AM39" s="4"/>
      <c r="AN39" s="21"/>
      <c r="AO39" s="4"/>
      <c r="AP39" s="4"/>
      <c r="AQ39" s="21"/>
      <c r="AR39" s="4"/>
      <c r="AS39" s="4"/>
      <c r="AT39" s="21"/>
      <c r="AU39" s="4"/>
      <c r="AV39" s="4"/>
      <c r="AW39" s="21"/>
      <c r="AX39" s="4"/>
      <c r="AY39" s="4"/>
      <c r="AZ39" s="21"/>
      <c r="BA39" s="4"/>
      <c r="BB39" s="4"/>
      <c r="BC39" s="21"/>
      <c r="BD39" s="4"/>
      <c r="BE39" s="4"/>
      <c r="BF39" s="21"/>
      <c r="BG39" s="4"/>
      <c r="BH39" s="4"/>
      <c r="BI39" s="21"/>
      <c r="BJ39" s="4"/>
      <c r="BK39" s="4"/>
      <c r="BL39" s="21"/>
      <c r="BM39" s="4"/>
      <c r="BN39" s="4"/>
      <c r="BO39" s="21"/>
      <c r="BP39" s="4"/>
      <c r="BQ39" s="4"/>
      <c r="BR39" s="21"/>
    </row>
    <row r="40">
      <c r="A40" s="4">
        <f/>
        <v>0</v>
      </c>
      <c r="B40" s="4"/>
      <c r="C40" s="4"/>
      <c r="D40" s="4"/>
      <c r="E40" s="4"/>
      <c r="F40" s="4"/>
      <c r="K40" s="4"/>
      <c r="L40" s="4"/>
      <c r="M40" s="27"/>
      <c r="N40" s="4"/>
      <c r="O40" s="4"/>
      <c r="P40" s="21"/>
      <c r="Q40" s="4"/>
      <c r="R40" s="4"/>
      <c r="S40" s="21"/>
      <c r="T40" s="4"/>
      <c r="U40" s="4"/>
      <c r="V40" s="21"/>
      <c r="W40" s="4"/>
      <c r="X40" s="4"/>
      <c r="Y40" s="21"/>
      <c r="Z40" s="4"/>
      <c r="AA40" s="4"/>
      <c r="AB40" s="21"/>
      <c r="AC40" s="4"/>
      <c r="AD40" s="4"/>
      <c r="AE40" s="21"/>
      <c r="AF40" s="4"/>
      <c r="AG40" s="4"/>
      <c r="AH40" s="21"/>
      <c r="AI40" s="4"/>
      <c r="AJ40" s="4"/>
      <c r="AK40" s="21"/>
      <c r="AL40" s="4"/>
      <c r="AM40" s="4"/>
      <c r="AN40" s="21"/>
      <c r="AO40" s="4"/>
      <c r="AP40" s="4"/>
      <c r="AQ40" s="21"/>
      <c r="AR40" s="4"/>
      <c r="AS40" s="4"/>
      <c r="AT40" s="21"/>
      <c r="AU40" s="4"/>
      <c r="AV40" s="4"/>
      <c r="AW40" s="21"/>
      <c r="AX40" s="4"/>
      <c r="AY40" s="4"/>
      <c r="AZ40" s="21"/>
      <c r="BA40" s="4"/>
      <c r="BB40" s="4"/>
      <c r="BC40" s="21"/>
      <c r="BD40" s="4"/>
      <c r="BE40" s="4"/>
      <c r="BF40" s="21"/>
      <c r="BG40" s="4"/>
      <c r="BH40" s="4"/>
      <c r="BI40" s="21"/>
      <c r="BJ40" s="4"/>
      <c r="BK40" s="4"/>
      <c r="BL40" s="21"/>
      <c r="BM40" s="4"/>
      <c r="BN40" s="4"/>
      <c r="BO40" s="21"/>
      <c r="BP40" s="4"/>
      <c r="BQ40" s="4"/>
      <c r="BR40" s="21"/>
    </row>
    <row r="41">
      <c r="A41" s="4">
        <f/>
        <v>0</v>
      </c>
      <c r="B41" s="4"/>
      <c r="C41" s="4"/>
      <c r="D41" s="4"/>
      <c r="E41" s="5"/>
      <c r="F41" s="5"/>
      <c r="G41" s="5"/>
      <c r="H41" s="8"/>
      <c r="I41" s="8"/>
      <c r="J41" s="8"/>
      <c r="K41" s="5"/>
      <c r="L41" s="5"/>
      <c r="M41" s="9"/>
      <c r="N41" s="5"/>
      <c r="O41" s="5"/>
      <c r="P41" s="9"/>
      <c r="Q41" s="5"/>
      <c r="R41" s="5"/>
      <c r="S41" s="9"/>
      <c r="T41" s="5"/>
      <c r="U41" s="5"/>
      <c r="V41" s="9"/>
      <c r="W41" s="5"/>
      <c r="X41" s="5"/>
      <c r="Y41" s="9"/>
      <c r="Z41" s="5"/>
      <c r="AA41" s="5"/>
      <c r="AB41" s="9"/>
      <c r="AC41" s="5"/>
      <c r="AD41" s="5"/>
      <c r="AE41" s="9"/>
      <c r="AF41" s="5"/>
      <c r="AG41" s="5"/>
      <c r="AH41" s="9"/>
      <c r="AI41" s="5"/>
      <c r="AJ41" s="5"/>
      <c r="AK41" s="9"/>
      <c r="AL41" s="5"/>
      <c r="AM41" s="5"/>
      <c r="AN41" s="9"/>
      <c r="AO41" s="5"/>
      <c r="AP41" s="5"/>
      <c r="AQ41" s="9"/>
      <c r="AR41" s="5"/>
      <c r="AS41" s="5"/>
      <c r="AT41" s="9"/>
      <c r="AU41" s="5"/>
      <c r="AV41" s="5"/>
      <c r="AW41" s="9"/>
      <c r="AX41" s="5"/>
      <c r="AY41" s="5"/>
      <c r="AZ41" s="9"/>
      <c r="BA41" s="5"/>
      <c r="BB41" s="5"/>
      <c r="BC41" s="9"/>
      <c r="BD41" s="5"/>
      <c r="BE41" s="5"/>
      <c r="BF41" s="9"/>
      <c r="BG41" s="5"/>
      <c r="BH41" s="5"/>
      <c r="BI41" s="9"/>
      <c r="BJ41" s="5"/>
      <c r="BK41" s="5"/>
      <c r="BL41" s="9"/>
      <c r="BM41" s="5"/>
      <c r="BN41" s="5"/>
      <c r="BO41" s="9"/>
      <c r="BP41" s="5"/>
      <c r="BQ41" s="5"/>
      <c r="BR41" s="9"/>
    </row>
    <row r="42">
      <c r="A42" s="4">
        <f/>
        <v>0</v>
      </c>
      <c r="B42" s="4"/>
      <c r="C42" s="4"/>
      <c r="D42" s="4"/>
      <c r="E42" s="4"/>
      <c r="F42" s="4"/>
      <c r="K42" s="5"/>
      <c r="L42" s="5"/>
      <c r="M42" s="9"/>
      <c r="N42" s="5"/>
      <c r="O42" s="5"/>
      <c r="P42" s="9"/>
      <c r="Q42" s="5"/>
      <c r="R42" s="5"/>
      <c r="S42" s="9"/>
      <c r="T42" s="5"/>
      <c r="U42" s="5"/>
      <c r="V42" s="9"/>
      <c r="W42" s="5"/>
      <c r="X42" s="5"/>
      <c r="Y42" s="9"/>
      <c r="Z42" s="5"/>
      <c r="AA42" s="5"/>
      <c r="AB42" s="9"/>
      <c r="AC42" s="5"/>
      <c r="AD42" s="5"/>
      <c r="AE42" s="9"/>
      <c r="AF42" s="5"/>
      <c r="AG42" s="5"/>
      <c r="AH42" s="9"/>
      <c r="AI42" s="5"/>
      <c r="AJ42" s="5"/>
      <c r="AK42" s="9"/>
      <c r="AL42" s="5"/>
      <c r="AM42" s="5"/>
      <c r="AN42" s="9"/>
      <c r="AO42" s="5"/>
      <c r="AP42" s="5"/>
      <c r="AQ42" s="9"/>
      <c r="AR42" s="5"/>
      <c r="AS42" s="5"/>
      <c r="AT42" s="9"/>
      <c r="AU42" s="5"/>
      <c r="AV42" s="5"/>
      <c r="AW42" s="9"/>
      <c r="AX42" s="5"/>
      <c r="AY42" s="5"/>
      <c r="AZ42" s="9"/>
      <c r="BA42" s="5"/>
      <c r="BB42" s="5"/>
      <c r="BC42" s="9"/>
      <c r="BD42" s="5"/>
      <c r="BE42" s="5"/>
      <c r="BF42" s="9"/>
      <c r="BG42" s="5"/>
      <c r="BH42" s="5"/>
      <c r="BI42" s="9"/>
      <c r="BJ42" s="5"/>
      <c r="BK42" s="5"/>
      <c r="BL42" s="9"/>
      <c r="BM42" s="5"/>
      <c r="BN42" s="5"/>
      <c r="BO42" s="9"/>
      <c r="BP42" s="5"/>
      <c r="BQ42" s="5"/>
      <c r="BR42" s="9"/>
    </row>
    <row r="43">
      <c r="A43" s="4">
        <f/>
        <v>0</v>
      </c>
      <c r="B43" s="4"/>
      <c r="C43" s="4"/>
      <c r="D43" s="4"/>
      <c r="E43" s="5"/>
      <c r="F43" s="5"/>
      <c r="G43" s="5"/>
      <c r="H43" s="8"/>
      <c r="I43" s="8"/>
      <c r="J43" s="8"/>
      <c r="K43" s="5"/>
      <c r="L43" s="5"/>
      <c r="M43" s="9"/>
      <c r="N43" s="5"/>
      <c r="O43" s="5"/>
      <c r="P43" s="9"/>
      <c r="Q43" s="5"/>
      <c r="R43" s="5"/>
      <c r="S43" s="9"/>
      <c r="T43" s="5"/>
      <c r="U43" s="5"/>
      <c r="V43" s="9"/>
      <c r="W43" s="5"/>
      <c r="X43" s="5"/>
      <c r="Y43" s="9"/>
      <c r="Z43" s="5"/>
      <c r="AA43" s="5"/>
      <c r="AB43" s="9"/>
      <c r="AC43" s="5"/>
      <c r="AD43" s="5"/>
      <c r="AE43" s="9"/>
      <c r="AF43" s="5"/>
      <c r="AG43" s="5"/>
      <c r="AH43" s="9"/>
      <c r="AI43" s="5"/>
      <c r="AJ43" s="5"/>
      <c r="AK43" s="9"/>
      <c r="AL43" s="5"/>
      <c r="AM43" s="5"/>
      <c r="AN43" s="9"/>
      <c r="AO43" s="5"/>
      <c r="AP43" s="5"/>
      <c r="AQ43" s="9"/>
      <c r="AR43" s="5"/>
      <c r="AS43" s="5"/>
      <c r="AT43" s="9"/>
      <c r="AU43" s="5"/>
      <c r="AV43" s="5"/>
      <c r="AW43" s="9"/>
      <c r="AX43" s="5"/>
      <c r="AY43" s="5"/>
      <c r="AZ43" s="9"/>
      <c r="BA43" s="5"/>
      <c r="BB43" s="5"/>
      <c r="BC43" s="9"/>
      <c r="BD43" s="5"/>
      <c r="BE43" s="5"/>
      <c r="BF43" s="9"/>
      <c r="BG43" s="5"/>
      <c r="BH43" s="5"/>
      <c r="BI43" s="9"/>
      <c r="BJ43" s="5"/>
      <c r="BK43" s="5"/>
      <c r="BL43" s="9"/>
      <c r="BM43" s="5"/>
      <c r="BN43" s="5"/>
      <c r="BO43" s="9"/>
      <c r="BP43" s="5"/>
      <c r="BQ43" s="5"/>
      <c r="BR43" s="9"/>
    </row>
    <row r="44">
      <c r="A44">
        <f/>
        <v>0</v>
      </c>
      <c r="L44" s="20"/>
      <c r="M44" s="21"/>
      <c r="P44" s="21"/>
      <c r="S44" s="21"/>
      <c r="V44" s="21"/>
      <c r="Y44" s="21"/>
      <c r="AB44" s="21"/>
      <c r="AE44" s="21"/>
      <c r="AH44" s="21"/>
      <c r="AK44" s="21"/>
      <c r="AN44" s="21"/>
      <c r="AQ44" s="21"/>
      <c r="AT44" s="21"/>
      <c r="AW44" s="21"/>
      <c r="AZ44" s="21"/>
      <c r="BC44" s="21"/>
      <c r="BF44" s="21"/>
      <c r="BI44" s="21"/>
      <c r="BL44" s="21"/>
      <c r="BO44" s="21"/>
      <c r="BR44" s="21"/>
    </row>
    <row r="45">
      <c r="A45">
        <f/>
        <v>0</v>
      </c>
      <c r="L45" s="20"/>
      <c r="M45" s="21"/>
      <c r="P45" s="21"/>
      <c r="S45" s="21"/>
      <c r="V45" s="21"/>
      <c r="Y45" s="21"/>
      <c r="AB45" s="21"/>
      <c r="AE45" s="21"/>
      <c r="AH45" s="21"/>
      <c r="AK45" s="21"/>
      <c r="AN45" s="21"/>
      <c r="AQ45" s="21"/>
      <c r="AT45" s="21"/>
      <c r="AW45" s="21"/>
      <c r="AZ45" s="21"/>
      <c r="BC45" s="21"/>
      <c r="BF45" s="21"/>
      <c r="BI45" s="21"/>
      <c r="BL45" s="21"/>
      <c r="BO45" s="21"/>
      <c r="BR45" s="21"/>
    </row>
    <row r="46">
      <c r="A46">
        <f/>
        <v>0</v>
      </c>
      <c r="L46" s="20"/>
      <c r="M46" s="21"/>
      <c r="P46" s="21"/>
      <c r="S46" s="21"/>
      <c r="V46" s="21"/>
      <c r="Y46" s="21"/>
      <c r="AB46" s="21"/>
      <c r="AE46" s="21"/>
      <c r="AH46" s="21"/>
      <c r="AK46" s="21"/>
      <c r="AN46" s="21"/>
      <c r="AQ46" s="21"/>
      <c r="AT46" s="21"/>
      <c r="AW46" s="21"/>
      <c r="AZ46" s="21"/>
      <c r="BC46" s="21"/>
      <c r="BF46" s="21"/>
      <c r="BI46" s="21"/>
      <c r="BL46" s="21"/>
      <c r="BO46" s="21"/>
      <c r="BR46" s="21"/>
    </row>
    <row r="47">
      <c r="A47">
        <f/>
        <v>0</v>
      </c>
      <c r="L47" s="20"/>
      <c r="M47" s="21"/>
      <c r="P47" s="21"/>
      <c r="S47" s="21"/>
      <c r="V47" s="21"/>
      <c r="Y47" s="21"/>
      <c r="AB47" s="21"/>
      <c r="AE47" s="21"/>
      <c r="AH47" s="21"/>
      <c r="AK47" s="21"/>
      <c r="AN47" s="21"/>
      <c r="AQ47" s="21"/>
      <c r="AT47" s="21"/>
      <c r="AW47" s="21"/>
      <c r="AZ47" s="21"/>
      <c r="BC47" s="21"/>
      <c r="BF47" s="21"/>
      <c r="BI47" s="21"/>
      <c r="BL47" s="21"/>
      <c r="BO47" s="21"/>
      <c r="BR47" s="21"/>
    </row>
    <row r="48">
      <c r="A48">
        <f/>
        <v>0</v>
      </c>
      <c r="L48" s="20"/>
      <c r="M48" s="21"/>
      <c r="P48" s="21"/>
      <c r="S48" s="21"/>
      <c r="V48" s="21"/>
      <c r="Y48" s="21"/>
      <c r="AB48" s="21"/>
      <c r="AE48" s="21"/>
      <c r="AH48" s="21"/>
      <c r="AK48" s="21"/>
      <c r="AN48" s="21"/>
      <c r="AQ48" s="21"/>
      <c r="AT48" s="21"/>
      <c r="AW48" s="21"/>
      <c r="AZ48" s="21"/>
      <c r="BC48" s="21"/>
      <c r="BF48" s="21"/>
      <c r="BI48" s="21"/>
      <c r="BL48" s="21"/>
      <c r="BO48" s="21"/>
      <c r="BR48" s="21"/>
    </row>
    <row r="49">
      <c r="A49">
        <f/>
        <v>0</v>
      </c>
      <c r="L49" s="20"/>
      <c r="M49" s="21"/>
      <c r="P49" s="21"/>
      <c r="S49" s="21"/>
      <c r="V49" s="21"/>
      <c r="Y49" s="21"/>
      <c r="AB49" s="21"/>
      <c r="AE49" s="21"/>
      <c r="AH49" s="21"/>
      <c r="AK49" s="21"/>
      <c r="AN49" s="21"/>
      <c r="AQ49" s="21"/>
      <c r="AT49" s="21"/>
      <c r="AW49" s="21"/>
      <c r="AZ49" s="21"/>
      <c r="BC49" s="21"/>
      <c r="BF49" s="21"/>
      <c r="BI49" s="21"/>
      <c r="BL49" s="21"/>
      <c r="BO49" s="21"/>
      <c r="BR49" s="21"/>
    </row>
    <row r="50">
      <c r="A50" s="4">
        <f/>
        <v>0</v>
      </c>
      <c r="B50" s="4"/>
      <c r="C50" s="4"/>
      <c r="D50" s="4"/>
      <c r="E50" s="4"/>
      <c r="F50" s="4"/>
      <c r="G50" s="4"/>
      <c r="K50" s="4"/>
      <c r="L50" s="20"/>
      <c r="M50" s="23"/>
      <c r="N50" s="4"/>
      <c r="P50" s="23"/>
      <c r="Q50" s="4"/>
      <c r="S50" s="23"/>
      <c r="T50" s="4"/>
      <c r="V50" s="23"/>
      <c r="W50" s="4"/>
      <c r="Y50" s="23"/>
      <c r="Z50" s="4"/>
      <c r="AB50" s="23"/>
      <c r="AC50" s="4"/>
      <c r="AE50" s="23"/>
      <c r="AF50" s="4"/>
      <c r="AH50" s="23"/>
      <c r="AI50" s="4"/>
      <c r="AK50" s="23"/>
      <c r="AL50" s="4"/>
      <c r="AN50" s="23"/>
      <c r="AO50" s="4"/>
      <c r="AQ50" s="23"/>
      <c r="AR50" s="4"/>
      <c r="AT50" s="23"/>
      <c r="AU50" s="4"/>
      <c r="AW50" s="23"/>
      <c r="AX50" s="4"/>
      <c r="AZ50" s="23"/>
      <c r="BA50" s="4"/>
      <c r="BC50" s="23"/>
      <c r="BD50" s="4"/>
      <c r="BF50" s="23"/>
      <c r="BG50" s="4"/>
      <c r="BI50" s="23"/>
      <c r="BJ50" s="4"/>
      <c r="BL50" s="23"/>
      <c r="BM50" s="4"/>
      <c r="BO50" s="23"/>
      <c r="BP50" s="4"/>
      <c r="BR50" s="23"/>
    </row>
    <row r="51">
      <c r="A51" s="4">
        <f/>
        <v>0</v>
      </c>
      <c r="B51" s="4"/>
      <c r="C51" s="4"/>
      <c r="D51" s="4"/>
      <c r="E51" s="4"/>
      <c r="F51" s="4"/>
      <c r="G51" s="4"/>
      <c r="K51" s="4"/>
      <c r="L51" s="20"/>
      <c r="M51" s="23"/>
      <c r="N51" s="4"/>
      <c r="P51" s="23"/>
      <c r="Q51" s="4"/>
      <c r="S51" s="23"/>
      <c r="T51" s="4"/>
      <c r="V51" s="23"/>
      <c r="W51" s="4"/>
      <c r="Y51" s="23"/>
      <c r="Z51" s="4"/>
      <c r="AB51" s="23"/>
      <c r="AC51" s="4"/>
      <c r="AE51" s="23"/>
      <c r="AF51" s="4"/>
      <c r="AH51" s="23"/>
      <c r="AI51" s="4"/>
      <c r="AK51" s="23"/>
      <c r="AL51" s="4"/>
      <c r="AN51" s="23"/>
      <c r="AO51" s="4"/>
      <c r="AQ51" s="23"/>
      <c r="AR51" s="4"/>
      <c r="AT51" s="23"/>
      <c r="AU51" s="4"/>
      <c r="AW51" s="23"/>
      <c r="AX51" s="4"/>
      <c r="AZ51" s="23"/>
      <c r="BA51" s="4"/>
      <c r="BC51" s="23"/>
      <c r="BD51" s="4"/>
      <c r="BF51" s="23"/>
      <c r="BG51" s="4"/>
      <c r="BI51" s="23"/>
      <c r="BJ51" s="4"/>
      <c r="BL51" s="23"/>
      <c r="BM51" s="4"/>
      <c r="BO51" s="23"/>
      <c r="BP51" s="4"/>
      <c r="BR51" s="23"/>
    </row>
    <row r="52">
      <c r="A52" s="4">
        <f/>
        <v>0</v>
      </c>
      <c r="B52" s="4"/>
      <c r="C52" s="4"/>
      <c r="D52" s="4"/>
      <c r="E52" s="4"/>
      <c r="F52" s="4"/>
      <c r="G52" s="4"/>
      <c r="K52" s="4"/>
      <c r="L52" s="20"/>
      <c r="M52" s="23"/>
      <c r="N52" s="4"/>
      <c r="P52" s="23"/>
      <c r="Q52" s="4"/>
      <c r="S52" s="23"/>
      <c r="T52" s="4"/>
      <c r="V52" s="23"/>
      <c r="W52" s="4"/>
      <c r="Y52" s="23"/>
      <c r="Z52" s="4"/>
      <c r="AB52" s="23"/>
      <c r="AC52" s="4"/>
      <c r="AE52" s="23"/>
      <c r="AF52" s="4"/>
      <c r="AH52" s="23"/>
      <c r="AI52" s="4"/>
      <c r="AK52" s="23"/>
      <c r="AL52" s="4"/>
      <c r="AN52" s="23"/>
      <c r="AO52" s="4"/>
      <c r="AQ52" s="23"/>
      <c r="AR52" s="4"/>
      <c r="AT52" s="23"/>
      <c r="AU52" s="4"/>
      <c r="AW52" s="23"/>
      <c r="AX52" s="4"/>
      <c r="AZ52" s="23"/>
      <c r="BA52" s="4"/>
      <c r="BC52" s="23"/>
      <c r="BD52" s="4"/>
      <c r="BF52" s="23"/>
      <c r="BG52" s="4"/>
      <c r="BI52" s="23"/>
      <c r="BJ52" s="4"/>
      <c r="BL52" s="23"/>
      <c r="BM52" s="4"/>
      <c r="BO52" s="23"/>
      <c r="BP52" s="4"/>
      <c r="BR52" s="23"/>
    </row>
    <row r="53">
      <c r="A53" s="4">
        <f/>
        <v>0</v>
      </c>
      <c r="B53" s="4"/>
      <c r="C53" s="4"/>
      <c r="D53" s="4"/>
      <c r="E53" s="4"/>
      <c r="F53" s="4"/>
      <c r="K53" s="20"/>
      <c r="L53" s="20"/>
      <c r="M53" s="23"/>
      <c r="N53" s="20"/>
      <c r="P53" s="23"/>
      <c r="Q53" s="20"/>
      <c r="S53" s="23"/>
      <c r="T53" s="20"/>
      <c r="V53" s="23"/>
      <c r="W53" s="20"/>
      <c r="Y53" s="23"/>
      <c r="Z53" s="20"/>
      <c r="AB53" s="23"/>
      <c r="AC53" s="20"/>
      <c r="AE53" s="23"/>
      <c r="AF53" s="20"/>
      <c r="AH53" s="23"/>
      <c r="AI53" s="20"/>
      <c r="AK53" s="23"/>
      <c r="AL53" s="20"/>
      <c r="AN53" s="23"/>
      <c r="AO53" s="20"/>
      <c r="AQ53" s="23"/>
      <c r="AR53" s="20"/>
      <c r="AT53" s="23"/>
      <c r="AU53" s="20"/>
      <c r="AW53" s="23"/>
      <c r="AX53" s="20"/>
      <c r="AZ53" s="23"/>
      <c r="BA53" s="20"/>
      <c r="BC53" s="23"/>
      <c r="BD53" s="20"/>
      <c r="BF53" s="23"/>
      <c r="BG53" s="20"/>
      <c r="BI53" s="23"/>
      <c r="BJ53" s="20"/>
      <c r="BL53" s="23"/>
      <c r="BM53" s="20"/>
      <c r="BO53" s="23"/>
      <c r="BP53" s="20"/>
      <c r="BR53" s="23"/>
    </row>
    <row r="54">
      <c r="A54" s="35"/>
      <c r="B54" s="35"/>
      <c r="C54" s="35"/>
      <c r="D54" s="35" t="s">
        <v>303</v>
      </c>
      <c r="E54" s="8"/>
      <c r="F54" s="8"/>
      <c r="G54" s="8"/>
      <c r="H54" s="8"/>
      <c r="I54" s="8"/>
      <c r="J54" s="8"/>
      <c r="K54" s="8"/>
      <c r="L54" s="8"/>
      <c r="M54" s="27"/>
      <c r="N54" s="8"/>
      <c r="O54" s="8"/>
      <c r="P54" s="9"/>
      <c r="Q54" s="8"/>
      <c r="R54" s="8"/>
      <c r="S54" s="9"/>
      <c r="T54" s="8"/>
      <c r="U54" s="8"/>
      <c r="V54" s="9"/>
      <c r="W54" s="8"/>
      <c r="X54" s="8"/>
      <c r="Y54" s="9"/>
      <c r="Z54" s="8"/>
      <c r="AA54" s="8"/>
      <c r="AB54" s="9"/>
      <c r="AC54" s="8"/>
      <c r="AD54" s="8"/>
      <c r="AE54" s="9"/>
      <c r="AF54" s="8"/>
      <c r="AG54" s="8"/>
      <c r="AH54" s="9"/>
      <c r="AI54" s="8"/>
      <c r="AJ54" s="8"/>
      <c r="AK54" s="9"/>
      <c r="AL54" s="8"/>
      <c r="AM54" s="8"/>
      <c r="AN54" s="9"/>
      <c r="AO54" s="8"/>
      <c r="AP54" s="8"/>
      <c r="AQ54" s="9"/>
      <c r="AR54" s="8"/>
      <c r="AS54" s="8"/>
      <c r="AT54" s="9"/>
      <c r="AU54" s="8"/>
      <c r="AV54" s="8"/>
      <c r="AW54" s="9"/>
      <c r="AX54" s="8"/>
      <c r="AY54" s="8"/>
      <c r="AZ54" s="9"/>
      <c r="BA54" s="8"/>
      <c r="BB54" s="8"/>
      <c r="BC54" s="9"/>
      <c r="BD54" s="8"/>
      <c r="BE54" s="8"/>
      <c r="BF54" s="9"/>
      <c r="BG54" s="8"/>
      <c r="BH54" s="8"/>
      <c r="BI54" s="9"/>
      <c r="BJ54" s="8"/>
      <c r="BK54" s="8"/>
      <c r="BL54" s="9"/>
      <c r="BM54" s="8"/>
      <c r="BN54" s="8"/>
      <c r="BO54" s="9"/>
      <c r="BP54" s="8"/>
      <c r="BQ54" s="8"/>
      <c r="BR54" s="9"/>
    </row>
    <row r="55">
      <c r="A55" s="36"/>
      <c r="B55" s="36"/>
      <c r="C55" s="36"/>
      <c r="D55" s="11" t="s">
        <v>6</v>
      </c>
      <c r="E55" s="12"/>
      <c r="F55" s="12"/>
      <c r="G55" s="12"/>
      <c r="H55" s="12"/>
      <c r="I55" s="13"/>
      <c r="J55" s="13"/>
      <c r="K55" s="13"/>
      <c r="L55" s="10"/>
      <c r="M55" s="14"/>
      <c r="N55" s="12"/>
      <c r="O55" s="16"/>
      <c r="P55" s="17"/>
      <c r="Q55" s="12"/>
      <c r="R55" s="16"/>
      <c r="S55" s="17"/>
      <c r="T55" s="12"/>
      <c r="U55" s="16"/>
      <c r="V55" s="17"/>
      <c r="W55" s="12"/>
      <c r="X55" s="16"/>
      <c r="Y55" s="17"/>
      <c r="Z55" s="12"/>
      <c r="AA55" s="16"/>
      <c r="AB55" s="17"/>
      <c r="AC55" s="12"/>
      <c r="AD55" s="16"/>
      <c r="AE55" s="17"/>
      <c r="AF55" s="12"/>
      <c r="AG55" s="16"/>
      <c r="AH55" s="17"/>
      <c r="AI55" s="12"/>
      <c r="AJ55" s="16"/>
      <c r="AK55" s="17"/>
      <c r="AL55" s="12"/>
      <c r="AM55" s="16"/>
      <c r="AN55" s="17"/>
      <c r="AO55" s="12"/>
      <c r="AP55" s="16"/>
      <c r="AQ55" s="17"/>
      <c r="AR55" s="12"/>
      <c r="AS55" s="16"/>
      <c r="AT55" s="17"/>
      <c r="AU55" s="12"/>
      <c r="AV55" s="16"/>
      <c r="AW55" s="17"/>
      <c r="AX55" s="12"/>
      <c r="AY55" s="16"/>
      <c r="AZ55" s="17"/>
      <c r="BA55" s="12"/>
      <c r="BB55" s="16"/>
      <c r="BC55" s="17"/>
      <c r="BD55" s="12"/>
      <c r="BE55" s="16"/>
      <c r="BF55" s="17"/>
      <c r="BG55" s="12"/>
      <c r="BH55" s="16"/>
      <c r="BI55" s="17"/>
      <c r="BJ55" s="12"/>
      <c r="BK55" s="16"/>
      <c r="BL55" s="17"/>
      <c r="BM55" s="12"/>
      <c r="BN55" s="16"/>
      <c r="BO55" s="17"/>
      <c r="BP55" s="12"/>
      <c r="BQ55" s="16"/>
      <c r="BR55" s="17"/>
    </row>
    <row r="56">
      <c r="A56" s="4"/>
      <c r="B56" s="4"/>
      <c r="C56" s="4"/>
      <c r="D56" s="4"/>
      <c r="E56" s="4"/>
      <c r="F56" s="4"/>
      <c r="G56" s="4"/>
      <c r="K56" s="4"/>
      <c r="L56" s="4"/>
      <c r="M56" s="23"/>
      <c r="N56" s="4"/>
      <c r="O56" s="4"/>
      <c r="P56" s="23"/>
      <c r="Q56" s="4"/>
      <c r="R56" s="4"/>
      <c r="S56" s="23"/>
      <c r="T56" s="4"/>
      <c r="U56" s="4"/>
      <c r="V56" s="23"/>
      <c r="W56" s="4"/>
      <c r="X56" s="4"/>
      <c r="Y56" s="23"/>
      <c r="Z56" s="4"/>
      <c r="AA56" s="4"/>
      <c r="AB56" s="23"/>
      <c r="AC56" s="4"/>
      <c r="AD56" s="4"/>
      <c r="AE56" s="23"/>
      <c r="AF56" s="4"/>
      <c r="AG56" s="4"/>
      <c r="AH56" s="23"/>
      <c r="AI56" s="4"/>
      <c r="AJ56" s="4"/>
      <c r="AK56" s="23"/>
      <c r="AL56" s="4"/>
      <c r="AM56" s="4"/>
      <c r="AN56" s="23"/>
      <c r="AO56" s="4"/>
      <c r="AP56" s="4"/>
      <c r="AQ56" s="23"/>
      <c r="AR56" s="4"/>
      <c r="AS56" s="4"/>
      <c r="AT56" s="23"/>
      <c r="AU56" s="4"/>
      <c r="AV56" s="4"/>
      <c r="AW56" s="23"/>
      <c r="AX56" s="4"/>
      <c r="AY56" s="4"/>
      <c r="AZ56" s="23"/>
      <c r="BA56" s="4"/>
      <c r="BB56" s="4"/>
      <c r="BC56" s="23"/>
      <c r="BD56" s="4"/>
      <c r="BE56" s="4"/>
      <c r="BF56" s="23"/>
      <c r="BG56" s="4"/>
      <c r="BH56" s="4"/>
      <c r="BI56" s="23"/>
      <c r="BJ56" s="4"/>
      <c r="BK56" s="4"/>
      <c r="BL56" s="23"/>
      <c r="BM56" s="4"/>
      <c r="BN56" s="4"/>
      <c r="BO56" s="23"/>
      <c r="BP56" s="4"/>
      <c r="BQ56" s="4"/>
      <c r="BR56" s="23"/>
    </row>
    <row r="57">
      <c r="A57" s="4"/>
      <c r="B57" s="4"/>
      <c r="C57" s="4"/>
      <c r="D57" s="4"/>
      <c r="E57" s="5"/>
      <c r="F57" s="5"/>
      <c r="G57" s="8"/>
      <c r="H57" s="8"/>
      <c r="I57" s="8"/>
      <c r="J57" s="8"/>
      <c r="K57" s="4"/>
      <c r="L57" s="4"/>
      <c r="M57" s="23"/>
      <c r="N57" s="4"/>
      <c r="O57" s="4"/>
      <c r="P57" s="23"/>
      <c r="Q57" s="4"/>
      <c r="R57" s="4"/>
      <c r="S57" s="23"/>
      <c r="T57" s="4"/>
      <c r="U57" s="4"/>
      <c r="V57" s="23"/>
      <c r="W57" s="4"/>
      <c r="X57" s="4"/>
      <c r="Y57" s="23"/>
      <c r="Z57" s="4"/>
      <c r="AA57" s="4"/>
      <c r="AB57" s="23"/>
      <c r="AC57" s="4"/>
      <c r="AD57" s="4"/>
      <c r="AE57" s="23"/>
      <c r="AF57" s="4"/>
      <c r="AG57" s="4"/>
      <c r="AH57" s="23"/>
      <c r="AI57" s="4"/>
      <c r="AJ57" s="4"/>
      <c r="AK57" s="23"/>
      <c r="AL57" s="4"/>
      <c r="AM57" s="4"/>
      <c r="AN57" s="23"/>
      <c r="AO57" s="4"/>
      <c r="AP57" s="4"/>
      <c r="AQ57" s="23"/>
      <c r="AR57" s="4"/>
      <c r="AS57" s="4"/>
      <c r="AT57" s="23"/>
      <c r="AU57" s="4"/>
      <c r="AV57" s="4"/>
      <c r="AW57" s="23"/>
      <c r="AX57" s="4"/>
      <c r="AY57" s="4"/>
      <c r="AZ57" s="23"/>
      <c r="BA57" s="4"/>
      <c r="BB57" s="4"/>
      <c r="BC57" s="23"/>
      <c r="BD57" s="4"/>
      <c r="BE57" s="4"/>
      <c r="BF57" s="23"/>
      <c r="BG57" s="4"/>
      <c r="BH57" s="4"/>
      <c r="BI57" s="23"/>
      <c r="BJ57" s="4"/>
      <c r="BK57" s="4"/>
      <c r="BL57" s="23"/>
      <c r="BM57" s="4"/>
      <c r="BN57" s="4"/>
      <c r="BO57" s="23"/>
      <c r="BP57" s="4"/>
      <c r="BQ57" s="4"/>
      <c r="BR57" s="23"/>
    </row>
    <row r="58">
      <c r="L58" s="20"/>
      <c r="M58" s="21"/>
      <c r="P58" s="21"/>
      <c r="S58" s="21"/>
      <c r="V58" s="21"/>
      <c r="Y58" s="21"/>
      <c r="AB58" s="21"/>
      <c r="AE58" s="21"/>
      <c r="AH58" s="21"/>
      <c r="AK58" s="21"/>
      <c r="AN58" s="21"/>
      <c r="AQ58" s="21"/>
      <c r="AT58" s="21"/>
      <c r="AW58" s="21"/>
      <c r="AZ58" s="21"/>
      <c r="BC58" s="21"/>
      <c r="BF58" s="21"/>
      <c r="BI58" s="21"/>
      <c r="BL58" s="21"/>
      <c r="BO58" s="21"/>
      <c r="BR58" s="21"/>
    </row>
    <row r="59">
      <c r="L59" s="20"/>
      <c r="M59" s="21"/>
      <c r="P59" s="21"/>
      <c r="S59" s="21"/>
      <c r="V59" s="21"/>
      <c r="Y59" s="21"/>
      <c r="AB59" s="21"/>
      <c r="AE59" s="21"/>
      <c r="AH59" s="21"/>
      <c r="AK59" s="21"/>
      <c r="AN59" s="21"/>
      <c r="AQ59" s="21"/>
      <c r="AT59" s="21"/>
      <c r="AW59" s="21"/>
      <c r="AZ59" s="21"/>
      <c r="BC59" s="21"/>
      <c r="BF59" s="21"/>
      <c r="BI59" s="21"/>
      <c r="BL59" s="21"/>
      <c r="BO59" s="21"/>
      <c r="BR59" s="21"/>
    </row>
    <row r="60">
      <c r="L60" s="20"/>
      <c r="M60" s="21"/>
      <c r="P60" s="21"/>
      <c r="S60" s="21"/>
      <c r="V60" s="21"/>
      <c r="Y60" s="21"/>
      <c r="AB60" s="21"/>
      <c r="AE60" s="21"/>
      <c r="AH60" s="21"/>
      <c r="AK60" s="21"/>
      <c r="AN60" s="21"/>
      <c r="AQ60" s="21"/>
      <c r="AT60" s="21"/>
      <c r="AW60" s="21"/>
      <c r="AZ60" s="21"/>
      <c r="BC60" s="21"/>
      <c r="BF60" s="21"/>
      <c r="BI60" s="21"/>
      <c r="BL60" s="21"/>
      <c r="BO60" s="21"/>
      <c r="BR60" s="21"/>
    </row>
    <row r="61">
      <c r="L61" s="20"/>
      <c r="M61" s="21"/>
      <c r="P61" s="21"/>
      <c r="S61" s="21"/>
      <c r="V61" s="21"/>
      <c r="Y61" s="21"/>
      <c r="AB61" s="21"/>
      <c r="AE61" s="21"/>
      <c r="AH61" s="21"/>
      <c r="AK61" s="21"/>
      <c r="AN61" s="21"/>
      <c r="AQ61" s="21"/>
      <c r="AT61" s="21"/>
      <c r="AW61" s="21"/>
      <c r="AZ61" s="21"/>
      <c r="BC61" s="21"/>
      <c r="BF61" s="21"/>
      <c r="BI61" s="21"/>
      <c r="BL61" s="21"/>
      <c r="BO61" s="21"/>
      <c r="BR61" s="21"/>
    </row>
    <row r="62">
      <c r="L62" s="20"/>
      <c r="M62" s="21"/>
      <c r="P62" s="21"/>
      <c r="S62" s="21"/>
      <c r="V62" s="21"/>
      <c r="Y62" s="21"/>
      <c r="AB62" s="21"/>
      <c r="AE62" s="21"/>
      <c r="AH62" s="21"/>
      <c r="AK62" s="21"/>
      <c r="AN62" s="21"/>
      <c r="AQ62" s="21"/>
      <c r="AT62" s="21"/>
      <c r="AW62" s="21"/>
      <c r="AZ62" s="21"/>
      <c r="BC62" s="21"/>
      <c r="BF62" s="21"/>
      <c r="BI62" s="21"/>
      <c r="BL62" s="21"/>
      <c r="BO62" s="21"/>
      <c r="BR62" s="21"/>
    </row>
    <row r="63">
      <c r="L63" s="20"/>
      <c r="M63" s="21"/>
      <c r="P63" s="21"/>
      <c r="S63" s="21"/>
      <c r="V63" s="21"/>
      <c r="Y63" s="21"/>
      <c r="AB63" s="21"/>
      <c r="AE63" s="21"/>
      <c r="AH63" s="21"/>
      <c r="AK63" s="21"/>
      <c r="AN63" s="21"/>
      <c r="AQ63" s="21"/>
      <c r="AT63" s="21"/>
      <c r="AW63" s="21"/>
      <c r="AZ63" s="21"/>
      <c r="BC63" s="21"/>
      <c r="BF63" s="21"/>
      <c r="BI63" s="21"/>
      <c r="BL63" s="21"/>
      <c r="BO63" s="21"/>
      <c r="BR63" s="21"/>
    </row>
    <row r="64">
      <c r="L64" s="20"/>
      <c r="M64" s="21"/>
      <c r="P64" s="21"/>
      <c r="S64" s="21"/>
      <c r="V64" s="21"/>
      <c r="Y64" s="21"/>
      <c r="AB64" s="21"/>
      <c r="AE64" s="21"/>
      <c r="AH64" s="21"/>
      <c r="AK64" s="21"/>
      <c r="AN64" s="21"/>
      <c r="AQ64" s="21"/>
      <c r="AT64" s="21"/>
      <c r="AW64" s="21"/>
      <c r="AZ64" s="21"/>
      <c r="BC64" s="21"/>
      <c r="BF64" s="21"/>
      <c r="BI64" s="21"/>
      <c r="BL64" s="21"/>
      <c r="BO64" s="21"/>
      <c r="BR64" s="21"/>
    </row>
    <row r="65">
      <c r="L65" s="20"/>
      <c r="M65" s="21"/>
      <c r="P65" s="21"/>
      <c r="S65" s="21"/>
      <c r="V65" s="21"/>
      <c r="Y65" s="21"/>
      <c r="AB65" s="21"/>
      <c r="AE65" s="21"/>
      <c r="AH65" s="21"/>
      <c r="AK65" s="21"/>
      <c r="AN65" s="21"/>
      <c r="AQ65" s="21"/>
      <c r="AT65" s="21"/>
      <c r="AW65" s="21"/>
      <c r="AZ65" s="21"/>
      <c r="BC65" s="21"/>
      <c r="BF65" s="21"/>
      <c r="BI65" s="21"/>
      <c r="BL65" s="21"/>
      <c r="BO65" s="21"/>
      <c r="BR65" s="21"/>
    </row>
    <row r="66">
      <c r="L66" s="20"/>
      <c r="M66" s="21"/>
      <c r="P66" s="21"/>
      <c r="S66" s="21"/>
      <c r="V66" s="21"/>
      <c r="Y66" s="21"/>
      <c r="AB66" s="21"/>
      <c r="AE66" s="21"/>
      <c r="AH66" s="21"/>
      <c r="AK66" s="21"/>
      <c r="AN66" s="21"/>
      <c r="AQ66" s="21"/>
      <c r="AT66" s="21"/>
      <c r="AW66" s="21"/>
      <c r="AZ66" s="21"/>
      <c r="BC66" s="21"/>
      <c r="BF66" s="21"/>
      <c r="BI66" s="21"/>
      <c r="BL66" s="21"/>
      <c r="BO66" s="21"/>
      <c r="BR66" s="21"/>
    </row>
    <row r="67">
      <c r="L67" s="20"/>
      <c r="M67" s="21"/>
      <c r="P67" s="21"/>
      <c r="S67" s="21"/>
      <c r="V67" s="21"/>
      <c r="Y67" s="21"/>
      <c r="AB67" s="21"/>
      <c r="AE67" s="21"/>
      <c r="AH67" s="21"/>
      <c r="AK67" s="21"/>
      <c r="AN67" s="21"/>
      <c r="AQ67" s="21"/>
      <c r="AT67" s="21"/>
      <c r="AW67" s="21"/>
      <c r="AZ67" s="21"/>
      <c r="BC67" s="21"/>
      <c r="BF67" s="21"/>
      <c r="BI67" s="21"/>
      <c r="BL67" s="21"/>
      <c r="BO67" s="21"/>
      <c r="BR67" s="21"/>
    </row>
    <row r="68">
      <c r="L68" s="20"/>
      <c r="M68" s="21"/>
      <c r="P68" s="21"/>
      <c r="S68" s="21"/>
      <c r="V68" s="21"/>
      <c r="Y68" s="21"/>
      <c r="AB68" s="21"/>
      <c r="AE68" s="21"/>
      <c r="AH68" s="21"/>
      <c r="AK68" s="21"/>
      <c r="AN68" s="21"/>
      <c r="AQ68" s="21"/>
      <c r="AT68" s="21"/>
      <c r="AW68" s="21"/>
      <c r="AZ68" s="21"/>
      <c r="BC68" s="21"/>
      <c r="BF68" s="21"/>
      <c r="BI68" s="21"/>
      <c r="BL68" s="21"/>
      <c r="BO68" s="21"/>
      <c r="BR68" s="21"/>
    </row>
    <row r="69">
      <c r="L69" s="20"/>
      <c r="M69" s="21"/>
      <c r="P69" s="21"/>
      <c r="S69" s="21"/>
      <c r="V69" s="21"/>
      <c r="Y69" s="21"/>
      <c r="AB69" s="21"/>
      <c r="AE69" s="21"/>
      <c r="AH69" s="21"/>
      <c r="AK69" s="21"/>
      <c r="AN69" s="21"/>
      <c r="AQ69" s="21"/>
      <c r="AT69" s="21"/>
      <c r="AW69" s="21"/>
      <c r="AZ69" s="21"/>
      <c r="BC69" s="21"/>
      <c r="BF69" s="21"/>
      <c r="BI69" s="21"/>
      <c r="BL69" s="21"/>
      <c r="BO69" s="21"/>
      <c r="BR69" s="21"/>
    </row>
    <row r="70">
      <c r="L70" s="20"/>
      <c r="M70" s="21"/>
      <c r="P70" s="21"/>
      <c r="S70" s="21"/>
      <c r="V70" s="21"/>
      <c r="Y70" s="21"/>
      <c r="AB70" s="21"/>
      <c r="AE70" s="21"/>
      <c r="AH70" s="21"/>
      <c r="AK70" s="21"/>
      <c r="AN70" s="21"/>
      <c r="AQ70" s="21"/>
      <c r="AT70" s="21"/>
      <c r="AW70" s="21"/>
      <c r="AZ70" s="21"/>
      <c r="BC70" s="21"/>
      <c r="BF70" s="21"/>
      <c r="BI70" s="21"/>
      <c r="BL70" s="21"/>
      <c r="BO70" s="21"/>
      <c r="BR70" s="21"/>
    </row>
    <row r="71">
      <c r="L71" s="20"/>
      <c r="M71" s="21"/>
      <c r="P71" s="21"/>
      <c r="S71" s="21"/>
      <c r="V71" s="21"/>
      <c r="Y71" s="21"/>
      <c r="AB71" s="21"/>
      <c r="AE71" s="21"/>
      <c r="AH71" s="21"/>
      <c r="AK71" s="21"/>
      <c r="AN71" s="21"/>
      <c r="AQ71" s="21"/>
      <c r="AT71" s="21"/>
      <c r="AW71" s="21"/>
      <c r="AZ71" s="21"/>
      <c r="BC71" s="21"/>
      <c r="BF71" s="21"/>
      <c r="BI71" s="21"/>
      <c r="BL71" s="21"/>
      <c r="BO71" s="21"/>
      <c r="BR71" s="21"/>
    </row>
    <row r="72">
      <c r="L72" s="20"/>
      <c r="M72" s="21"/>
      <c r="P72" s="21"/>
      <c r="S72" s="21"/>
      <c r="V72" s="21"/>
      <c r="Y72" s="21"/>
      <c r="AB72" s="21"/>
      <c r="AE72" s="21"/>
      <c r="AH72" s="21"/>
      <c r="AK72" s="21"/>
      <c r="AN72" s="21"/>
      <c r="AQ72" s="21"/>
      <c r="AT72" s="21"/>
      <c r="AW72" s="21"/>
      <c r="AZ72" s="21"/>
      <c r="BC72" s="21"/>
      <c r="BF72" s="21"/>
      <c r="BI72" s="21"/>
      <c r="BL72" s="21"/>
      <c r="BO72" s="21"/>
      <c r="BR72" s="21"/>
    </row>
    <row r="73">
      <c r="L73" s="20"/>
      <c r="M73" s="21"/>
      <c r="P73" s="21"/>
      <c r="S73" s="21"/>
      <c r="V73" s="21"/>
      <c r="Y73" s="21"/>
      <c r="AB73" s="21"/>
      <c r="AE73" s="21"/>
      <c r="AH73" s="21"/>
      <c r="AK73" s="21"/>
      <c r="AN73" s="21"/>
      <c r="AQ73" s="21"/>
      <c r="AT73" s="21"/>
      <c r="AW73" s="21"/>
      <c r="AZ73" s="21"/>
      <c r="BC73" s="21"/>
      <c r="BF73" s="21"/>
      <c r="BI73" s="21"/>
      <c r="BL73" s="21"/>
      <c r="BO73" s="21"/>
      <c r="BR73" s="21"/>
    </row>
    <row r="74">
      <c r="L74" s="20"/>
      <c r="M74" s="21"/>
      <c r="P74" s="21"/>
      <c r="S74" s="21"/>
      <c r="V74" s="21"/>
      <c r="Y74" s="21"/>
      <c r="AB74" s="21"/>
      <c r="AE74" s="21"/>
      <c r="AH74" s="21"/>
      <c r="AK74" s="21"/>
      <c r="AN74" s="21"/>
      <c r="AQ74" s="21"/>
      <c r="AT74" s="21"/>
      <c r="AW74" s="21"/>
      <c r="AZ74" s="21"/>
      <c r="BC74" s="21"/>
      <c r="BF74" s="21"/>
      <c r="BI74" s="21"/>
      <c r="BL74" s="21"/>
      <c r="BO74" s="21"/>
      <c r="BR74" s="21"/>
    </row>
    <row r="75">
      <c r="L75" s="20"/>
      <c r="M75" s="21"/>
      <c r="P75" s="21"/>
      <c r="S75" s="21"/>
      <c r="V75" s="21"/>
      <c r="Y75" s="21"/>
      <c r="AB75" s="21"/>
      <c r="AE75" s="21"/>
      <c r="AH75" s="21"/>
      <c r="AK75" s="21"/>
      <c r="AN75" s="21"/>
      <c r="AQ75" s="21"/>
      <c r="AT75" s="21"/>
      <c r="AW75" s="21"/>
      <c r="AZ75" s="21"/>
      <c r="BC75" s="21"/>
      <c r="BF75" s="21"/>
      <c r="BI75" s="21"/>
      <c r="BL75" s="21"/>
      <c r="BO75" s="21"/>
      <c r="BR75" s="21"/>
    </row>
    <row r="76">
      <c r="L76" s="20"/>
      <c r="M76" s="21"/>
      <c r="P76" s="21"/>
      <c r="S76" s="21"/>
      <c r="V76" s="21"/>
      <c r="Y76" s="21"/>
      <c r="AB76" s="21"/>
      <c r="AE76" s="21"/>
      <c r="AH76" s="21"/>
      <c r="AK76" s="21"/>
      <c r="AN76" s="21"/>
      <c r="AQ76" s="21"/>
      <c r="AT76" s="21"/>
      <c r="AW76" s="21"/>
      <c r="AZ76" s="21"/>
      <c r="BC76" s="21"/>
      <c r="BF76" s="21"/>
      <c r="BI76" s="21"/>
      <c r="BL76" s="21"/>
      <c r="BO76" s="21"/>
      <c r="BR76" s="21"/>
    </row>
    <row r="77">
      <c r="L77" s="20"/>
      <c r="M77" s="21"/>
      <c r="P77" s="21"/>
      <c r="S77" s="21"/>
      <c r="V77" s="21"/>
      <c r="Y77" s="21"/>
      <c r="AB77" s="21"/>
      <c r="AE77" s="21"/>
      <c r="AH77" s="21"/>
      <c r="AK77" s="21"/>
      <c r="AN77" s="21"/>
      <c r="AQ77" s="21"/>
      <c r="AT77" s="21"/>
      <c r="AW77" s="21"/>
      <c r="AZ77" s="21"/>
      <c r="BC77" s="21"/>
      <c r="BF77" s="21"/>
      <c r="BI77" s="21"/>
      <c r="BL77" s="21"/>
      <c r="BO77" s="21"/>
      <c r="BR77" s="21"/>
    </row>
    <row r="78">
      <c r="L78" s="20"/>
      <c r="M78" s="21"/>
      <c r="P78" s="21"/>
      <c r="S78" s="21"/>
      <c r="V78" s="21"/>
      <c r="Y78" s="21"/>
      <c r="AB78" s="21"/>
      <c r="AE78" s="21"/>
      <c r="AH78" s="21"/>
      <c r="AK78" s="21"/>
      <c r="AN78" s="21"/>
      <c r="AQ78" s="21"/>
      <c r="AT78" s="21"/>
      <c r="AW78" s="21"/>
      <c r="AZ78" s="21"/>
      <c r="BC78" s="21"/>
      <c r="BF78" s="21"/>
      <c r="BI78" s="21"/>
      <c r="BL78" s="21"/>
      <c r="BO78" s="21"/>
      <c r="BR78" s="21"/>
    </row>
    <row r="79">
      <c r="L79" s="20"/>
      <c r="M79" s="21"/>
      <c r="P79" s="21"/>
      <c r="S79" s="21"/>
      <c r="V79" s="21"/>
      <c r="Y79" s="21"/>
      <c r="AB79" s="21"/>
      <c r="AE79" s="21"/>
      <c r="AH79" s="21"/>
      <c r="AK79" s="21"/>
      <c r="AN79" s="21"/>
      <c r="AQ79" s="21"/>
      <c r="AT79" s="21"/>
      <c r="AW79" s="21"/>
      <c r="AZ79" s="21"/>
      <c r="BC79" s="21"/>
      <c r="BF79" s="21"/>
      <c r="BI79" s="21"/>
      <c r="BL79" s="21"/>
      <c r="BO79" s="21"/>
      <c r="BR79" s="21"/>
    </row>
    <row r="80">
      <c r="L80" s="20"/>
      <c r="M80" s="21"/>
      <c r="P80" s="21"/>
      <c r="S80" s="21"/>
      <c r="V80" s="21"/>
      <c r="Y80" s="21"/>
      <c r="AB80" s="21"/>
      <c r="AE80" s="21"/>
      <c r="AH80" s="21"/>
      <c r="AK80" s="21"/>
      <c r="AN80" s="21"/>
      <c r="AQ80" s="21"/>
      <c r="AT80" s="21"/>
      <c r="AW80" s="21"/>
      <c r="AZ80" s="21"/>
      <c r="BC80" s="21"/>
      <c r="BF80" s="21"/>
      <c r="BI80" s="21"/>
      <c r="BL80" s="21"/>
      <c r="BO80" s="21"/>
      <c r="BR80" s="21"/>
    </row>
    <row r="81">
      <c r="L81" s="20"/>
      <c r="M81" s="21"/>
      <c r="P81" s="21"/>
      <c r="S81" s="21"/>
      <c r="V81" s="21"/>
      <c r="Y81" s="21"/>
      <c r="AB81" s="21"/>
      <c r="AE81" s="21"/>
      <c r="AH81" s="21"/>
      <c r="AK81" s="21"/>
      <c r="AN81" s="21"/>
      <c r="AQ81" s="21"/>
      <c r="AT81" s="21"/>
      <c r="AW81" s="21"/>
      <c r="AZ81" s="21"/>
      <c r="BC81" s="21"/>
      <c r="BF81" s="21"/>
      <c r="BI81" s="21"/>
      <c r="BL81" s="21"/>
      <c r="BO81" s="21"/>
      <c r="BR81" s="21"/>
    </row>
    <row r="82">
      <c r="L82" s="20"/>
      <c r="M82" s="21"/>
      <c r="P82" s="21"/>
      <c r="S82" s="21"/>
      <c r="V82" s="21"/>
      <c r="Y82" s="21"/>
      <c r="AB82" s="21"/>
      <c r="AE82" s="21"/>
      <c r="AH82" s="21"/>
      <c r="AK82" s="21"/>
      <c r="AN82" s="21"/>
      <c r="AQ82" s="21"/>
      <c r="AT82" s="21"/>
      <c r="AW82" s="21"/>
      <c r="AZ82" s="21"/>
      <c r="BC82" s="21"/>
      <c r="BF82" s="21"/>
      <c r="BI82" s="21"/>
      <c r="BL82" s="21"/>
      <c r="BO82" s="21"/>
      <c r="BR82" s="21"/>
    </row>
    <row r="83">
      <c r="L83" s="20"/>
      <c r="M83" s="21"/>
      <c r="P83" s="21"/>
      <c r="S83" s="21"/>
      <c r="V83" s="21"/>
      <c r="Y83" s="21"/>
      <c r="AB83" s="21"/>
      <c r="AE83" s="21"/>
      <c r="AH83" s="21"/>
      <c r="AK83" s="21"/>
      <c r="AN83" s="21"/>
      <c r="AQ83" s="21"/>
      <c r="AT83" s="21"/>
      <c r="AW83" s="21"/>
      <c r="AZ83" s="21"/>
      <c r="BC83" s="21"/>
      <c r="BF83" s="21"/>
      <c r="BI83" s="21"/>
      <c r="BL83" s="21"/>
      <c r="BO83" s="21"/>
      <c r="BR83" s="21"/>
    </row>
    <row r="84">
      <c r="L84" s="20"/>
      <c r="M84" s="21"/>
      <c r="P84" s="21"/>
      <c r="S84" s="21"/>
      <c r="V84" s="21"/>
      <c r="Y84" s="21"/>
      <c r="AB84" s="21"/>
      <c r="AE84" s="21"/>
      <c r="AH84" s="21"/>
      <c r="AK84" s="21"/>
      <c r="AN84" s="21"/>
      <c r="AQ84" s="21"/>
      <c r="AT84" s="21"/>
      <c r="AW84" s="21"/>
      <c r="AZ84" s="21"/>
      <c r="BC84" s="21"/>
      <c r="BF84" s="21"/>
      <c r="BI84" s="21"/>
      <c r="BL84" s="21"/>
      <c r="BO84" s="21"/>
      <c r="BR84" s="21"/>
    </row>
    <row r="85">
      <c r="L85" s="20"/>
      <c r="M85" s="21"/>
      <c r="P85" s="21"/>
      <c r="S85" s="21"/>
      <c r="V85" s="21"/>
      <c r="Y85" s="21"/>
      <c r="AB85" s="21"/>
      <c r="AE85" s="21"/>
      <c r="AH85" s="21"/>
      <c r="AK85" s="21"/>
      <c r="AN85" s="21"/>
      <c r="AQ85" s="21"/>
      <c r="AT85" s="21"/>
      <c r="AW85" s="21"/>
      <c r="AZ85" s="21"/>
      <c r="BC85" s="21"/>
      <c r="BF85" s="21"/>
      <c r="BI85" s="21"/>
      <c r="BL85" s="21"/>
      <c r="BO85" s="21"/>
      <c r="BR85" s="21"/>
    </row>
    <row r="86">
      <c r="L86" s="20"/>
      <c r="M86" s="21"/>
      <c r="P86" s="21"/>
      <c r="S86" s="21"/>
      <c r="V86" s="21"/>
      <c r="Y86" s="21"/>
      <c r="AB86" s="21"/>
      <c r="AE86" s="21"/>
      <c r="AH86" s="21"/>
      <c r="AK86" s="21"/>
      <c r="AN86" s="21"/>
      <c r="AQ86" s="21"/>
      <c r="AT86" s="21"/>
      <c r="AW86" s="21"/>
      <c r="AZ86" s="21"/>
      <c r="BC86" s="21"/>
      <c r="BF86" s="21"/>
      <c r="BI86" s="21"/>
      <c r="BL86" s="21"/>
      <c r="BO86" s="21"/>
      <c r="BR86" s="21"/>
    </row>
    <row r="87">
      <c r="L87" s="20"/>
      <c r="M87" s="21"/>
      <c r="P87" s="21"/>
      <c r="S87" s="21"/>
      <c r="V87" s="21"/>
      <c r="Y87" s="21"/>
      <c r="AB87" s="21"/>
      <c r="AE87" s="21"/>
      <c r="AH87" s="21"/>
      <c r="AK87" s="21"/>
      <c r="AN87" s="21"/>
      <c r="AQ87" s="21"/>
      <c r="AT87" s="21"/>
      <c r="AW87" s="21"/>
      <c r="AZ87" s="21"/>
      <c r="BC87" s="21"/>
      <c r="BF87" s="21"/>
      <c r="BI87" s="21"/>
      <c r="BL87" s="21"/>
      <c r="BO87" s="21"/>
      <c r="BR87" s="21"/>
    </row>
    <row r="88">
      <c r="L88" s="20"/>
      <c r="M88" s="21"/>
      <c r="P88" s="21"/>
      <c r="S88" s="21"/>
      <c r="V88" s="21"/>
      <c r="Y88" s="21"/>
      <c r="AB88" s="21"/>
      <c r="AE88" s="21"/>
      <c r="AH88" s="21"/>
      <c r="AK88" s="21"/>
      <c r="AN88" s="21"/>
      <c r="AQ88" s="21"/>
      <c r="AT88" s="21"/>
      <c r="AW88" s="21"/>
      <c r="AZ88" s="21"/>
      <c r="BC88" s="21"/>
      <c r="BF88" s="21"/>
      <c r="BI88" s="21"/>
      <c r="BL88" s="21"/>
      <c r="BO88" s="21"/>
      <c r="BR88" s="21"/>
    </row>
    <row r="89">
      <c r="L89" s="20"/>
      <c r="M89" s="21"/>
      <c r="P89" s="21"/>
      <c r="S89" s="21"/>
      <c r="V89" s="21"/>
      <c r="Y89" s="21"/>
      <c r="AB89" s="21"/>
      <c r="AE89" s="21"/>
      <c r="AH89" s="21"/>
      <c r="AK89" s="21"/>
      <c r="AN89" s="21"/>
      <c r="AQ89" s="21"/>
      <c r="AT89" s="21"/>
      <c r="AW89" s="21"/>
      <c r="AZ89" s="21"/>
      <c r="BC89" s="21"/>
      <c r="BF89" s="21"/>
      <c r="BI89" s="21"/>
      <c r="BL89" s="21"/>
      <c r="BO89" s="21"/>
      <c r="BR89" s="21"/>
    </row>
    <row r="90">
      <c r="L90" s="20"/>
      <c r="M90" s="21"/>
      <c r="P90" s="21"/>
      <c r="S90" s="21"/>
      <c r="V90" s="21"/>
      <c r="Y90" s="21"/>
      <c r="AB90" s="21"/>
      <c r="AE90" s="21"/>
      <c r="AH90" s="21"/>
      <c r="AK90" s="21"/>
      <c r="AN90" s="21"/>
      <c r="AQ90" s="21"/>
      <c r="AT90" s="21"/>
      <c r="AW90" s="21"/>
      <c r="AZ90" s="21"/>
      <c r="BC90" s="21"/>
      <c r="BF90" s="21"/>
      <c r="BI90" s="21"/>
      <c r="BL90" s="21"/>
      <c r="BO90" s="21"/>
      <c r="BR90" s="21"/>
    </row>
    <row r="91">
      <c r="L91" s="20"/>
      <c r="M91" s="21"/>
      <c r="P91" s="21"/>
      <c r="S91" s="21"/>
      <c r="V91" s="21"/>
      <c r="Y91" s="21"/>
      <c r="AB91" s="21"/>
      <c r="AE91" s="21"/>
      <c r="AH91" s="21"/>
      <c r="AK91" s="21"/>
      <c r="AN91" s="21"/>
      <c r="AQ91" s="21"/>
      <c r="AT91" s="21"/>
      <c r="AW91" s="21"/>
      <c r="AZ91" s="21"/>
      <c r="BC91" s="21"/>
      <c r="BF91" s="21"/>
      <c r="BI91" s="21"/>
      <c r="BL91" s="21"/>
      <c r="BO91" s="21"/>
      <c r="BR91" s="21"/>
    </row>
    <row r="92">
      <c r="L92" s="20"/>
      <c r="M92" s="21"/>
      <c r="P92" s="21"/>
      <c r="S92" s="21"/>
      <c r="V92" s="21"/>
      <c r="Y92" s="21"/>
      <c r="AB92" s="21"/>
      <c r="AE92" s="21"/>
      <c r="AH92" s="21"/>
      <c r="AK92" s="21"/>
      <c r="AN92" s="21"/>
      <c r="AQ92" s="21"/>
      <c r="AT92" s="21"/>
      <c r="AW92" s="21"/>
      <c r="AZ92" s="21"/>
      <c r="BC92" s="21"/>
      <c r="BF92" s="21"/>
      <c r="BI92" s="21"/>
      <c r="BL92" s="21"/>
      <c r="BO92" s="21"/>
      <c r="BR92" s="21"/>
    </row>
    <row r="93">
      <c r="L93" s="20"/>
      <c r="M93" s="21"/>
      <c r="P93" s="21"/>
      <c r="S93" s="21"/>
      <c r="V93" s="21"/>
      <c r="Y93" s="21"/>
      <c r="AB93" s="21"/>
      <c r="AE93" s="21"/>
      <c r="AH93" s="21"/>
      <c r="AK93" s="21"/>
      <c r="AN93" s="21"/>
      <c r="AQ93" s="21"/>
      <c r="AT93" s="21"/>
      <c r="AW93" s="21"/>
      <c r="AZ93" s="21"/>
      <c r="BC93" s="21"/>
      <c r="BF93" s="21"/>
      <c r="BI93" s="21"/>
      <c r="BL93" s="21"/>
      <c r="BO93" s="21"/>
      <c r="BR93" s="21"/>
    </row>
    <row r="94">
      <c r="L94" s="20"/>
      <c r="M94" s="21"/>
      <c r="P94" s="21"/>
      <c r="S94" s="21"/>
      <c r="V94" s="21"/>
      <c r="Y94" s="21"/>
      <c r="AB94" s="21"/>
      <c r="AE94" s="21"/>
      <c r="AH94" s="21"/>
      <c r="AK94" s="21"/>
      <c r="AN94" s="21"/>
      <c r="AQ94" s="21"/>
      <c r="AT94" s="21"/>
      <c r="AW94" s="21"/>
      <c r="AZ94" s="21"/>
      <c r="BC94" s="21"/>
      <c r="BF94" s="21"/>
      <c r="BI94" s="21"/>
      <c r="BL94" s="21"/>
      <c r="BO94" s="21"/>
      <c r="BR94" s="21"/>
    </row>
    <row r="95">
      <c r="L95" s="20"/>
      <c r="M95" s="21"/>
      <c r="P95" s="21"/>
      <c r="S95" s="21"/>
      <c r="V95" s="21"/>
      <c r="Y95" s="21"/>
      <c r="AB95" s="21"/>
      <c r="AE95" s="21"/>
      <c r="AH95" s="21"/>
      <c r="AK95" s="21"/>
      <c r="AN95" s="21"/>
      <c r="AQ95" s="21"/>
      <c r="AT95" s="21"/>
      <c r="AW95" s="21"/>
      <c r="AZ95" s="21"/>
      <c r="BC95" s="21"/>
      <c r="BF95" s="21"/>
      <c r="BI95" s="21"/>
      <c r="BL95" s="21"/>
      <c r="BO95" s="21"/>
      <c r="BR95" s="21"/>
    </row>
    <row r="96">
      <c r="L96" s="20"/>
      <c r="M96" s="21"/>
      <c r="P96" s="21"/>
      <c r="S96" s="21"/>
      <c r="V96" s="21"/>
      <c r="Y96" s="21"/>
      <c r="AB96" s="21"/>
      <c r="AE96" s="21"/>
      <c r="AH96" s="21"/>
      <c r="AK96" s="21"/>
      <c r="AN96" s="21"/>
      <c r="AQ96" s="21"/>
      <c r="AT96" s="21"/>
      <c r="AW96" s="21"/>
      <c r="AZ96" s="21"/>
      <c r="BC96" s="21"/>
      <c r="BF96" s="21"/>
      <c r="BI96" s="21"/>
      <c r="BL96" s="21"/>
      <c r="BO96" s="21"/>
      <c r="BR96" s="21"/>
    </row>
    <row r="97">
      <c r="L97" s="20"/>
      <c r="M97" s="21"/>
      <c r="P97" s="21"/>
      <c r="S97" s="21"/>
      <c r="V97" s="21"/>
      <c r="Y97" s="21"/>
      <c r="AB97" s="21"/>
      <c r="AE97" s="21"/>
      <c r="AH97" s="21"/>
      <c r="AK97" s="21"/>
      <c r="AN97" s="21"/>
      <c r="AQ97" s="21"/>
      <c r="AT97" s="21"/>
      <c r="AW97" s="21"/>
      <c r="AZ97" s="21"/>
      <c r="BC97" s="21"/>
      <c r="BF97" s="21"/>
      <c r="BI97" s="21"/>
      <c r="BL97" s="21"/>
      <c r="BO97" s="21"/>
      <c r="BR97" s="21"/>
    </row>
    <row r="98">
      <c r="L98" s="20"/>
      <c r="M98" s="21"/>
      <c r="P98" s="21"/>
      <c r="S98" s="21"/>
      <c r="V98" s="21"/>
      <c r="Y98" s="21"/>
      <c r="AB98" s="21"/>
      <c r="AE98" s="21"/>
      <c r="AH98" s="21"/>
      <c r="AK98" s="21"/>
      <c r="AN98" s="21"/>
      <c r="AQ98" s="21"/>
      <c r="AT98" s="21"/>
      <c r="AW98" s="21"/>
      <c r="AZ98" s="21"/>
      <c r="BC98" s="21"/>
      <c r="BF98" s="21"/>
      <c r="BI98" s="21"/>
      <c r="BL98" s="21"/>
      <c r="BO98" s="21"/>
      <c r="BR98" s="21"/>
    </row>
    <row r="99">
      <c r="L99" s="20"/>
      <c r="M99" s="21"/>
      <c r="P99" s="21"/>
      <c r="S99" s="21"/>
      <c r="V99" s="21"/>
      <c r="Y99" s="21"/>
      <c r="AB99" s="21"/>
      <c r="AE99" s="21"/>
      <c r="AH99" s="21"/>
      <c r="AK99" s="21"/>
      <c r="AN99" s="21"/>
      <c r="AQ99" s="21"/>
      <c r="AT99" s="21"/>
      <c r="AW99" s="21"/>
      <c r="AZ99" s="21"/>
      <c r="BC99" s="21"/>
      <c r="BF99" s="21"/>
      <c r="BI99" s="21"/>
      <c r="BL99" s="21"/>
      <c r="BO99" s="21"/>
      <c r="BR99" s="21"/>
    </row>
    <row r="100">
      <c r="L100" s="20"/>
      <c r="M100" s="21"/>
      <c r="P100" s="21"/>
      <c r="S100" s="21"/>
      <c r="V100" s="21"/>
      <c r="Y100" s="21"/>
      <c r="AB100" s="21"/>
      <c r="AE100" s="21"/>
      <c r="AH100" s="21"/>
      <c r="AK100" s="21"/>
      <c r="AN100" s="21"/>
      <c r="AQ100" s="21"/>
      <c r="AT100" s="21"/>
      <c r="AW100" s="21"/>
      <c r="AZ100" s="21"/>
      <c r="BC100" s="21"/>
      <c r="BF100" s="21"/>
      <c r="BI100" s="21"/>
      <c r="BL100" s="21"/>
      <c r="BO100" s="21"/>
      <c r="BR100" s="21"/>
    </row>
    <row r="101">
      <c r="L101" s="20"/>
      <c r="M101" s="21"/>
      <c r="P101" s="21"/>
      <c r="S101" s="21"/>
      <c r="V101" s="21"/>
      <c r="Y101" s="21"/>
      <c r="AB101" s="21"/>
      <c r="AE101" s="21"/>
      <c r="AH101" s="21"/>
      <c r="AK101" s="21"/>
      <c r="AN101" s="21"/>
      <c r="AQ101" s="21"/>
      <c r="AT101" s="21"/>
      <c r="AW101" s="21"/>
      <c r="AZ101" s="21"/>
      <c r="BC101" s="21"/>
      <c r="BF101" s="21"/>
      <c r="BI101" s="21"/>
      <c r="BL101" s="21"/>
      <c r="BO101" s="21"/>
      <c r="BR101" s="21"/>
    </row>
    <row r="102">
      <c r="L102" s="20"/>
      <c r="M102" s="21"/>
      <c r="P102" s="21"/>
      <c r="S102" s="21"/>
      <c r="V102" s="21"/>
      <c r="Y102" s="21"/>
      <c r="AB102" s="21"/>
      <c r="AE102" s="21"/>
      <c r="AH102" s="21"/>
      <c r="AK102" s="21"/>
      <c r="AN102" s="21"/>
      <c r="AQ102" s="21"/>
      <c r="AT102" s="21"/>
      <c r="AW102" s="21"/>
      <c r="AZ102" s="21"/>
      <c r="BC102" s="21"/>
      <c r="BF102" s="21"/>
      <c r="BI102" s="21"/>
      <c r="BL102" s="21"/>
      <c r="BO102" s="21"/>
      <c r="BR102" s="21"/>
    </row>
    <row r="103">
      <c r="L103" s="20"/>
      <c r="M103" s="21"/>
      <c r="P103" s="21"/>
      <c r="S103" s="21"/>
      <c r="V103" s="21"/>
      <c r="Y103" s="21"/>
      <c r="AB103" s="21"/>
      <c r="AE103" s="21"/>
      <c r="AH103" s="21"/>
      <c r="AK103" s="21"/>
      <c r="AN103" s="21"/>
      <c r="AQ103" s="21"/>
      <c r="AT103" s="21"/>
      <c r="AW103" s="21"/>
      <c r="AZ103" s="21"/>
      <c r="BC103" s="21"/>
      <c r="BF103" s="21"/>
      <c r="BI103" s="21"/>
      <c r="BL103" s="21"/>
      <c r="BO103" s="21"/>
      <c r="BR103" s="21"/>
    </row>
    <row r="104">
      <c r="L104" s="20"/>
      <c r="M104" s="21"/>
      <c r="P104" s="21"/>
      <c r="S104" s="21"/>
      <c r="V104" s="21"/>
      <c r="Y104" s="21"/>
      <c r="AB104" s="21"/>
      <c r="AE104" s="21"/>
      <c r="AH104" s="21"/>
      <c r="AK104" s="21"/>
      <c r="AN104" s="21"/>
      <c r="AQ104" s="21"/>
      <c r="AT104" s="21"/>
      <c r="AW104" s="21"/>
      <c r="AZ104" s="21"/>
      <c r="BC104" s="21"/>
      <c r="BF104" s="21"/>
      <c r="BI104" s="21"/>
      <c r="BL104" s="21"/>
      <c r="BO104" s="21"/>
      <c r="BR104" s="21"/>
    </row>
    <row r="105">
      <c r="L105" s="20"/>
      <c r="M105" s="21"/>
      <c r="P105" s="21"/>
      <c r="S105" s="21"/>
      <c r="V105" s="21"/>
      <c r="Y105" s="21"/>
      <c r="AB105" s="21"/>
      <c r="AE105" s="21"/>
      <c r="AH105" s="21"/>
      <c r="AK105" s="21"/>
      <c r="AN105" s="21"/>
      <c r="AQ105" s="21"/>
      <c r="AT105" s="21"/>
      <c r="AW105" s="21"/>
      <c r="AZ105" s="21"/>
      <c r="BC105" s="21"/>
      <c r="BF105" s="21"/>
      <c r="BI105" s="21"/>
      <c r="BL105" s="21"/>
      <c r="BO105" s="21"/>
      <c r="BR105" s="21"/>
    </row>
    <row r="106">
      <c r="A106" s="37"/>
      <c r="B106" s="37"/>
      <c r="C106" s="37"/>
      <c r="D106" s="38" t="s">
        <v>304</v>
      </c>
      <c r="E106" s="8"/>
      <c r="F106" s="8"/>
      <c r="G106" s="8"/>
      <c r="L106" s="20"/>
      <c r="M106" s="21"/>
      <c r="P106" s="21"/>
      <c r="S106" s="21"/>
      <c r="V106" s="21"/>
      <c r="Y106" s="21"/>
      <c r="AB106" s="21"/>
      <c r="AE106" s="21"/>
      <c r="AH106" s="21"/>
      <c r="AK106" s="21"/>
      <c r="AN106" s="21"/>
      <c r="AQ106" s="21"/>
      <c r="AT106" s="21"/>
      <c r="AW106" s="21"/>
      <c r="AZ106" s="21"/>
      <c r="BC106" s="21"/>
      <c r="BF106" s="21"/>
      <c r="BI106" s="21"/>
      <c r="BL106" s="21"/>
      <c r="BO106" s="21"/>
      <c r="BR106" s="21"/>
    </row>
    <row r="107">
      <c r="A107" s="39"/>
      <c r="B107" s="39"/>
      <c r="C107" s="39"/>
      <c r="D107" s="39">
        <f>IFERROR(COUNTA(D2:D54)-2,"")</f>
        <v>32</v>
      </c>
      <c r="E107" s="8"/>
      <c r="F107" s="8"/>
      <c r="G107" s="8" t="s">
        <v>305</v>
      </c>
      <c r="L107" s="20"/>
      <c r="M107" s="21"/>
      <c r="P107" s="21"/>
      <c r="S107" s="21"/>
      <c r="V107" s="21"/>
      <c r="Y107" s="21"/>
      <c r="AB107" s="21"/>
      <c r="AE107" s="21"/>
      <c r="AH107" s="21"/>
      <c r="AK107" s="21"/>
      <c r="AN107" s="21"/>
      <c r="AQ107" s="21"/>
      <c r="AT107" s="21"/>
      <c r="AW107" s="21"/>
      <c r="AZ107" s="21"/>
      <c r="BC107" s="21"/>
      <c r="BF107" s="21"/>
      <c r="BI107" s="21"/>
      <c r="BL107" s="21"/>
      <c r="BO107" s="21"/>
      <c r="BR107" s="21"/>
    </row>
    <row r="108">
      <c r="A108" s="39"/>
      <c r="B108" s="39"/>
      <c r="C108" s="39"/>
      <c r="D108" s="39">
        <f>FLOOR(D107/2, 1) +1</f>
        <v>17</v>
      </c>
      <c r="E108" s="8"/>
      <c r="F108" s="8"/>
      <c r="G108" s="8" t="s">
        <v>306</v>
      </c>
      <c r="L108" s="20"/>
      <c r="M108" s="21"/>
      <c r="P108" s="21"/>
      <c r="S108" s="21"/>
      <c r="V108" s="21"/>
      <c r="Y108" s="21"/>
      <c r="AB108" s="21"/>
      <c r="AE108" s="21"/>
      <c r="AH108" s="21"/>
      <c r="AK108" s="21"/>
      <c r="AN108" s="21"/>
      <c r="AQ108" s="21"/>
      <c r="AT108" s="21"/>
      <c r="AW108" s="21"/>
      <c r="AZ108" s="21"/>
      <c r="BC108" s="21"/>
      <c r="BF108" s="21"/>
      <c r="BI108" s="21"/>
      <c r="BL108" s="21"/>
      <c r="BO108" s="21"/>
      <c r="BR108" s="21"/>
    </row>
    <row r="109">
      <c r="A109" s="39"/>
      <c r="B109" s="39"/>
      <c r="C109" s="39"/>
      <c r="D109" s="39">
        <f>IFERROR(COUNTA(D55:D106)-2,"")</f>
        <v>0</v>
      </c>
      <c r="E109" s="8"/>
      <c r="F109" s="8"/>
      <c r="G109" s="8" t="s">
        <v>307</v>
      </c>
      <c r="L109" s="20"/>
      <c r="M109" s="21"/>
      <c r="P109" s="21"/>
      <c r="S109" s="21"/>
      <c r="V109" s="21"/>
      <c r="Y109" s="21"/>
      <c r="AB109" s="21"/>
      <c r="AE109" s="21"/>
      <c r="AH109" s="21"/>
      <c r="AK109" s="21"/>
      <c r="AN109" s="21"/>
      <c r="AQ109" s="21"/>
      <c r="AT109" s="21"/>
      <c r="AW109" s="21"/>
      <c r="AZ109" s="21"/>
      <c r="BC109" s="21"/>
      <c r="BF109" s="21"/>
      <c r="BI109" s="21"/>
      <c r="BL109" s="21"/>
      <c r="BO109" s="21"/>
      <c r="BR109" s="21"/>
    </row>
    <row r="110">
      <c r="L110" s="20"/>
      <c r="M110" s="21"/>
      <c r="P110" s="21"/>
      <c r="S110" s="21"/>
      <c r="V110" s="21"/>
      <c r="Y110" s="21"/>
      <c r="AB110" s="21"/>
      <c r="AE110" s="21"/>
      <c r="AH110" s="21"/>
      <c r="AK110" s="21"/>
      <c r="AN110" s="21"/>
      <c r="AQ110" s="21"/>
      <c r="AT110" s="21"/>
      <c r="AW110" s="21"/>
      <c r="AZ110" s="21"/>
      <c r="BC110" s="21"/>
      <c r="BF110" s="21"/>
      <c r="BI110" s="21"/>
      <c r="BL110" s="21"/>
      <c r="BO110" s="21"/>
      <c r="BR110" s="21"/>
    </row>
    <row r="111">
      <c r="L111" s="20"/>
      <c r="M111" s="21"/>
      <c r="P111" s="21"/>
      <c r="S111" s="21"/>
      <c r="V111" s="21"/>
      <c r="Y111" s="21"/>
      <c r="AB111" s="21"/>
      <c r="AE111" s="21"/>
      <c r="AH111" s="21"/>
      <c r="AK111" s="21"/>
      <c r="AN111" s="21"/>
      <c r="AQ111" s="21"/>
      <c r="AT111" s="21"/>
      <c r="AW111" s="21"/>
      <c r="AZ111" s="21"/>
      <c r="BC111" s="21"/>
      <c r="BF111" s="21"/>
      <c r="BI111" s="21"/>
      <c r="BL111" s="21"/>
      <c r="BO111" s="21"/>
      <c r="BR111" s="21"/>
    </row>
    <row r="112">
      <c r="L112" s="20"/>
      <c r="M112" s="21"/>
      <c r="P112" s="21"/>
      <c r="S112" s="21"/>
      <c r="V112" s="21"/>
      <c r="Y112" s="21"/>
      <c r="AB112" s="21"/>
      <c r="AE112" s="21"/>
      <c r="AH112" s="21"/>
      <c r="AK112" s="21"/>
      <c r="AN112" s="21"/>
      <c r="AQ112" s="21"/>
      <c r="AT112" s="21"/>
      <c r="AW112" s="21"/>
      <c r="AZ112" s="21"/>
      <c r="BC112" s="21"/>
      <c r="BF112" s="21"/>
      <c r="BI112" s="21"/>
      <c r="BL112" s="21"/>
      <c r="BO112" s="21"/>
      <c r="BR112" s="21"/>
    </row>
    <row r="113">
      <c r="L113" s="20"/>
      <c r="M113" s="21"/>
      <c r="P113" s="21"/>
      <c r="S113" s="21"/>
      <c r="V113" s="21"/>
      <c r="Y113" s="21"/>
      <c r="AB113" s="21"/>
      <c r="AE113" s="21"/>
      <c r="AH113" s="21"/>
      <c r="AK113" s="21"/>
      <c r="AN113" s="21"/>
      <c r="AQ113" s="21"/>
      <c r="AT113" s="21"/>
      <c r="AW113" s="21"/>
      <c r="AZ113" s="21"/>
      <c r="BC113" s="21"/>
      <c r="BF113" s="21"/>
      <c r="BI113" s="21"/>
      <c r="BL113" s="21"/>
      <c r="BO113" s="21"/>
      <c r="BR113" s="21"/>
    </row>
    <row r="114">
      <c r="L114" s="20"/>
      <c r="M114" s="21"/>
      <c r="P114" s="21"/>
      <c r="S114" s="21"/>
      <c r="V114" s="21"/>
      <c r="Y114" s="21"/>
      <c r="AB114" s="21"/>
      <c r="AE114" s="21"/>
      <c r="AH114" s="21"/>
      <c r="AK114" s="21"/>
      <c r="AN114" s="21"/>
      <c r="AQ114" s="21"/>
      <c r="AT114" s="21"/>
      <c r="AW114" s="21"/>
      <c r="AZ114" s="21"/>
      <c r="BC114" s="21"/>
      <c r="BF114" s="21"/>
      <c r="BI114" s="21"/>
      <c r="BL114" s="21"/>
      <c r="BO114" s="21"/>
      <c r="BR114" s="21"/>
    </row>
    <row r="115">
      <c r="L115" s="20"/>
      <c r="M115" s="21"/>
      <c r="P115" s="21"/>
      <c r="S115" s="21"/>
      <c r="V115" s="21"/>
      <c r="Y115" s="21"/>
      <c r="AB115" s="21"/>
      <c r="AE115" s="21"/>
      <c r="AH115" s="21"/>
      <c r="AK115" s="21"/>
      <c r="AN115" s="21"/>
      <c r="AQ115" s="21"/>
      <c r="AT115" s="21"/>
      <c r="AW115" s="21"/>
      <c r="AZ115" s="21"/>
      <c r="BC115" s="21"/>
      <c r="BF115" s="21"/>
      <c r="BI115" s="21"/>
      <c r="BL115" s="21"/>
      <c r="BO115" s="21"/>
      <c r="BR115" s="21"/>
    </row>
    <row r="116">
      <c r="L116" s="20"/>
      <c r="M116" s="21"/>
      <c r="P116" s="21"/>
      <c r="S116" s="21"/>
      <c r="V116" s="21"/>
      <c r="Y116" s="21"/>
      <c r="AB116" s="21"/>
      <c r="AE116" s="21"/>
      <c r="AH116" s="21"/>
      <c r="AK116" s="21"/>
      <c r="AN116" s="21"/>
      <c r="AQ116" s="21"/>
      <c r="AT116" s="21"/>
      <c r="AW116" s="21"/>
      <c r="AZ116" s="21"/>
      <c r="BC116" s="21"/>
      <c r="BF116" s="21"/>
      <c r="BI116" s="21"/>
      <c r="BL116" s="21"/>
      <c r="BO116" s="21"/>
      <c r="BR116" s="21"/>
    </row>
    <row r="117">
      <c r="L117" s="20"/>
      <c r="M117" s="21"/>
      <c r="P117" s="21"/>
      <c r="S117" s="21"/>
      <c r="V117" s="21"/>
      <c r="Y117" s="21"/>
      <c r="AB117" s="21"/>
      <c r="AE117" s="21"/>
      <c r="AH117" s="21"/>
      <c r="AK117" s="21"/>
      <c r="AN117" s="21"/>
      <c r="AQ117" s="21"/>
      <c r="AT117" s="21"/>
      <c r="AW117" s="21"/>
      <c r="AZ117" s="21"/>
      <c r="BC117" s="21"/>
      <c r="BF117" s="21"/>
      <c r="BI117" s="21"/>
      <c r="BL117" s="21"/>
      <c r="BO117" s="21"/>
      <c r="BR117" s="21"/>
    </row>
    <row r="118">
      <c r="L118" s="20"/>
      <c r="M118" s="21"/>
      <c r="P118" s="21"/>
      <c r="S118" s="21"/>
      <c r="V118" s="21"/>
      <c r="Y118" s="21"/>
      <c r="AB118" s="21"/>
      <c r="AE118" s="21"/>
      <c r="AH118" s="21"/>
      <c r="AK118" s="21"/>
      <c r="AN118" s="21"/>
      <c r="AQ118" s="21"/>
      <c r="AT118" s="21"/>
      <c r="AW118" s="21"/>
      <c r="AZ118" s="21"/>
      <c r="BC118" s="21"/>
      <c r="BF118" s="21"/>
      <c r="BI118" s="21"/>
      <c r="BL118" s="21"/>
      <c r="BO118" s="21"/>
      <c r="BR118" s="21"/>
    </row>
    <row r="119">
      <c r="L119" s="20"/>
      <c r="M119" s="21"/>
      <c r="P119" s="21"/>
      <c r="S119" s="21"/>
      <c r="V119" s="21"/>
      <c r="Y119" s="21"/>
      <c r="AB119" s="21"/>
      <c r="AE119" s="21"/>
      <c r="AH119" s="21"/>
      <c r="AK119" s="21"/>
      <c r="AN119" s="21"/>
      <c r="AQ119" s="21"/>
      <c r="AT119" s="21"/>
      <c r="AW119" s="21"/>
      <c r="AZ119" s="21"/>
      <c r="BC119" s="21"/>
      <c r="BF119" s="21"/>
      <c r="BI119" s="21"/>
      <c r="BL119" s="21"/>
      <c r="BO119" s="21"/>
      <c r="BR119" s="21"/>
    </row>
    <row r="120">
      <c r="L120" s="20"/>
      <c r="M120" s="21"/>
      <c r="P120" s="21"/>
      <c r="S120" s="21"/>
      <c r="V120" s="21"/>
      <c r="Y120" s="21"/>
      <c r="AB120" s="21"/>
      <c r="AE120" s="21"/>
      <c r="AH120" s="21"/>
      <c r="AK120" s="21"/>
      <c r="AN120" s="21"/>
      <c r="AQ120" s="21"/>
      <c r="AT120" s="21"/>
      <c r="AW120" s="21"/>
      <c r="AZ120" s="21"/>
      <c r="BC120" s="21"/>
      <c r="BF120" s="21"/>
      <c r="BI120" s="21"/>
      <c r="BL120" s="21"/>
      <c r="BO120" s="21"/>
      <c r="BR120" s="21"/>
    </row>
    <row r="121">
      <c r="L121" s="20"/>
      <c r="M121" s="21"/>
      <c r="P121" s="21"/>
      <c r="S121" s="21"/>
      <c r="V121" s="21"/>
      <c r="Y121" s="21"/>
      <c r="AB121" s="21"/>
      <c r="AE121" s="21"/>
      <c r="AH121" s="21"/>
      <c r="AK121" s="21"/>
      <c r="AN121" s="21"/>
      <c r="AQ121" s="21"/>
      <c r="AT121" s="21"/>
      <c r="AW121" s="21"/>
      <c r="AZ121" s="21"/>
      <c r="BC121" s="21"/>
      <c r="BF121" s="21"/>
      <c r="BI121" s="21"/>
      <c r="BL121" s="21"/>
      <c r="BO121" s="21"/>
      <c r="BR121" s="21"/>
    </row>
    <row r="122">
      <c r="L122" s="20"/>
      <c r="M122" s="21"/>
      <c r="P122" s="21"/>
      <c r="S122" s="21"/>
      <c r="V122" s="21"/>
      <c r="Y122" s="21"/>
      <c r="AB122" s="21"/>
      <c r="AE122" s="21"/>
      <c r="AH122" s="21"/>
      <c r="AK122" s="21"/>
      <c r="AN122" s="21"/>
      <c r="AQ122" s="21"/>
      <c r="AT122" s="21"/>
      <c r="AW122" s="21"/>
      <c r="AZ122" s="21"/>
      <c r="BC122" s="21"/>
      <c r="BF122" s="21"/>
      <c r="BI122" s="21"/>
      <c r="BL122" s="21"/>
      <c r="BO122" s="21"/>
      <c r="BR122" s="21"/>
    </row>
    <row r="123">
      <c r="L123" s="20"/>
      <c r="M123" s="21"/>
      <c r="P123" s="21"/>
      <c r="S123" s="21"/>
      <c r="V123" s="21"/>
      <c r="Y123" s="21"/>
      <c r="AB123" s="21"/>
      <c r="AE123" s="21"/>
      <c r="AH123" s="21"/>
      <c r="AK123" s="21"/>
      <c r="AN123" s="21"/>
      <c r="AQ123" s="21"/>
      <c r="AT123" s="21"/>
      <c r="AW123" s="21"/>
      <c r="AZ123" s="21"/>
      <c r="BC123" s="21"/>
      <c r="BF123" s="21"/>
      <c r="BI123" s="21"/>
      <c r="BL123" s="21"/>
      <c r="BO123" s="21"/>
      <c r="BR123" s="21"/>
    </row>
    <row r="124">
      <c r="L124" s="20"/>
      <c r="M124" s="21"/>
      <c r="P124" s="21"/>
      <c r="S124" s="21"/>
      <c r="V124" s="21"/>
      <c r="Y124" s="21"/>
      <c r="AB124" s="21"/>
      <c r="AE124" s="21"/>
      <c r="AH124" s="21"/>
      <c r="AK124" s="21"/>
      <c r="AN124" s="21"/>
      <c r="AQ124" s="21"/>
      <c r="AT124" s="21"/>
      <c r="AW124" s="21"/>
      <c r="AZ124" s="21"/>
      <c r="BC124" s="21"/>
      <c r="BF124" s="21"/>
      <c r="BI124" s="21"/>
      <c r="BL124" s="21"/>
      <c r="BO124" s="21"/>
      <c r="BR124" s="21"/>
    </row>
    <row r="125">
      <c r="L125" s="20"/>
      <c r="M125" s="21"/>
      <c r="P125" s="21"/>
      <c r="S125" s="21"/>
      <c r="V125" s="21"/>
      <c r="Y125" s="21"/>
      <c r="AB125" s="21"/>
      <c r="AE125" s="21"/>
      <c r="AH125" s="21"/>
      <c r="AK125" s="21"/>
      <c r="AN125" s="21"/>
      <c r="AQ125" s="21"/>
      <c r="AT125" s="21"/>
      <c r="AW125" s="21"/>
      <c r="AZ125" s="21"/>
      <c r="BC125" s="21"/>
      <c r="BF125" s="21"/>
      <c r="BI125" s="21"/>
      <c r="BL125" s="21"/>
      <c r="BO125" s="21"/>
      <c r="BR125" s="21"/>
    </row>
    <row r="126">
      <c r="L126" s="20"/>
      <c r="M126" s="21"/>
      <c r="P126" s="21"/>
      <c r="S126" s="21"/>
      <c r="V126" s="21"/>
      <c r="Y126" s="21"/>
      <c r="AB126" s="21"/>
      <c r="AE126" s="21"/>
      <c r="AH126" s="21"/>
      <c r="AK126" s="21"/>
      <c r="AN126" s="21"/>
      <c r="AQ126" s="21"/>
      <c r="AT126" s="21"/>
      <c r="AW126" s="21"/>
      <c r="AZ126" s="21"/>
      <c r="BC126" s="21"/>
      <c r="BF126" s="21"/>
      <c r="BI126" s="21"/>
      <c r="BL126" s="21"/>
      <c r="BO126" s="21"/>
      <c r="BR126" s="21"/>
    </row>
    <row r="127">
      <c r="L127" s="20"/>
      <c r="M127" s="21"/>
      <c r="P127" s="21"/>
      <c r="S127" s="21"/>
      <c r="V127" s="21"/>
      <c r="Y127" s="21"/>
      <c r="AB127" s="21"/>
      <c r="AE127" s="21"/>
      <c r="AH127" s="21"/>
      <c r="AK127" s="21"/>
      <c r="AN127" s="21"/>
      <c r="AQ127" s="21"/>
      <c r="AT127" s="21"/>
      <c r="AW127" s="21"/>
      <c r="AZ127" s="21"/>
      <c r="BC127" s="21"/>
      <c r="BF127" s="21"/>
      <c r="BI127" s="21"/>
      <c r="BL127" s="21"/>
      <c r="BO127" s="21"/>
      <c r="BR127" s="21"/>
    </row>
    <row r="128">
      <c r="L128" s="20"/>
      <c r="M128" s="21"/>
      <c r="P128" s="21"/>
      <c r="S128" s="21"/>
      <c r="V128" s="21"/>
      <c r="Y128" s="21"/>
      <c r="AB128" s="21"/>
      <c r="AE128" s="21"/>
      <c r="AH128" s="21"/>
      <c r="AK128" s="21"/>
      <c r="AN128" s="21"/>
      <c r="AQ128" s="21"/>
      <c r="AT128" s="21"/>
      <c r="AW128" s="21"/>
      <c r="AZ128" s="21"/>
      <c r="BC128" s="21"/>
      <c r="BF128" s="21"/>
      <c r="BI128" s="21"/>
      <c r="BL128" s="21"/>
      <c r="BO128" s="21"/>
      <c r="BR128" s="21"/>
    </row>
    <row r="129">
      <c r="L129" s="20"/>
      <c r="M129" s="21"/>
      <c r="P129" s="21"/>
      <c r="S129" s="21"/>
      <c r="V129" s="21"/>
      <c r="Y129" s="21"/>
      <c r="AB129" s="21"/>
      <c r="AE129" s="21"/>
      <c r="AH129" s="21"/>
      <c r="AK129" s="21"/>
      <c r="AN129" s="21"/>
      <c r="AQ129" s="21"/>
      <c r="AT129" s="21"/>
      <c r="AW129" s="21"/>
      <c r="AZ129" s="21"/>
      <c r="BC129" s="21"/>
      <c r="BF129" s="21"/>
      <c r="BI129" s="21"/>
      <c r="BL129" s="21"/>
      <c r="BO129" s="21"/>
      <c r="BR129" s="21"/>
    </row>
    <row r="130">
      <c r="L130" s="20"/>
      <c r="M130" s="21"/>
      <c r="P130" s="21"/>
      <c r="S130" s="21"/>
      <c r="V130" s="21"/>
      <c r="Y130" s="21"/>
      <c r="AB130" s="21"/>
      <c r="AE130" s="21"/>
      <c r="AH130" s="21"/>
      <c r="AK130" s="21"/>
      <c r="AN130" s="21"/>
      <c r="AQ130" s="21"/>
      <c r="AT130" s="21"/>
      <c r="AW130" s="21"/>
      <c r="AZ130" s="21"/>
      <c r="BC130" s="21"/>
      <c r="BF130" s="21"/>
      <c r="BI130" s="21"/>
      <c r="BL130" s="21"/>
      <c r="BO130" s="21"/>
      <c r="BR130" s="21"/>
    </row>
    <row r="131">
      <c r="L131" s="20"/>
      <c r="M131" s="21"/>
      <c r="P131" s="21"/>
      <c r="S131" s="21"/>
      <c r="V131" s="21"/>
      <c r="Y131" s="21"/>
      <c r="AB131" s="21"/>
      <c r="AE131" s="21"/>
      <c r="AH131" s="21"/>
      <c r="AK131" s="21"/>
      <c r="AN131" s="21"/>
      <c r="AQ131" s="21"/>
      <c r="AT131" s="21"/>
      <c r="AW131" s="21"/>
      <c r="AZ131" s="21"/>
      <c r="BC131" s="21"/>
      <c r="BF131" s="21"/>
      <c r="BI131" s="21"/>
      <c r="BL131" s="21"/>
      <c r="BO131" s="21"/>
      <c r="BR131" s="21"/>
    </row>
    <row r="132">
      <c r="L132" s="20"/>
      <c r="M132" s="21"/>
      <c r="P132" s="21"/>
      <c r="S132" s="21"/>
      <c r="V132" s="21"/>
      <c r="Y132" s="21"/>
      <c r="AB132" s="21"/>
      <c r="AE132" s="21"/>
      <c r="AH132" s="21"/>
      <c r="AK132" s="21"/>
      <c r="AN132" s="21"/>
      <c r="AQ132" s="21"/>
      <c r="AT132" s="21"/>
      <c r="AW132" s="21"/>
      <c r="AZ132" s="21"/>
      <c r="BC132" s="21"/>
      <c r="BF132" s="21"/>
      <c r="BI132" s="21"/>
      <c r="BL132" s="21"/>
      <c r="BO132" s="21"/>
      <c r="BR132" s="21"/>
    </row>
    <row r="133">
      <c r="L133" s="20"/>
      <c r="M133" s="21"/>
      <c r="P133" s="21"/>
      <c r="S133" s="21"/>
      <c r="V133" s="21"/>
      <c r="Y133" s="21"/>
      <c r="AB133" s="21"/>
      <c r="AE133" s="21"/>
      <c r="AH133" s="21"/>
      <c r="AK133" s="21"/>
      <c r="AN133" s="21"/>
      <c r="AQ133" s="21"/>
      <c r="AT133" s="21"/>
      <c r="AW133" s="21"/>
      <c r="AZ133" s="21"/>
      <c r="BC133" s="21"/>
      <c r="BF133" s="21"/>
      <c r="BI133" s="21"/>
      <c r="BL133" s="21"/>
      <c r="BO133" s="21"/>
      <c r="BR133" s="21"/>
    </row>
    <row r="134">
      <c r="L134" s="20"/>
      <c r="M134" s="21"/>
      <c r="P134" s="21"/>
      <c r="S134" s="21"/>
      <c r="V134" s="21"/>
      <c r="Y134" s="21"/>
      <c r="AB134" s="21"/>
      <c r="AE134" s="21"/>
      <c r="AH134" s="21"/>
      <c r="AK134" s="21"/>
      <c r="AN134" s="21"/>
      <c r="AQ134" s="21"/>
      <c r="AT134" s="21"/>
      <c r="AW134" s="21"/>
      <c r="AZ134" s="21"/>
      <c r="BC134" s="21"/>
      <c r="BF134" s="21"/>
      <c r="BI134" s="21"/>
      <c r="BL134" s="21"/>
      <c r="BO134" s="21"/>
      <c r="BR134" s="21"/>
    </row>
    <row r="135">
      <c r="L135" s="20"/>
      <c r="M135" s="21"/>
      <c r="P135" s="21"/>
      <c r="S135" s="21"/>
      <c r="V135" s="21"/>
      <c r="Y135" s="21"/>
      <c r="AB135" s="21"/>
      <c r="AE135" s="21"/>
      <c r="AH135" s="21"/>
      <c r="AK135" s="21"/>
      <c r="AN135" s="21"/>
      <c r="AQ135" s="21"/>
      <c r="AT135" s="21"/>
      <c r="AW135" s="21"/>
      <c r="AZ135" s="21"/>
      <c r="BC135" s="21"/>
      <c r="BF135" s="21"/>
      <c r="BI135" s="21"/>
      <c r="BL135" s="21"/>
      <c r="BO135" s="21"/>
      <c r="BR135" s="21"/>
    </row>
    <row r="136">
      <c r="L136" s="20"/>
      <c r="M136" s="21"/>
      <c r="P136" s="21"/>
      <c r="S136" s="21"/>
      <c r="V136" s="21"/>
      <c r="Y136" s="21"/>
      <c r="AB136" s="21"/>
      <c r="AE136" s="21"/>
      <c r="AH136" s="21"/>
      <c r="AK136" s="21"/>
      <c r="AN136" s="21"/>
      <c r="AQ136" s="21"/>
      <c r="AT136" s="21"/>
      <c r="AW136" s="21"/>
      <c r="AZ136" s="21"/>
      <c r="BC136" s="21"/>
      <c r="BF136" s="21"/>
      <c r="BI136" s="21"/>
      <c r="BL136" s="21"/>
      <c r="BO136" s="21"/>
      <c r="BR136" s="21"/>
    </row>
    <row r="137">
      <c r="L137" s="20"/>
      <c r="M137" s="21"/>
      <c r="P137" s="21"/>
      <c r="S137" s="21"/>
      <c r="V137" s="21"/>
      <c r="Y137" s="21"/>
      <c r="AB137" s="21"/>
      <c r="AE137" s="21"/>
      <c r="AH137" s="21"/>
      <c r="AK137" s="21"/>
      <c r="AN137" s="21"/>
      <c r="AQ137" s="21"/>
      <c r="AT137" s="21"/>
      <c r="AW137" s="21"/>
      <c r="AZ137" s="21"/>
      <c r="BC137" s="21"/>
      <c r="BF137" s="21"/>
      <c r="BI137" s="21"/>
      <c r="BL137" s="21"/>
      <c r="BO137" s="21"/>
      <c r="BR137" s="21"/>
    </row>
    <row r="138">
      <c r="L138" s="20"/>
      <c r="M138" s="21"/>
      <c r="P138" s="21"/>
      <c r="S138" s="21"/>
      <c r="V138" s="21"/>
      <c r="Y138" s="21"/>
      <c r="AB138" s="21"/>
      <c r="AE138" s="21"/>
      <c r="AH138" s="21"/>
      <c r="AK138" s="21"/>
      <c r="AN138" s="21"/>
      <c r="AQ138" s="21"/>
      <c r="AT138" s="21"/>
      <c r="AW138" s="21"/>
      <c r="AZ138" s="21"/>
      <c r="BC138" s="21"/>
      <c r="BF138" s="21"/>
      <c r="BI138" s="21"/>
      <c r="BL138" s="21"/>
      <c r="BO138" s="21"/>
      <c r="BR138" s="21"/>
    </row>
    <row r="139">
      <c r="L139" s="20"/>
      <c r="M139" s="21"/>
      <c r="P139" s="21"/>
      <c r="S139" s="21"/>
      <c r="V139" s="21"/>
      <c r="Y139" s="21"/>
      <c r="AB139" s="21"/>
      <c r="AE139" s="21"/>
      <c r="AH139" s="21"/>
      <c r="AK139" s="21"/>
      <c r="AN139" s="21"/>
      <c r="AQ139" s="21"/>
      <c r="AT139" s="21"/>
      <c r="AW139" s="21"/>
      <c r="AZ139" s="21"/>
      <c r="BC139" s="21"/>
      <c r="BF139" s="21"/>
      <c r="BI139" s="21"/>
      <c r="BL139" s="21"/>
      <c r="BO139" s="21"/>
      <c r="BR139" s="21"/>
    </row>
    <row r="140">
      <c r="L140" s="20"/>
      <c r="M140" s="21"/>
      <c r="P140" s="21"/>
      <c r="S140" s="21"/>
      <c r="V140" s="21"/>
      <c r="Y140" s="21"/>
      <c r="AB140" s="21"/>
      <c r="AE140" s="21"/>
      <c r="AH140" s="21"/>
      <c r="AK140" s="21"/>
      <c r="AN140" s="21"/>
      <c r="AQ140" s="21"/>
      <c r="AT140" s="21"/>
      <c r="AW140" s="21"/>
      <c r="AZ140" s="21"/>
      <c r="BC140" s="21"/>
      <c r="BF140" s="21"/>
      <c r="BI140" s="21"/>
      <c r="BL140" s="21"/>
      <c r="BO140" s="21"/>
      <c r="BR140" s="21"/>
    </row>
    <row r="141">
      <c r="L141" s="20"/>
      <c r="M141" s="21"/>
      <c r="P141" s="21"/>
      <c r="S141" s="21"/>
      <c r="V141" s="21"/>
      <c r="Y141" s="21"/>
      <c r="AB141" s="21"/>
      <c r="AE141" s="21"/>
      <c r="AH141" s="21"/>
      <c r="AK141" s="21"/>
      <c r="AN141" s="21"/>
      <c r="AQ141" s="21"/>
      <c r="AT141" s="21"/>
      <c r="AW141" s="21"/>
      <c r="AZ141" s="21"/>
      <c r="BC141" s="21"/>
      <c r="BF141" s="21"/>
      <c r="BI141" s="21"/>
      <c r="BL141" s="21"/>
      <c r="BO141" s="21"/>
      <c r="BR141" s="21"/>
    </row>
    <row r="142">
      <c r="L142" s="20"/>
      <c r="M142" s="21"/>
      <c r="P142" s="21"/>
      <c r="S142" s="21"/>
      <c r="V142" s="21"/>
      <c r="Y142" s="21"/>
      <c r="AB142" s="21"/>
      <c r="AE142" s="21"/>
      <c r="AH142" s="21"/>
      <c r="AK142" s="21"/>
      <c r="AN142" s="21"/>
      <c r="AQ142" s="21"/>
      <c r="AT142" s="21"/>
      <c r="AW142" s="21"/>
      <c r="AZ142" s="21"/>
      <c r="BC142" s="21"/>
      <c r="BF142" s="21"/>
      <c r="BI142" s="21"/>
      <c r="BL142" s="21"/>
      <c r="BO142" s="21"/>
      <c r="BR142" s="21"/>
    </row>
    <row r="143">
      <c r="L143" s="20"/>
      <c r="M143" s="21"/>
      <c r="P143" s="21"/>
      <c r="S143" s="21"/>
      <c r="V143" s="21"/>
      <c r="Y143" s="21"/>
      <c r="AB143" s="21"/>
      <c r="AE143" s="21"/>
      <c r="AH143" s="21"/>
      <c r="AK143" s="21"/>
      <c r="AN143" s="21"/>
      <c r="AQ143" s="21"/>
      <c r="AT143" s="21"/>
      <c r="AW143" s="21"/>
      <c r="AZ143" s="21"/>
      <c r="BC143" s="21"/>
      <c r="BF143" s="21"/>
      <c r="BI143" s="21"/>
      <c r="BL143" s="21"/>
      <c r="BO143" s="21"/>
      <c r="BR143" s="21"/>
    </row>
    <row r="144">
      <c r="L144" s="20"/>
      <c r="M144" s="21"/>
      <c r="P144" s="21"/>
      <c r="S144" s="21"/>
      <c r="V144" s="21"/>
      <c r="Y144" s="21"/>
      <c r="AB144" s="21"/>
      <c r="AE144" s="21"/>
      <c r="AH144" s="21"/>
      <c r="AK144" s="21"/>
      <c r="AN144" s="21"/>
      <c r="AQ144" s="21"/>
      <c r="AT144" s="21"/>
      <c r="AW144" s="21"/>
      <c r="AZ144" s="21"/>
      <c r="BC144" s="21"/>
      <c r="BF144" s="21"/>
      <c r="BI144" s="21"/>
      <c r="BL144" s="21"/>
      <c r="BO144" s="21"/>
      <c r="BR144" s="21"/>
    </row>
    <row r="145">
      <c r="L145" s="20"/>
      <c r="M145" s="21"/>
      <c r="P145" s="21"/>
      <c r="S145" s="21"/>
      <c r="V145" s="21"/>
      <c r="Y145" s="21"/>
      <c r="AB145" s="21"/>
      <c r="AE145" s="21"/>
      <c r="AH145" s="21"/>
      <c r="AK145" s="21"/>
      <c r="AN145" s="21"/>
      <c r="AQ145" s="21"/>
      <c r="AT145" s="21"/>
      <c r="AW145" s="21"/>
      <c r="AZ145" s="21"/>
      <c r="BC145" s="21"/>
      <c r="BF145" s="21"/>
      <c r="BI145" s="21"/>
      <c r="BL145" s="21"/>
      <c r="BO145" s="21"/>
      <c r="BR145" s="21"/>
    </row>
    <row r="146">
      <c r="L146" s="20"/>
      <c r="M146" s="21"/>
      <c r="P146" s="21"/>
      <c r="S146" s="21"/>
      <c r="V146" s="21"/>
      <c r="Y146" s="21"/>
      <c r="AB146" s="21"/>
      <c r="AE146" s="21"/>
      <c r="AH146" s="21"/>
      <c r="AK146" s="21"/>
      <c r="AN146" s="21"/>
      <c r="AQ146" s="21"/>
      <c r="AT146" s="21"/>
      <c r="AW146" s="21"/>
      <c r="AZ146" s="21"/>
      <c r="BC146" s="21"/>
      <c r="BF146" s="21"/>
      <c r="BI146" s="21"/>
      <c r="BL146" s="21"/>
      <c r="BO146" s="21"/>
      <c r="BR146" s="21"/>
    </row>
    <row r="147">
      <c r="L147" s="20"/>
      <c r="M147" s="21"/>
      <c r="P147" s="21"/>
      <c r="S147" s="21"/>
      <c r="V147" s="21"/>
      <c r="Y147" s="21"/>
      <c r="AB147" s="21"/>
      <c r="AE147" s="21"/>
      <c r="AH147" s="21"/>
      <c r="AK147" s="21"/>
      <c r="AN147" s="21"/>
      <c r="AQ147" s="21"/>
      <c r="AT147" s="21"/>
      <c r="AW147" s="21"/>
      <c r="AZ147" s="21"/>
      <c r="BC147" s="21"/>
      <c r="BF147" s="21"/>
      <c r="BI147" s="21"/>
      <c r="BL147" s="21"/>
      <c r="BO147" s="21"/>
      <c r="BR147" s="21"/>
    </row>
    <row r="148">
      <c r="L148" s="20"/>
      <c r="M148" s="21"/>
      <c r="P148" s="21"/>
      <c r="S148" s="21"/>
      <c r="V148" s="21"/>
      <c r="Y148" s="21"/>
      <c r="AB148" s="21"/>
      <c r="AE148" s="21"/>
      <c r="AH148" s="21"/>
      <c r="AK148" s="21"/>
      <c r="AN148" s="21"/>
      <c r="AQ148" s="21"/>
      <c r="AT148" s="21"/>
      <c r="AW148" s="21"/>
      <c r="AZ148" s="21"/>
      <c r="BC148" s="21"/>
      <c r="BF148" s="21"/>
      <c r="BI148" s="21"/>
      <c r="BL148" s="21"/>
      <c r="BO148" s="21"/>
      <c r="BR148" s="21"/>
    </row>
    <row r="149">
      <c r="L149" s="20"/>
      <c r="M149" s="21"/>
      <c r="P149" s="21"/>
      <c r="S149" s="21"/>
      <c r="V149" s="21"/>
      <c r="Y149" s="21"/>
      <c r="AB149" s="21"/>
      <c r="AE149" s="21"/>
      <c r="AH149" s="21"/>
      <c r="AK149" s="21"/>
      <c r="AN149" s="21"/>
      <c r="AQ149" s="21"/>
      <c r="AT149" s="21"/>
      <c r="AW149" s="21"/>
      <c r="AZ149" s="21"/>
      <c r="BC149" s="21"/>
      <c r="BF149" s="21"/>
      <c r="BI149" s="21"/>
      <c r="BL149" s="21"/>
      <c r="BO149" s="21"/>
      <c r="BR149" s="21"/>
    </row>
    <row r="150">
      <c r="L150" s="20"/>
      <c r="M150" s="21"/>
      <c r="P150" s="21"/>
      <c r="S150" s="21"/>
      <c r="V150" s="21"/>
      <c r="Y150" s="21"/>
      <c r="AB150" s="21"/>
      <c r="AE150" s="21"/>
      <c r="AH150" s="21"/>
      <c r="AK150" s="21"/>
      <c r="AN150" s="21"/>
      <c r="AQ150" s="21"/>
      <c r="AT150" s="21"/>
      <c r="AW150" s="21"/>
      <c r="AZ150" s="21"/>
      <c r="BC150" s="21"/>
      <c r="BF150" s="21"/>
      <c r="BI150" s="21"/>
      <c r="BL150" s="21"/>
      <c r="BO150" s="21"/>
      <c r="BR150" s="21"/>
    </row>
    <row r="151">
      <c r="L151" s="20"/>
      <c r="M151" s="21"/>
      <c r="P151" s="21"/>
      <c r="S151" s="21"/>
      <c r="V151" s="21"/>
      <c r="Y151" s="21"/>
      <c r="AB151" s="21"/>
      <c r="AE151" s="21"/>
      <c r="AH151" s="21"/>
      <c r="AK151" s="21"/>
      <c r="AN151" s="21"/>
      <c r="AQ151" s="21"/>
      <c r="AT151" s="21"/>
      <c r="AW151" s="21"/>
      <c r="AZ151" s="21"/>
      <c r="BC151" s="21"/>
      <c r="BF151" s="21"/>
      <c r="BI151" s="21"/>
      <c r="BL151" s="21"/>
      <c r="BO151" s="21"/>
      <c r="BR151" s="21"/>
    </row>
    <row r="152">
      <c r="L152" s="20"/>
      <c r="M152" s="21"/>
      <c r="P152" s="21"/>
      <c r="S152" s="21"/>
      <c r="V152" s="21"/>
      <c r="Y152" s="21"/>
      <c r="AB152" s="21"/>
      <c r="AE152" s="21"/>
      <c r="AH152" s="21"/>
      <c r="AK152" s="21"/>
      <c r="AN152" s="21"/>
      <c r="AQ152" s="21"/>
      <c r="AT152" s="21"/>
      <c r="AW152" s="21"/>
      <c r="AZ152" s="21"/>
      <c r="BC152" s="21"/>
      <c r="BF152" s="21"/>
      <c r="BI152" s="21"/>
      <c r="BL152" s="21"/>
      <c r="BO152" s="21"/>
      <c r="BR152" s="21"/>
    </row>
    <row r="153">
      <c r="L153" s="20"/>
      <c r="M153" s="21"/>
      <c r="P153" s="21"/>
      <c r="S153" s="21"/>
      <c r="V153" s="21"/>
      <c r="Y153" s="21"/>
      <c r="AB153" s="21"/>
      <c r="AE153" s="21"/>
      <c r="AH153" s="21"/>
      <c r="AK153" s="21"/>
      <c r="AN153" s="21"/>
      <c r="AQ153" s="21"/>
      <c r="AT153" s="21"/>
      <c r="AW153" s="21"/>
      <c r="AZ153" s="21"/>
      <c r="BC153" s="21"/>
      <c r="BF153" s="21"/>
      <c r="BI153" s="21"/>
      <c r="BL153" s="21"/>
      <c r="BO153" s="21"/>
      <c r="BR153" s="21"/>
    </row>
    <row r="154">
      <c r="L154" s="20"/>
      <c r="M154" s="21"/>
      <c r="P154" s="21"/>
      <c r="S154" s="21"/>
      <c r="V154" s="21"/>
      <c r="Y154" s="21"/>
      <c r="AB154" s="21"/>
      <c r="AE154" s="21"/>
      <c r="AH154" s="21"/>
      <c r="AK154" s="21"/>
      <c r="AN154" s="21"/>
      <c r="AQ154" s="21"/>
      <c r="AT154" s="21"/>
      <c r="AW154" s="21"/>
      <c r="AZ154" s="21"/>
      <c r="BC154" s="21"/>
      <c r="BF154" s="21"/>
      <c r="BI154" s="21"/>
      <c r="BL154" s="21"/>
      <c r="BO154" s="21"/>
      <c r="BR154" s="21"/>
    </row>
    <row r="155">
      <c r="L155" s="20"/>
      <c r="M155" s="21"/>
      <c r="P155" s="21"/>
      <c r="S155" s="21"/>
      <c r="V155" s="21"/>
      <c r="Y155" s="21"/>
      <c r="AB155" s="21"/>
      <c r="AE155" s="21"/>
      <c r="AH155" s="21"/>
      <c r="AK155" s="21"/>
      <c r="AN155" s="21"/>
      <c r="AQ155" s="21"/>
      <c r="AT155" s="21"/>
      <c r="AW155" s="21"/>
      <c r="AZ155" s="21"/>
      <c r="BC155" s="21"/>
      <c r="BF155" s="21"/>
      <c r="BI155" s="21"/>
      <c r="BL155" s="21"/>
      <c r="BO155" s="21"/>
      <c r="BR155" s="21"/>
    </row>
    <row r="156">
      <c r="L156" s="20"/>
      <c r="M156" s="21"/>
      <c r="P156" s="21"/>
      <c r="S156" s="21"/>
      <c r="V156" s="21"/>
      <c r="Y156" s="21"/>
      <c r="AB156" s="21"/>
      <c r="AE156" s="21"/>
      <c r="AH156" s="21"/>
      <c r="AK156" s="21"/>
      <c r="AN156" s="21"/>
      <c r="AQ156" s="21"/>
      <c r="AT156" s="21"/>
      <c r="AW156" s="21"/>
      <c r="AZ156" s="21"/>
      <c r="BC156" s="21"/>
      <c r="BF156" s="21"/>
      <c r="BI156" s="21"/>
      <c r="BL156" s="21"/>
      <c r="BO156" s="21"/>
      <c r="BR156" s="21"/>
    </row>
    <row r="157">
      <c r="L157" s="20"/>
      <c r="M157" s="21"/>
      <c r="P157" s="21"/>
      <c r="S157" s="21"/>
      <c r="V157" s="21"/>
      <c r="Y157" s="21"/>
      <c r="AB157" s="21"/>
      <c r="AE157" s="21"/>
      <c r="AH157" s="21"/>
      <c r="AK157" s="21"/>
      <c r="AN157" s="21"/>
      <c r="AQ157" s="21"/>
      <c r="AT157" s="21"/>
      <c r="AW157" s="21"/>
      <c r="AZ157" s="21"/>
      <c r="BC157" s="21"/>
      <c r="BF157" s="21"/>
      <c r="BI157" s="21"/>
      <c r="BL157" s="21"/>
      <c r="BO157" s="21"/>
      <c r="BR157" s="21"/>
    </row>
    <row r="158">
      <c r="L158" s="20"/>
      <c r="M158" s="21"/>
      <c r="P158" s="21"/>
      <c r="S158" s="21"/>
      <c r="V158" s="21"/>
      <c r="Y158" s="21"/>
      <c r="AB158" s="21"/>
      <c r="AE158" s="21"/>
      <c r="AH158" s="21"/>
      <c r="AK158" s="21"/>
      <c r="AN158" s="21"/>
      <c r="AQ158" s="21"/>
      <c r="AT158" s="21"/>
      <c r="AW158" s="21"/>
      <c r="AZ158" s="21"/>
      <c r="BC158" s="21"/>
      <c r="BF158" s="21"/>
      <c r="BI158" s="21"/>
      <c r="BL158" s="21"/>
      <c r="BO158" s="21"/>
      <c r="BR158" s="21"/>
    </row>
    <row r="159">
      <c r="L159" s="20"/>
      <c r="M159" s="21"/>
      <c r="P159" s="21"/>
      <c r="S159" s="21"/>
      <c r="V159" s="21"/>
      <c r="Y159" s="21"/>
      <c r="AB159" s="21"/>
      <c r="AE159" s="21"/>
      <c r="AH159" s="21"/>
      <c r="AK159" s="21"/>
      <c r="AN159" s="21"/>
      <c r="AQ159" s="21"/>
      <c r="AT159" s="21"/>
      <c r="AW159" s="21"/>
      <c r="AZ159" s="21"/>
      <c r="BC159" s="21"/>
      <c r="BF159" s="21"/>
      <c r="BI159" s="21"/>
      <c r="BL159" s="21"/>
      <c r="BO159" s="21"/>
      <c r="BR159" s="21"/>
    </row>
    <row r="160">
      <c r="L160" s="20"/>
      <c r="M160" s="21"/>
      <c r="P160" s="21"/>
      <c r="S160" s="21"/>
      <c r="V160" s="21"/>
      <c r="Y160" s="21"/>
      <c r="AB160" s="21"/>
      <c r="AE160" s="21"/>
      <c r="AH160" s="21"/>
      <c r="AK160" s="21"/>
      <c r="AN160" s="21"/>
      <c r="AQ160" s="21"/>
      <c r="AT160" s="21"/>
      <c r="AW160" s="21"/>
      <c r="AZ160" s="21"/>
      <c r="BC160" s="21"/>
      <c r="BF160" s="21"/>
      <c r="BI160" s="21"/>
      <c r="BL160" s="21"/>
      <c r="BO160" s="21"/>
      <c r="BR160" s="21"/>
    </row>
    <row r="161">
      <c r="L161" s="20"/>
      <c r="M161" s="21"/>
      <c r="P161" s="21"/>
      <c r="S161" s="21"/>
      <c r="V161" s="21"/>
      <c r="Y161" s="21"/>
      <c r="AB161" s="21"/>
      <c r="AE161" s="21"/>
      <c r="AH161" s="21"/>
      <c r="AK161" s="21"/>
      <c r="AN161" s="21"/>
      <c r="AQ161" s="21"/>
      <c r="AT161" s="21"/>
      <c r="AW161" s="21"/>
      <c r="AZ161" s="21"/>
      <c r="BC161" s="21"/>
      <c r="BF161" s="21"/>
      <c r="BI161" s="21"/>
      <c r="BL161" s="21"/>
      <c r="BO161" s="21"/>
      <c r="BR161" s="21"/>
    </row>
    <row r="162">
      <c r="L162" s="20"/>
      <c r="M162" s="21"/>
      <c r="P162" s="21"/>
      <c r="S162" s="21"/>
      <c r="V162" s="21"/>
      <c r="Y162" s="21"/>
      <c r="AB162" s="21"/>
      <c r="AE162" s="21"/>
      <c r="AH162" s="21"/>
      <c r="AK162" s="21"/>
      <c r="AN162" s="21"/>
      <c r="AQ162" s="21"/>
      <c r="AT162" s="21"/>
      <c r="AW162" s="21"/>
      <c r="AZ162" s="21"/>
      <c r="BC162" s="21"/>
      <c r="BF162" s="21"/>
      <c r="BI162" s="21"/>
      <c r="BL162" s="21"/>
      <c r="BO162" s="21"/>
      <c r="BR162" s="21"/>
    </row>
    <row r="163">
      <c r="L163" s="20"/>
      <c r="M163" s="21"/>
      <c r="P163" s="21"/>
      <c r="S163" s="21"/>
      <c r="V163" s="21"/>
      <c r="Y163" s="21"/>
      <c r="AB163" s="21"/>
      <c r="AE163" s="21"/>
      <c r="AH163" s="21"/>
      <c r="AK163" s="21"/>
      <c r="AN163" s="21"/>
      <c r="AQ163" s="21"/>
      <c r="AT163" s="21"/>
      <c r="AW163" s="21"/>
      <c r="AZ163" s="21"/>
      <c r="BC163" s="21"/>
      <c r="BF163" s="21"/>
      <c r="BI163" s="21"/>
      <c r="BL163" s="21"/>
      <c r="BO163" s="21"/>
      <c r="BR163" s="21"/>
    </row>
    <row r="164">
      <c r="L164" s="20"/>
      <c r="M164" s="21"/>
      <c r="P164" s="21"/>
      <c r="S164" s="21"/>
      <c r="V164" s="21"/>
      <c r="Y164" s="21"/>
      <c r="AB164" s="21"/>
      <c r="AE164" s="21"/>
      <c r="AH164" s="21"/>
      <c r="AK164" s="21"/>
      <c r="AN164" s="21"/>
      <c r="AQ164" s="21"/>
      <c r="AT164" s="21"/>
      <c r="AW164" s="21"/>
      <c r="AZ164" s="21"/>
      <c r="BC164" s="21"/>
      <c r="BF164" s="21"/>
      <c r="BI164" s="21"/>
      <c r="BL164" s="21"/>
      <c r="BO164" s="21"/>
      <c r="BR164" s="21"/>
    </row>
    <row r="165">
      <c r="L165" s="20"/>
      <c r="M165" s="21"/>
      <c r="P165" s="21"/>
      <c r="S165" s="21"/>
      <c r="V165" s="21"/>
      <c r="Y165" s="21"/>
      <c r="AB165" s="21"/>
      <c r="AE165" s="21"/>
      <c r="AH165" s="21"/>
      <c r="AK165" s="21"/>
      <c r="AN165" s="21"/>
      <c r="AQ165" s="21"/>
      <c r="AT165" s="21"/>
      <c r="AW165" s="21"/>
      <c r="AZ165" s="21"/>
      <c r="BC165" s="21"/>
      <c r="BF165" s="21"/>
      <c r="BI165" s="21"/>
      <c r="BL165" s="21"/>
      <c r="BO165" s="21"/>
      <c r="BR165" s="21"/>
    </row>
    <row r="166">
      <c r="L166" s="20"/>
      <c r="M166" s="21"/>
      <c r="P166" s="21"/>
      <c r="S166" s="21"/>
      <c r="V166" s="21"/>
      <c r="Y166" s="21"/>
      <c r="AB166" s="21"/>
      <c r="AE166" s="21"/>
      <c r="AH166" s="21"/>
      <c r="AK166" s="21"/>
      <c r="AN166" s="21"/>
      <c r="AQ166" s="21"/>
      <c r="AT166" s="21"/>
      <c r="AW166" s="21"/>
      <c r="AZ166" s="21"/>
      <c r="BC166" s="21"/>
      <c r="BF166" s="21"/>
      <c r="BI166" s="21"/>
      <c r="BL166" s="21"/>
      <c r="BO166" s="21"/>
      <c r="BR166" s="21"/>
    </row>
    <row r="167">
      <c r="L167" s="20"/>
      <c r="M167" s="21"/>
      <c r="P167" s="21"/>
      <c r="S167" s="21"/>
      <c r="V167" s="21"/>
      <c r="Y167" s="21"/>
      <c r="AB167" s="21"/>
      <c r="AE167" s="21"/>
      <c r="AH167" s="21"/>
      <c r="AK167" s="21"/>
      <c r="AN167" s="21"/>
      <c r="AQ167" s="21"/>
      <c r="AT167" s="21"/>
      <c r="AW167" s="21"/>
      <c r="AZ167" s="21"/>
      <c r="BC167" s="21"/>
      <c r="BF167" s="21"/>
      <c r="BI167" s="21"/>
      <c r="BL167" s="21"/>
      <c r="BO167" s="21"/>
      <c r="BR167" s="21"/>
    </row>
    <row r="168">
      <c r="L168" s="20"/>
      <c r="M168" s="21"/>
      <c r="P168" s="21"/>
      <c r="S168" s="21"/>
      <c r="V168" s="21"/>
      <c r="Y168" s="21"/>
      <c r="AB168" s="21"/>
      <c r="AE168" s="21"/>
      <c r="AH168" s="21"/>
      <c r="AK168" s="21"/>
      <c r="AN168" s="21"/>
      <c r="AQ168" s="21"/>
      <c r="AT168" s="21"/>
      <c r="AW168" s="21"/>
      <c r="AZ168" s="21"/>
      <c r="BC168" s="21"/>
      <c r="BF168" s="21"/>
      <c r="BI168" s="21"/>
      <c r="BL168" s="21"/>
      <c r="BO168" s="21"/>
      <c r="BR168" s="21"/>
    </row>
    <row r="169">
      <c r="L169" s="20"/>
      <c r="M169" s="21"/>
      <c r="P169" s="21"/>
      <c r="S169" s="21"/>
      <c r="V169" s="21"/>
      <c r="Y169" s="21"/>
      <c r="AB169" s="21"/>
      <c r="AE169" s="21"/>
      <c r="AH169" s="21"/>
      <c r="AK169" s="21"/>
      <c r="AN169" s="21"/>
      <c r="AQ169" s="21"/>
      <c r="AT169" s="21"/>
      <c r="AW169" s="21"/>
      <c r="AZ169" s="21"/>
      <c r="BC169" s="21"/>
      <c r="BF169" s="21"/>
      <c r="BI169" s="21"/>
      <c r="BL169" s="21"/>
      <c r="BO169" s="21"/>
      <c r="BR169" s="21"/>
    </row>
    <row r="170">
      <c r="L170" s="20"/>
      <c r="M170" s="21"/>
      <c r="P170" s="21"/>
      <c r="S170" s="21"/>
      <c r="V170" s="21"/>
      <c r="Y170" s="21"/>
      <c r="AB170" s="21"/>
      <c r="AE170" s="21"/>
      <c r="AH170" s="21"/>
      <c r="AK170" s="21"/>
      <c r="AN170" s="21"/>
      <c r="AQ170" s="21"/>
      <c r="AT170" s="21"/>
      <c r="AW170" s="21"/>
      <c r="AZ170" s="21"/>
      <c r="BC170" s="21"/>
      <c r="BF170" s="21"/>
      <c r="BI170" s="21"/>
      <c r="BL170" s="21"/>
      <c r="BO170" s="21"/>
      <c r="BR170" s="21"/>
    </row>
    <row r="171">
      <c r="L171" s="20"/>
      <c r="M171" s="21"/>
      <c r="P171" s="21"/>
      <c r="S171" s="21"/>
      <c r="V171" s="21"/>
      <c r="Y171" s="21"/>
      <c r="AB171" s="21"/>
      <c r="AE171" s="21"/>
      <c r="AH171" s="21"/>
      <c r="AK171" s="21"/>
      <c r="AN171" s="21"/>
      <c r="AQ171" s="21"/>
      <c r="AT171" s="21"/>
      <c r="AW171" s="21"/>
      <c r="AZ171" s="21"/>
      <c r="BC171" s="21"/>
      <c r="BF171" s="21"/>
      <c r="BI171" s="21"/>
      <c r="BL171" s="21"/>
      <c r="BO171" s="21"/>
      <c r="BR171" s="21"/>
    </row>
    <row r="172">
      <c r="L172" s="20"/>
      <c r="M172" s="21"/>
      <c r="P172" s="21"/>
      <c r="S172" s="21"/>
      <c r="V172" s="21"/>
      <c r="Y172" s="21"/>
      <c r="AB172" s="21"/>
      <c r="AE172" s="21"/>
      <c r="AH172" s="21"/>
      <c r="AK172" s="21"/>
      <c r="AN172" s="21"/>
      <c r="AQ172" s="21"/>
      <c r="AT172" s="21"/>
      <c r="AW172" s="21"/>
      <c r="AZ172" s="21"/>
      <c r="BC172" s="21"/>
      <c r="BF172" s="21"/>
      <c r="BI172" s="21"/>
      <c r="BL172" s="21"/>
      <c r="BO172" s="21"/>
      <c r="BR172" s="21"/>
    </row>
    <row r="173">
      <c r="L173" s="20"/>
      <c r="M173" s="21"/>
      <c r="P173" s="21"/>
      <c r="S173" s="21"/>
      <c r="V173" s="21"/>
      <c r="Y173" s="21"/>
      <c r="AB173" s="21"/>
      <c r="AE173" s="21"/>
      <c r="AH173" s="21"/>
      <c r="AK173" s="21"/>
      <c r="AN173" s="21"/>
      <c r="AQ173" s="21"/>
      <c r="AT173" s="21"/>
      <c r="AW173" s="21"/>
      <c r="AZ173" s="21"/>
      <c r="BC173" s="21"/>
      <c r="BF173" s="21"/>
      <c r="BI173" s="21"/>
      <c r="BL173" s="21"/>
      <c r="BO173" s="21"/>
      <c r="BR173" s="21"/>
    </row>
    <row r="174">
      <c r="L174" s="20"/>
      <c r="M174" s="21"/>
      <c r="P174" s="21"/>
      <c r="S174" s="21"/>
      <c r="V174" s="21"/>
      <c r="Y174" s="21"/>
      <c r="AB174" s="21"/>
      <c r="AE174" s="21"/>
      <c r="AH174" s="21"/>
      <c r="AK174" s="21"/>
      <c r="AN174" s="21"/>
      <c r="AQ174" s="21"/>
      <c r="AT174" s="21"/>
      <c r="AW174" s="21"/>
      <c r="AZ174" s="21"/>
      <c r="BC174" s="21"/>
      <c r="BF174" s="21"/>
      <c r="BI174" s="21"/>
      <c r="BL174" s="21"/>
      <c r="BO174" s="21"/>
      <c r="BR174" s="21"/>
    </row>
    <row r="175">
      <c r="L175" s="20"/>
      <c r="M175" s="21"/>
      <c r="P175" s="21"/>
      <c r="S175" s="21"/>
      <c r="V175" s="21"/>
      <c r="Y175" s="21"/>
      <c r="AB175" s="21"/>
      <c r="AE175" s="21"/>
      <c r="AH175" s="21"/>
      <c r="AK175" s="21"/>
      <c r="AN175" s="21"/>
      <c r="AQ175" s="21"/>
      <c r="AT175" s="21"/>
      <c r="AW175" s="21"/>
      <c r="AZ175" s="21"/>
      <c r="BC175" s="21"/>
      <c r="BF175" s="21"/>
      <c r="BI175" s="21"/>
      <c r="BL175" s="21"/>
      <c r="BO175" s="21"/>
      <c r="BR175" s="21"/>
    </row>
    <row r="176">
      <c r="L176" s="20"/>
      <c r="M176" s="21"/>
      <c r="P176" s="21"/>
      <c r="S176" s="21"/>
      <c r="V176" s="21"/>
      <c r="Y176" s="21"/>
      <c r="AB176" s="21"/>
      <c r="AE176" s="21"/>
      <c r="AH176" s="21"/>
      <c r="AK176" s="21"/>
      <c r="AN176" s="21"/>
      <c r="AQ176" s="21"/>
      <c r="AT176" s="21"/>
      <c r="AW176" s="21"/>
      <c r="AZ176" s="21"/>
      <c r="BC176" s="21"/>
      <c r="BF176" s="21"/>
      <c r="BI176" s="21"/>
      <c r="BL176" s="21"/>
      <c r="BO176" s="21"/>
      <c r="BR176" s="21"/>
    </row>
    <row r="177">
      <c r="L177" s="20"/>
      <c r="M177" s="21"/>
      <c r="P177" s="21"/>
      <c r="S177" s="21"/>
      <c r="V177" s="21"/>
      <c r="Y177" s="21"/>
      <c r="AB177" s="21"/>
      <c r="AE177" s="21"/>
      <c r="AH177" s="21"/>
      <c r="AK177" s="21"/>
      <c r="AN177" s="21"/>
      <c r="AQ177" s="21"/>
      <c r="AT177" s="21"/>
      <c r="AW177" s="21"/>
      <c r="AZ177" s="21"/>
      <c r="BC177" s="21"/>
      <c r="BF177" s="21"/>
      <c r="BI177" s="21"/>
      <c r="BL177" s="21"/>
      <c r="BO177" s="21"/>
      <c r="BR177" s="21"/>
    </row>
    <row r="178">
      <c r="L178" s="20"/>
      <c r="M178" s="21"/>
      <c r="P178" s="21"/>
      <c r="S178" s="21"/>
      <c r="V178" s="21"/>
      <c r="Y178" s="21"/>
      <c r="AB178" s="21"/>
      <c r="AE178" s="21"/>
      <c r="AH178" s="21"/>
      <c r="AK178" s="21"/>
      <c r="AN178" s="21"/>
      <c r="AQ178" s="21"/>
      <c r="AT178" s="21"/>
      <c r="AW178" s="21"/>
      <c r="AZ178" s="21"/>
      <c r="BC178" s="21"/>
      <c r="BF178" s="21"/>
      <c r="BI178" s="21"/>
      <c r="BL178" s="21"/>
      <c r="BO178" s="21"/>
      <c r="BR178" s="21"/>
    </row>
    <row r="179">
      <c r="L179" s="20"/>
      <c r="M179" s="21"/>
      <c r="P179" s="21"/>
      <c r="S179" s="21"/>
      <c r="V179" s="21"/>
      <c r="Y179" s="21"/>
      <c r="AB179" s="21"/>
      <c r="AE179" s="21"/>
      <c r="AH179" s="21"/>
      <c r="AK179" s="21"/>
      <c r="AN179" s="21"/>
      <c r="AQ179" s="21"/>
      <c r="AT179" s="21"/>
      <c r="AW179" s="21"/>
      <c r="AZ179" s="21"/>
      <c r="BC179" s="21"/>
      <c r="BF179" s="21"/>
      <c r="BI179" s="21"/>
      <c r="BL179" s="21"/>
      <c r="BO179" s="21"/>
      <c r="BR179" s="21"/>
    </row>
    <row r="180">
      <c r="L180" s="20"/>
      <c r="M180" s="21"/>
      <c r="P180" s="21"/>
      <c r="S180" s="21"/>
      <c r="V180" s="21"/>
      <c r="Y180" s="21"/>
      <c r="AB180" s="21"/>
      <c r="AE180" s="21"/>
      <c r="AH180" s="21"/>
      <c r="AK180" s="21"/>
      <c r="AN180" s="21"/>
      <c r="AQ180" s="21"/>
      <c r="AT180" s="21"/>
      <c r="AW180" s="21"/>
      <c r="AZ180" s="21"/>
      <c r="BC180" s="21"/>
      <c r="BF180" s="21"/>
      <c r="BI180" s="21"/>
      <c r="BL180" s="21"/>
      <c r="BO180" s="21"/>
      <c r="BR180" s="21"/>
    </row>
    <row r="181">
      <c r="L181" s="20"/>
      <c r="M181" s="21"/>
      <c r="P181" s="21"/>
      <c r="S181" s="21"/>
      <c r="V181" s="21"/>
      <c r="Y181" s="21"/>
      <c r="AB181" s="21"/>
      <c r="AE181" s="21"/>
      <c r="AH181" s="21"/>
      <c r="AK181" s="21"/>
      <c r="AN181" s="21"/>
      <c r="AQ181" s="21"/>
      <c r="AT181" s="21"/>
      <c r="AW181" s="21"/>
      <c r="AZ181" s="21"/>
      <c r="BC181" s="21"/>
      <c r="BF181" s="21"/>
      <c r="BI181" s="21"/>
      <c r="BL181" s="21"/>
      <c r="BO181" s="21"/>
      <c r="BR181" s="21"/>
    </row>
    <row r="182">
      <c r="L182" s="20"/>
      <c r="M182" s="21"/>
      <c r="P182" s="21"/>
      <c r="S182" s="21"/>
      <c r="V182" s="21"/>
      <c r="Y182" s="21"/>
      <c r="AB182" s="21"/>
      <c r="AE182" s="21"/>
      <c r="AH182" s="21"/>
      <c r="AK182" s="21"/>
      <c r="AN182" s="21"/>
      <c r="AQ182" s="21"/>
      <c r="AT182" s="21"/>
      <c r="AW182" s="21"/>
      <c r="AZ182" s="21"/>
      <c r="BC182" s="21"/>
      <c r="BF182" s="21"/>
      <c r="BI182" s="21"/>
      <c r="BL182" s="21"/>
      <c r="BO182" s="21"/>
      <c r="BR182" s="21"/>
    </row>
    <row r="183">
      <c r="L183" s="20"/>
      <c r="M183" s="21"/>
      <c r="P183" s="21"/>
      <c r="S183" s="21"/>
      <c r="V183" s="21"/>
      <c r="Y183" s="21"/>
      <c r="AB183" s="21"/>
      <c r="AE183" s="21"/>
      <c r="AH183" s="21"/>
      <c r="AK183" s="21"/>
      <c r="AN183" s="21"/>
      <c r="AQ183" s="21"/>
      <c r="AT183" s="21"/>
      <c r="AW183" s="21"/>
      <c r="AZ183" s="21"/>
      <c r="BC183" s="21"/>
      <c r="BF183" s="21"/>
      <c r="BI183" s="21"/>
      <c r="BL183" s="21"/>
      <c r="BO183" s="21"/>
      <c r="BR183" s="21"/>
    </row>
    <row r="184">
      <c r="L184" s="20"/>
      <c r="M184" s="21"/>
      <c r="P184" s="21"/>
      <c r="S184" s="21"/>
      <c r="V184" s="21"/>
      <c r="Y184" s="21"/>
      <c r="AB184" s="21"/>
      <c r="AE184" s="21"/>
      <c r="AH184" s="21"/>
      <c r="AK184" s="21"/>
      <c r="AN184" s="21"/>
      <c r="AQ184" s="21"/>
      <c r="AT184" s="21"/>
      <c r="AW184" s="21"/>
      <c r="AZ184" s="21"/>
      <c r="BC184" s="21"/>
      <c r="BF184" s="21"/>
      <c r="BI184" s="21"/>
      <c r="BL184" s="21"/>
      <c r="BO184" s="21"/>
      <c r="BR184" s="21"/>
    </row>
    <row r="185">
      <c r="L185" s="20"/>
      <c r="M185" s="21"/>
      <c r="P185" s="21"/>
      <c r="S185" s="21"/>
      <c r="V185" s="21"/>
      <c r="Y185" s="21"/>
      <c r="AB185" s="21"/>
      <c r="AE185" s="21"/>
      <c r="AH185" s="21"/>
      <c r="AK185" s="21"/>
      <c r="AN185" s="21"/>
      <c r="AQ185" s="21"/>
      <c r="AT185" s="21"/>
      <c r="AW185" s="21"/>
      <c r="AZ185" s="21"/>
      <c r="BC185" s="21"/>
      <c r="BF185" s="21"/>
      <c r="BI185" s="21"/>
      <c r="BL185" s="21"/>
      <c r="BO185" s="21"/>
      <c r="BR185" s="21"/>
    </row>
    <row r="186">
      <c r="L186" s="20"/>
      <c r="M186" s="21"/>
      <c r="P186" s="21"/>
      <c r="S186" s="21"/>
      <c r="V186" s="21"/>
      <c r="Y186" s="21"/>
      <c r="AB186" s="21"/>
      <c r="AE186" s="21"/>
      <c r="AH186" s="21"/>
      <c r="AK186" s="21"/>
      <c r="AN186" s="21"/>
      <c r="AQ186" s="21"/>
      <c r="AT186" s="21"/>
      <c r="AW186" s="21"/>
      <c r="AZ186" s="21"/>
      <c r="BC186" s="21"/>
      <c r="BF186" s="21"/>
      <c r="BI186" s="21"/>
      <c r="BL186" s="21"/>
      <c r="BO186" s="21"/>
      <c r="BR186" s="21"/>
    </row>
    <row r="187">
      <c r="L187" s="20"/>
      <c r="M187" s="21"/>
      <c r="P187" s="21"/>
      <c r="S187" s="21"/>
      <c r="V187" s="21"/>
      <c r="Y187" s="21"/>
      <c r="AB187" s="21"/>
      <c r="AE187" s="21"/>
      <c r="AH187" s="21"/>
      <c r="AK187" s="21"/>
      <c r="AN187" s="21"/>
      <c r="AQ187" s="21"/>
      <c r="AT187" s="21"/>
      <c r="AW187" s="21"/>
      <c r="AZ187" s="21"/>
      <c r="BC187" s="21"/>
      <c r="BF187" s="21"/>
      <c r="BI187" s="21"/>
      <c r="BL187" s="21"/>
      <c r="BO187" s="21"/>
      <c r="BR187" s="21"/>
    </row>
    <row r="188">
      <c r="L188" s="20"/>
      <c r="M188" s="21"/>
      <c r="P188" s="21"/>
      <c r="S188" s="21"/>
      <c r="V188" s="21"/>
      <c r="Y188" s="21"/>
      <c r="AB188" s="21"/>
      <c r="AE188" s="21"/>
      <c r="AH188" s="21"/>
      <c r="AK188" s="21"/>
      <c r="AN188" s="21"/>
      <c r="AQ188" s="21"/>
      <c r="AT188" s="21"/>
      <c r="AW188" s="21"/>
      <c r="AZ188" s="21"/>
      <c r="BC188" s="21"/>
      <c r="BF188" s="21"/>
      <c r="BI188" s="21"/>
      <c r="BL188" s="21"/>
      <c r="BO188" s="21"/>
      <c r="BR188" s="21"/>
    </row>
    <row r="189">
      <c r="L189" s="20"/>
      <c r="M189" s="21"/>
      <c r="P189" s="21"/>
      <c r="S189" s="21"/>
      <c r="V189" s="21"/>
      <c r="Y189" s="21"/>
      <c r="AB189" s="21"/>
      <c r="AE189" s="21"/>
      <c r="AH189" s="21"/>
      <c r="AK189" s="21"/>
      <c r="AN189" s="21"/>
      <c r="AQ189" s="21"/>
      <c r="AT189" s="21"/>
      <c r="AW189" s="21"/>
      <c r="AZ189" s="21"/>
      <c r="BC189" s="21"/>
      <c r="BF189" s="21"/>
      <c r="BI189" s="21"/>
      <c r="BL189" s="21"/>
      <c r="BO189" s="21"/>
      <c r="BR189" s="21"/>
    </row>
    <row r="190">
      <c r="L190" s="20"/>
      <c r="M190" s="21"/>
      <c r="P190" s="21"/>
      <c r="S190" s="21"/>
      <c r="V190" s="21"/>
      <c r="Y190" s="21"/>
      <c r="AB190" s="21"/>
      <c r="AE190" s="21"/>
      <c r="AH190" s="21"/>
      <c r="AK190" s="21"/>
      <c r="AN190" s="21"/>
      <c r="AQ190" s="21"/>
      <c r="AT190" s="21"/>
      <c r="AW190" s="21"/>
      <c r="AZ190" s="21"/>
      <c r="BC190" s="21"/>
      <c r="BF190" s="21"/>
      <c r="BI190" s="21"/>
      <c r="BL190" s="21"/>
      <c r="BO190" s="21"/>
      <c r="BR190" s="21"/>
    </row>
    <row r="191">
      <c r="L191" s="20"/>
      <c r="M191" s="21"/>
      <c r="P191" s="21"/>
      <c r="S191" s="21"/>
      <c r="V191" s="21"/>
      <c r="Y191" s="21"/>
      <c r="AB191" s="21"/>
      <c r="AE191" s="21"/>
      <c r="AH191" s="21"/>
      <c r="AK191" s="21"/>
      <c r="AN191" s="21"/>
      <c r="AQ191" s="21"/>
      <c r="AT191" s="21"/>
      <c r="AW191" s="21"/>
      <c r="AZ191" s="21"/>
      <c r="BC191" s="21"/>
      <c r="BF191" s="21"/>
      <c r="BI191" s="21"/>
      <c r="BL191" s="21"/>
      <c r="BO191" s="21"/>
      <c r="BR191" s="21"/>
    </row>
    <row r="192">
      <c r="L192" s="20"/>
      <c r="M192" s="21"/>
      <c r="P192" s="21"/>
      <c r="S192" s="21"/>
      <c r="V192" s="21"/>
      <c r="Y192" s="21"/>
      <c r="AB192" s="21"/>
      <c r="AE192" s="21"/>
      <c r="AH192" s="21"/>
      <c r="AK192" s="21"/>
      <c r="AN192" s="21"/>
      <c r="AQ192" s="21"/>
      <c r="AT192" s="21"/>
      <c r="AW192" s="21"/>
      <c r="AZ192" s="21"/>
      <c r="BC192" s="21"/>
      <c r="BF192" s="21"/>
      <c r="BI192" s="21"/>
      <c r="BL192" s="21"/>
      <c r="BO192" s="21"/>
      <c r="BR192" s="21"/>
    </row>
    <row r="193">
      <c r="L193" s="20"/>
      <c r="M193" s="21"/>
      <c r="P193" s="21"/>
      <c r="S193" s="21"/>
      <c r="V193" s="21"/>
      <c r="Y193" s="21"/>
      <c r="AB193" s="21"/>
      <c r="AE193" s="21"/>
      <c r="AH193" s="21"/>
      <c r="AK193" s="21"/>
      <c r="AN193" s="21"/>
      <c r="AQ193" s="21"/>
      <c r="AT193" s="21"/>
      <c r="AW193" s="21"/>
      <c r="AZ193" s="21"/>
      <c r="BC193" s="21"/>
      <c r="BF193" s="21"/>
      <c r="BI193" s="21"/>
      <c r="BL193" s="21"/>
      <c r="BO193" s="21"/>
      <c r="BR193" s="21"/>
    </row>
    <row r="194">
      <c r="L194" s="20"/>
      <c r="M194" s="21"/>
      <c r="P194" s="21"/>
      <c r="S194" s="21"/>
      <c r="V194" s="21"/>
      <c r="Y194" s="21"/>
      <c r="AB194" s="21"/>
      <c r="AE194" s="21"/>
      <c r="AH194" s="21"/>
      <c r="AK194" s="21"/>
      <c r="AN194" s="21"/>
      <c r="AQ194" s="21"/>
      <c r="AT194" s="21"/>
      <c r="AW194" s="21"/>
      <c r="AZ194" s="21"/>
      <c r="BC194" s="21"/>
      <c r="BF194" s="21"/>
      <c r="BI194" s="21"/>
      <c r="BL194" s="21"/>
      <c r="BO194" s="21"/>
      <c r="BR194" s="21"/>
    </row>
    <row r="195">
      <c r="L195" s="20"/>
      <c r="M195" s="21"/>
      <c r="P195" s="21"/>
      <c r="S195" s="21"/>
      <c r="V195" s="21"/>
      <c r="Y195" s="21"/>
      <c r="AB195" s="21"/>
      <c r="AE195" s="21"/>
      <c r="AH195" s="21"/>
      <c r="AK195" s="21"/>
      <c r="AN195" s="21"/>
      <c r="AQ195" s="21"/>
      <c r="AT195" s="21"/>
      <c r="AW195" s="21"/>
      <c r="AZ195" s="21"/>
      <c r="BC195" s="21"/>
      <c r="BF195" s="21"/>
      <c r="BI195" s="21"/>
      <c r="BL195" s="21"/>
      <c r="BO195" s="21"/>
      <c r="BR195" s="21"/>
    </row>
    <row r="196">
      <c r="L196" s="20"/>
      <c r="M196" s="21"/>
      <c r="P196" s="21"/>
      <c r="S196" s="21"/>
      <c r="V196" s="21"/>
      <c r="Y196" s="21"/>
      <c r="AB196" s="21"/>
      <c r="AE196" s="21"/>
      <c r="AH196" s="21"/>
      <c r="AK196" s="21"/>
      <c r="AN196" s="21"/>
      <c r="AQ196" s="21"/>
      <c r="AT196" s="21"/>
      <c r="AW196" s="21"/>
      <c r="AZ196" s="21"/>
      <c r="BC196" s="21"/>
      <c r="BF196" s="21"/>
      <c r="BI196" s="21"/>
      <c r="BL196" s="21"/>
      <c r="BO196" s="21"/>
      <c r="BR196" s="21"/>
    </row>
    <row r="197">
      <c r="L197" s="20"/>
      <c r="M197" s="21"/>
      <c r="P197" s="21"/>
      <c r="S197" s="21"/>
      <c r="V197" s="21"/>
      <c r="Y197" s="21"/>
      <c r="AB197" s="21"/>
      <c r="AE197" s="21"/>
      <c r="AH197" s="21"/>
      <c r="AK197" s="21"/>
      <c r="AN197" s="21"/>
      <c r="AQ197" s="21"/>
      <c r="AT197" s="21"/>
      <c r="AW197" s="21"/>
      <c r="AZ197" s="21"/>
      <c r="BC197" s="21"/>
      <c r="BF197" s="21"/>
      <c r="BI197" s="21"/>
      <c r="BL197" s="21"/>
      <c r="BO197" s="21"/>
      <c r="BR197" s="21"/>
    </row>
    <row r="198">
      <c r="L198" s="20"/>
      <c r="M198" s="21"/>
      <c r="P198" s="21"/>
      <c r="S198" s="21"/>
      <c r="V198" s="21"/>
      <c r="Y198" s="21"/>
      <c r="AB198" s="21"/>
      <c r="AE198" s="21"/>
      <c r="AH198" s="21"/>
      <c r="AK198" s="21"/>
      <c r="AN198" s="21"/>
      <c r="AQ198" s="21"/>
      <c r="AT198" s="21"/>
      <c r="AW198" s="21"/>
      <c r="AZ198" s="21"/>
      <c r="BC198" s="21"/>
      <c r="BF198" s="21"/>
      <c r="BI198" s="21"/>
      <c r="BL198" s="21"/>
      <c r="BO198" s="21"/>
      <c r="BR198" s="21"/>
    </row>
    <row r="199">
      <c r="L199" s="20"/>
      <c r="M199" s="21"/>
      <c r="P199" s="21"/>
      <c r="S199" s="21"/>
      <c r="V199" s="21"/>
      <c r="Y199" s="21"/>
      <c r="AB199" s="21"/>
      <c r="AE199" s="21"/>
      <c r="AH199" s="21"/>
      <c r="AK199" s="21"/>
      <c r="AN199" s="21"/>
      <c r="AQ199" s="21"/>
      <c r="AT199" s="21"/>
      <c r="AW199" s="21"/>
      <c r="AZ199" s="21"/>
      <c r="BC199" s="21"/>
      <c r="BF199" s="21"/>
      <c r="BI199" s="21"/>
      <c r="BL199" s="21"/>
      <c r="BO199" s="21"/>
      <c r="BR199" s="21"/>
    </row>
    <row r="200">
      <c r="L200" s="20"/>
      <c r="M200" s="21"/>
      <c r="P200" s="21"/>
      <c r="S200" s="21"/>
      <c r="V200" s="21"/>
      <c r="Y200" s="21"/>
      <c r="AB200" s="21"/>
      <c r="AE200" s="21"/>
      <c r="AH200" s="21"/>
      <c r="AK200" s="21"/>
      <c r="AN200" s="21"/>
      <c r="AQ200" s="21"/>
      <c r="AT200" s="21"/>
      <c r="AW200" s="21"/>
      <c r="AZ200" s="21"/>
      <c r="BC200" s="21"/>
      <c r="BF200" s="21"/>
      <c r="BI200" s="21"/>
      <c r="BL200" s="21"/>
      <c r="BO200" s="21"/>
      <c r="BR200" s="21"/>
    </row>
    <row r="201">
      <c r="L201" s="20"/>
      <c r="M201" s="21"/>
      <c r="P201" s="21"/>
      <c r="S201" s="21"/>
      <c r="V201" s="21"/>
      <c r="Y201" s="21"/>
      <c r="AB201" s="21"/>
      <c r="AE201" s="21"/>
      <c r="AH201" s="21"/>
      <c r="AK201" s="21"/>
      <c r="AN201" s="21"/>
      <c r="AQ201" s="21"/>
      <c r="AT201" s="21"/>
      <c r="AW201" s="21"/>
      <c r="AZ201" s="21"/>
      <c r="BC201" s="21"/>
      <c r="BF201" s="21"/>
      <c r="BI201" s="21"/>
      <c r="BL201" s="21"/>
      <c r="BO201" s="21"/>
      <c r="BR201" s="21"/>
    </row>
    <row r="202">
      <c r="L202" s="20"/>
      <c r="M202" s="21"/>
      <c r="P202" s="21"/>
      <c r="S202" s="21"/>
      <c r="V202" s="21"/>
      <c r="Y202" s="21"/>
      <c r="AB202" s="21"/>
      <c r="AE202" s="21"/>
      <c r="AH202" s="21"/>
      <c r="AK202" s="21"/>
      <c r="AN202" s="21"/>
      <c r="AQ202" s="21"/>
      <c r="AT202" s="21"/>
      <c r="AW202" s="21"/>
      <c r="AZ202" s="21"/>
      <c r="BC202" s="21"/>
      <c r="BF202" s="21"/>
      <c r="BI202" s="21"/>
      <c r="BL202" s="21"/>
      <c r="BO202" s="21"/>
      <c r="BR202" s="21"/>
    </row>
    <row r="203">
      <c r="L203" s="20"/>
      <c r="M203" s="21"/>
      <c r="P203" s="21"/>
      <c r="S203" s="21"/>
      <c r="V203" s="21"/>
      <c r="Y203" s="21"/>
      <c r="AB203" s="21"/>
      <c r="AE203" s="21"/>
      <c r="AH203" s="21"/>
      <c r="AK203" s="21"/>
      <c r="AN203" s="21"/>
      <c r="AQ203" s="21"/>
      <c r="AT203" s="21"/>
      <c r="AW203" s="21"/>
      <c r="AZ203" s="21"/>
      <c r="BC203" s="21"/>
      <c r="BF203" s="21"/>
      <c r="BI203" s="21"/>
      <c r="BL203" s="21"/>
      <c r="BO203" s="21"/>
      <c r="BR203" s="21"/>
    </row>
    <row r="204">
      <c r="L204" s="20"/>
      <c r="M204" s="21"/>
      <c r="P204" s="21"/>
      <c r="S204" s="21"/>
      <c r="V204" s="21"/>
      <c r="Y204" s="21"/>
      <c r="AB204" s="21"/>
      <c r="AE204" s="21"/>
      <c r="AH204" s="21"/>
      <c r="AK204" s="21"/>
      <c r="AN204" s="21"/>
      <c r="AQ204" s="21"/>
      <c r="AT204" s="21"/>
      <c r="AW204" s="21"/>
      <c r="AZ204" s="21"/>
      <c r="BC204" s="21"/>
      <c r="BF204" s="21"/>
      <c r="BI204" s="21"/>
      <c r="BL204" s="21"/>
      <c r="BO204" s="21"/>
      <c r="BR204" s="21"/>
    </row>
    <row r="205">
      <c r="L205" s="20"/>
      <c r="M205" s="21"/>
      <c r="P205" s="21"/>
      <c r="S205" s="21"/>
      <c r="V205" s="21"/>
      <c r="Y205" s="21"/>
      <c r="AB205" s="21"/>
      <c r="AE205" s="21"/>
      <c r="AH205" s="21"/>
      <c r="AK205" s="21"/>
      <c r="AN205" s="21"/>
      <c r="AQ205" s="21"/>
      <c r="AT205" s="21"/>
      <c r="AW205" s="21"/>
      <c r="AZ205" s="21"/>
      <c r="BC205" s="21"/>
      <c r="BF205" s="21"/>
      <c r="BI205" s="21"/>
      <c r="BL205" s="21"/>
      <c r="BO205" s="21"/>
      <c r="BR205" s="21"/>
    </row>
    <row r="206">
      <c r="L206" s="20"/>
      <c r="M206" s="21"/>
      <c r="P206" s="21"/>
      <c r="S206" s="21"/>
      <c r="V206" s="21"/>
      <c r="Y206" s="21"/>
      <c r="AB206" s="21"/>
      <c r="AE206" s="21"/>
      <c r="AH206" s="21"/>
      <c r="AK206" s="21"/>
      <c r="AN206" s="21"/>
      <c r="AQ206" s="21"/>
      <c r="AT206" s="21"/>
      <c r="AW206" s="21"/>
      <c r="AZ206" s="21"/>
      <c r="BC206" s="21"/>
      <c r="BF206" s="21"/>
      <c r="BI206" s="21"/>
      <c r="BL206" s="21"/>
      <c r="BO206" s="21"/>
      <c r="BR206" s="21"/>
    </row>
    <row r="207">
      <c r="L207" s="20"/>
      <c r="M207" s="21"/>
      <c r="P207" s="21"/>
      <c r="S207" s="21"/>
      <c r="V207" s="21"/>
      <c r="Y207" s="21"/>
      <c r="AB207" s="21"/>
      <c r="AE207" s="21"/>
      <c r="AH207" s="21"/>
      <c r="AK207" s="21"/>
      <c r="AN207" s="21"/>
      <c r="AQ207" s="21"/>
      <c r="AT207" s="21"/>
      <c r="AW207" s="21"/>
      <c r="AZ207" s="21"/>
      <c r="BC207" s="21"/>
      <c r="BF207" s="21"/>
      <c r="BI207" s="21"/>
      <c r="BL207" s="21"/>
      <c r="BO207" s="21"/>
      <c r="BR207" s="21"/>
    </row>
    <row r="208">
      <c r="L208" s="20"/>
      <c r="M208" s="21"/>
      <c r="P208" s="21"/>
      <c r="S208" s="21"/>
      <c r="V208" s="21"/>
      <c r="Y208" s="21"/>
      <c r="AB208" s="21"/>
      <c r="AE208" s="21"/>
      <c r="AH208" s="21"/>
      <c r="AK208" s="21"/>
      <c r="AN208" s="21"/>
      <c r="AQ208" s="21"/>
      <c r="AT208" s="21"/>
      <c r="AW208" s="21"/>
      <c r="AZ208" s="21"/>
      <c r="BC208" s="21"/>
      <c r="BF208" s="21"/>
      <c r="BI208" s="21"/>
      <c r="BL208" s="21"/>
      <c r="BO208" s="21"/>
      <c r="BR208" s="21"/>
    </row>
    <row r="209">
      <c r="L209" s="20"/>
      <c r="M209" s="21"/>
      <c r="P209" s="21"/>
      <c r="S209" s="21"/>
      <c r="V209" s="21"/>
      <c r="Y209" s="21"/>
      <c r="AB209" s="21"/>
      <c r="AE209" s="21"/>
      <c r="AH209" s="21"/>
      <c r="AK209" s="21"/>
      <c r="AN209" s="21"/>
      <c r="AQ209" s="21"/>
      <c r="AT209" s="21"/>
      <c r="AW209" s="21"/>
      <c r="AZ209" s="21"/>
      <c r="BC209" s="21"/>
      <c r="BF209" s="21"/>
      <c r="BI209" s="21"/>
      <c r="BL209" s="21"/>
      <c r="BO209" s="21"/>
      <c r="BR209" s="21"/>
    </row>
    <row r="210">
      <c r="L210" s="20"/>
      <c r="M210" s="21"/>
      <c r="P210" s="21"/>
      <c r="S210" s="21"/>
      <c r="V210" s="21"/>
      <c r="Y210" s="21"/>
      <c r="AB210" s="21"/>
      <c r="AE210" s="21"/>
      <c r="AH210" s="21"/>
      <c r="AK210" s="21"/>
      <c r="AN210" s="21"/>
      <c r="AQ210" s="21"/>
      <c r="AT210" s="21"/>
      <c r="AW210" s="21"/>
      <c r="AZ210" s="21"/>
      <c r="BC210" s="21"/>
      <c r="BF210" s="21"/>
      <c r="BI210" s="21"/>
      <c r="BL210" s="21"/>
      <c r="BO210" s="21"/>
      <c r="BR210" s="21"/>
    </row>
    <row r="211">
      <c r="L211" s="20"/>
      <c r="M211" s="21"/>
      <c r="P211" s="21"/>
      <c r="S211" s="21"/>
      <c r="V211" s="21"/>
      <c r="Y211" s="21"/>
      <c r="AB211" s="21"/>
      <c r="AE211" s="21"/>
      <c r="AH211" s="21"/>
      <c r="AK211" s="21"/>
      <c r="AN211" s="21"/>
      <c r="AQ211" s="21"/>
      <c r="AT211" s="21"/>
      <c r="AW211" s="21"/>
      <c r="AZ211" s="21"/>
      <c r="BC211" s="21"/>
      <c r="BF211" s="21"/>
      <c r="BI211" s="21"/>
      <c r="BL211" s="21"/>
      <c r="BO211" s="21"/>
      <c r="BR211" s="21"/>
    </row>
    <row r="212">
      <c r="L212" s="20"/>
      <c r="M212" s="21"/>
      <c r="P212" s="21"/>
      <c r="S212" s="21"/>
      <c r="V212" s="21"/>
      <c r="Y212" s="21"/>
      <c r="AB212" s="21"/>
      <c r="AE212" s="21"/>
      <c r="AH212" s="21"/>
      <c r="AK212" s="21"/>
      <c r="AN212" s="21"/>
      <c r="AQ212" s="21"/>
      <c r="AT212" s="21"/>
      <c r="AW212" s="21"/>
      <c r="AZ212" s="21"/>
      <c r="BC212" s="21"/>
      <c r="BF212" s="21"/>
      <c r="BI212" s="21"/>
      <c r="BL212" s="21"/>
      <c r="BO212" s="21"/>
      <c r="BR212" s="21"/>
    </row>
    <row r="213">
      <c r="L213" s="20"/>
      <c r="M213" s="21"/>
      <c r="P213" s="21"/>
      <c r="S213" s="21"/>
      <c r="V213" s="21"/>
      <c r="Y213" s="21"/>
      <c r="AB213" s="21"/>
      <c r="AE213" s="21"/>
      <c r="AH213" s="21"/>
      <c r="AK213" s="21"/>
      <c r="AN213" s="21"/>
      <c r="AQ213" s="21"/>
      <c r="AT213" s="21"/>
      <c r="AW213" s="21"/>
      <c r="AZ213" s="21"/>
      <c r="BC213" s="21"/>
      <c r="BF213" s="21"/>
      <c r="BI213" s="21"/>
      <c r="BL213" s="21"/>
      <c r="BO213" s="21"/>
      <c r="BR213" s="21"/>
    </row>
    <row r="214">
      <c r="L214" s="20"/>
      <c r="M214" s="21"/>
      <c r="P214" s="21"/>
      <c r="S214" s="21"/>
      <c r="V214" s="21"/>
      <c r="Y214" s="21"/>
      <c r="AB214" s="21"/>
      <c r="AE214" s="21"/>
      <c r="AH214" s="21"/>
      <c r="AK214" s="21"/>
      <c r="AN214" s="21"/>
      <c r="AQ214" s="21"/>
      <c r="AT214" s="21"/>
      <c r="AW214" s="21"/>
      <c r="AZ214" s="21"/>
      <c r="BC214" s="21"/>
      <c r="BF214" s="21"/>
      <c r="BI214" s="21"/>
      <c r="BL214" s="21"/>
      <c r="BO214" s="21"/>
      <c r="BR214" s="21"/>
    </row>
    <row r="215">
      <c r="L215" s="20"/>
      <c r="M215" s="21"/>
      <c r="P215" s="21"/>
      <c r="S215" s="21"/>
      <c r="V215" s="21"/>
      <c r="Y215" s="21"/>
      <c r="AB215" s="21"/>
      <c r="AE215" s="21"/>
      <c r="AH215" s="21"/>
      <c r="AK215" s="21"/>
      <c r="AN215" s="21"/>
      <c r="AQ215" s="21"/>
      <c r="AT215" s="21"/>
      <c r="AW215" s="21"/>
      <c r="AZ215" s="21"/>
      <c r="BC215" s="21"/>
      <c r="BF215" s="21"/>
      <c r="BI215" s="21"/>
      <c r="BL215" s="21"/>
      <c r="BO215" s="21"/>
      <c r="BR215" s="21"/>
    </row>
    <row r="216">
      <c r="L216" s="20"/>
      <c r="M216" s="21"/>
      <c r="P216" s="21"/>
      <c r="S216" s="21"/>
      <c r="V216" s="21"/>
      <c r="Y216" s="21"/>
      <c r="AB216" s="21"/>
      <c r="AE216" s="21"/>
      <c r="AH216" s="21"/>
      <c r="AK216" s="21"/>
      <c r="AN216" s="21"/>
      <c r="AQ216" s="21"/>
      <c r="AT216" s="21"/>
      <c r="AW216" s="21"/>
      <c r="AZ216" s="21"/>
      <c r="BC216" s="21"/>
      <c r="BF216" s="21"/>
      <c r="BI216" s="21"/>
      <c r="BL216" s="21"/>
      <c r="BO216" s="21"/>
      <c r="BR216" s="21"/>
    </row>
    <row r="217">
      <c r="L217" s="20"/>
      <c r="M217" s="21"/>
      <c r="P217" s="21"/>
      <c r="S217" s="21"/>
      <c r="V217" s="21"/>
      <c r="Y217" s="21"/>
      <c r="AB217" s="21"/>
      <c r="AE217" s="21"/>
      <c r="AH217" s="21"/>
      <c r="AK217" s="21"/>
      <c r="AN217" s="21"/>
      <c r="AQ217" s="21"/>
      <c r="AT217" s="21"/>
      <c r="AW217" s="21"/>
      <c r="AZ217" s="21"/>
      <c r="BC217" s="21"/>
      <c r="BF217" s="21"/>
      <c r="BI217" s="21"/>
      <c r="BL217" s="21"/>
      <c r="BO217" s="21"/>
      <c r="BR217" s="21"/>
    </row>
    <row r="218">
      <c r="L218" s="20"/>
      <c r="M218" s="21"/>
      <c r="P218" s="21"/>
      <c r="S218" s="21"/>
      <c r="V218" s="21"/>
      <c r="Y218" s="21"/>
      <c r="AB218" s="21"/>
      <c r="AE218" s="21"/>
      <c r="AH218" s="21"/>
      <c r="AK218" s="21"/>
      <c r="AN218" s="21"/>
      <c r="AQ218" s="21"/>
      <c r="AT218" s="21"/>
      <c r="AW218" s="21"/>
      <c r="AZ218" s="21"/>
      <c r="BC218" s="21"/>
      <c r="BF218" s="21"/>
      <c r="BI218" s="21"/>
      <c r="BL218" s="21"/>
      <c r="BO218" s="21"/>
      <c r="BR218" s="21"/>
    </row>
    <row r="219">
      <c r="L219" s="20"/>
      <c r="M219" s="21"/>
      <c r="P219" s="21"/>
      <c r="S219" s="21"/>
      <c r="V219" s="21"/>
      <c r="Y219" s="21"/>
      <c r="AB219" s="21"/>
      <c r="AE219" s="21"/>
      <c r="AH219" s="21"/>
      <c r="AK219" s="21"/>
      <c r="AN219" s="21"/>
      <c r="AQ219" s="21"/>
      <c r="AT219" s="21"/>
      <c r="AW219" s="21"/>
      <c r="AZ219" s="21"/>
      <c r="BC219" s="21"/>
      <c r="BF219" s="21"/>
      <c r="BI219" s="21"/>
      <c r="BL219" s="21"/>
      <c r="BO219" s="21"/>
      <c r="BR219" s="21"/>
    </row>
    <row r="220">
      <c r="L220" s="20"/>
      <c r="M220" s="21"/>
      <c r="P220" s="21"/>
      <c r="S220" s="21"/>
      <c r="V220" s="21"/>
      <c r="Y220" s="21"/>
      <c r="AB220" s="21"/>
      <c r="AE220" s="21"/>
      <c r="AH220" s="21"/>
      <c r="AK220" s="21"/>
      <c r="AN220" s="21"/>
      <c r="AQ220" s="21"/>
      <c r="AT220" s="21"/>
      <c r="AW220" s="21"/>
      <c r="AZ220" s="21"/>
      <c r="BC220" s="21"/>
      <c r="BF220" s="21"/>
      <c r="BI220" s="21"/>
      <c r="BL220" s="21"/>
      <c r="BO220" s="21"/>
      <c r="BR220" s="21"/>
    </row>
    <row r="221">
      <c r="L221" s="20"/>
      <c r="M221" s="21"/>
      <c r="P221" s="21"/>
      <c r="S221" s="21"/>
      <c r="V221" s="21"/>
      <c r="Y221" s="21"/>
      <c r="AB221" s="21"/>
      <c r="AE221" s="21"/>
      <c r="AH221" s="21"/>
      <c r="AK221" s="21"/>
      <c r="AN221" s="21"/>
      <c r="AQ221" s="21"/>
      <c r="AT221" s="21"/>
      <c r="AW221" s="21"/>
      <c r="AZ221" s="21"/>
      <c r="BC221" s="21"/>
      <c r="BF221" s="21"/>
      <c r="BI221" s="21"/>
      <c r="BL221" s="21"/>
      <c r="BO221" s="21"/>
      <c r="BR221" s="21"/>
    </row>
    <row r="222">
      <c r="L222" s="20"/>
      <c r="M222" s="21"/>
      <c r="P222" s="21"/>
      <c r="S222" s="21"/>
      <c r="V222" s="21"/>
      <c r="Y222" s="21"/>
      <c r="AB222" s="21"/>
      <c r="AE222" s="21"/>
      <c r="AH222" s="21"/>
      <c r="AK222" s="21"/>
      <c r="AN222" s="21"/>
      <c r="AQ222" s="21"/>
      <c r="AT222" s="21"/>
      <c r="AW222" s="21"/>
      <c r="AZ222" s="21"/>
      <c r="BC222" s="21"/>
      <c r="BF222" s="21"/>
      <c r="BI222" s="21"/>
      <c r="BL222" s="21"/>
      <c r="BO222" s="21"/>
      <c r="BR222" s="21"/>
    </row>
    <row r="223">
      <c r="L223" s="20"/>
      <c r="M223" s="21"/>
      <c r="P223" s="21"/>
      <c r="S223" s="21"/>
      <c r="V223" s="21"/>
      <c r="Y223" s="21"/>
      <c r="AB223" s="21"/>
      <c r="AE223" s="21"/>
      <c r="AH223" s="21"/>
      <c r="AK223" s="21"/>
      <c r="AN223" s="21"/>
      <c r="AQ223" s="21"/>
      <c r="AT223" s="21"/>
      <c r="AW223" s="21"/>
      <c r="AZ223" s="21"/>
      <c r="BC223" s="21"/>
      <c r="BF223" s="21"/>
      <c r="BI223" s="21"/>
      <c r="BL223" s="21"/>
      <c r="BO223" s="21"/>
      <c r="BR223" s="21"/>
    </row>
    <row r="224">
      <c r="L224" s="20"/>
      <c r="M224" s="21"/>
      <c r="P224" s="21"/>
      <c r="S224" s="21"/>
      <c r="V224" s="21"/>
      <c r="Y224" s="21"/>
      <c r="AB224" s="21"/>
      <c r="AE224" s="21"/>
      <c r="AH224" s="21"/>
      <c r="AK224" s="21"/>
      <c r="AN224" s="21"/>
      <c r="AQ224" s="21"/>
      <c r="AT224" s="21"/>
      <c r="AW224" s="21"/>
      <c r="AZ224" s="21"/>
      <c r="BC224" s="21"/>
      <c r="BF224" s="21"/>
      <c r="BI224" s="21"/>
      <c r="BL224" s="21"/>
      <c r="BO224" s="21"/>
      <c r="BR224" s="21"/>
    </row>
    <row r="225">
      <c r="L225" s="20"/>
      <c r="M225" s="21"/>
      <c r="P225" s="21"/>
      <c r="S225" s="21"/>
      <c r="V225" s="21"/>
      <c r="Y225" s="21"/>
      <c r="AB225" s="21"/>
      <c r="AE225" s="21"/>
      <c r="AH225" s="21"/>
      <c r="AK225" s="21"/>
      <c r="AN225" s="21"/>
      <c r="AQ225" s="21"/>
      <c r="AT225" s="21"/>
      <c r="AW225" s="21"/>
      <c r="AZ225" s="21"/>
      <c r="BC225" s="21"/>
      <c r="BF225" s="21"/>
      <c r="BI225" s="21"/>
      <c r="BL225" s="21"/>
      <c r="BO225" s="21"/>
      <c r="BR225" s="21"/>
    </row>
    <row r="226">
      <c r="L226" s="20"/>
      <c r="M226" s="21"/>
      <c r="P226" s="21"/>
      <c r="S226" s="21"/>
      <c r="V226" s="21"/>
      <c r="Y226" s="21"/>
      <c r="AB226" s="21"/>
      <c r="AE226" s="21"/>
      <c r="AH226" s="21"/>
      <c r="AK226" s="21"/>
      <c r="AN226" s="21"/>
      <c r="AQ226" s="21"/>
      <c r="AT226" s="21"/>
      <c r="AW226" s="21"/>
      <c r="AZ226" s="21"/>
      <c r="BC226" s="21"/>
      <c r="BF226" s="21"/>
      <c r="BI226" s="21"/>
      <c r="BL226" s="21"/>
      <c r="BO226" s="21"/>
      <c r="BR226" s="21"/>
    </row>
    <row r="227">
      <c r="L227" s="20"/>
      <c r="M227" s="21"/>
      <c r="P227" s="21"/>
      <c r="S227" s="21"/>
      <c r="V227" s="21"/>
      <c r="Y227" s="21"/>
      <c r="AB227" s="21"/>
      <c r="AE227" s="21"/>
      <c r="AH227" s="21"/>
      <c r="AK227" s="21"/>
      <c r="AN227" s="21"/>
      <c r="AQ227" s="21"/>
      <c r="AT227" s="21"/>
      <c r="AW227" s="21"/>
      <c r="AZ227" s="21"/>
      <c r="BC227" s="21"/>
      <c r="BF227" s="21"/>
      <c r="BI227" s="21"/>
      <c r="BL227" s="21"/>
      <c r="BO227" s="21"/>
      <c r="BR227" s="21"/>
    </row>
    <row r="228">
      <c r="L228" s="20"/>
      <c r="M228" s="21"/>
      <c r="P228" s="21"/>
      <c r="S228" s="21"/>
      <c r="V228" s="21"/>
      <c r="Y228" s="21"/>
      <c r="AB228" s="21"/>
      <c r="AE228" s="21"/>
      <c r="AH228" s="21"/>
      <c r="AK228" s="21"/>
      <c r="AN228" s="21"/>
      <c r="AQ228" s="21"/>
      <c r="AT228" s="21"/>
      <c r="AW228" s="21"/>
      <c r="AZ228" s="21"/>
      <c r="BC228" s="21"/>
      <c r="BF228" s="21"/>
      <c r="BI228" s="21"/>
      <c r="BL228" s="21"/>
      <c r="BO228" s="21"/>
      <c r="BR228" s="21"/>
    </row>
    <row r="229">
      <c r="L229" s="20"/>
      <c r="M229" s="21"/>
      <c r="P229" s="21"/>
      <c r="S229" s="21"/>
      <c r="V229" s="21"/>
      <c r="Y229" s="21"/>
      <c r="AB229" s="21"/>
      <c r="AE229" s="21"/>
      <c r="AH229" s="21"/>
      <c r="AK229" s="21"/>
      <c r="AN229" s="21"/>
      <c r="AQ229" s="21"/>
      <c r="AT229" s="21"/>
      <c r="AW229" s="21"/>
      <c r="AZ229" s="21"/>
      <c r="BC229" s="21"/>
      <c r="BF229" s="21"/>
      <c r="BI229" s="21"/>
      <c r="BL229" s="21"/>
      <c r="BO229" s="21"/>
      <c r="BR229" s="21"/>
    </row>
    <row r="230">
      <c r="L230" s="20"/>
      <c r="M230" s="21"/>
      <c r="P230" s="21"/>
      <c r="S230" s="21"/>
      <c r="V230" s="21"/>
      <c r="Y230" s="21"/>
      <c r="AB230" s="21"/>
      <c r="AE230" s="21"/>
      <c r="AH230" s="21"/>
      <c r="AK230" s="21"/>
      <c r="AN230" s="21"/>
      <c r="AQ230" s="21"/>
      <c r="AT230" s="21"/>
      <c r="AW230" s="21"/>
      <c r="AZ230" s="21"/>
      <c r="BC230" s="21"/>
      <c r="BF230" s="21"/>
      <c r="BI230" s="21"/>
      <c r="BL230" s="21"/>
      <c r="BO230" s="21"/>
      <c r="BR230" s="21"/>
    </row>
    <row r="231">
      <c r="L231" s="20"/>
      <c r="M231" s="21"/>
      <c r="P231" s="21"/>
      <c r="S231" s="21"/>
      <c r="V231" s="21"/>
      <c r="Y231" s="21"/>
      <c r="AB231" s="21"/>
      <c r="AE231" s="21"/>
      <c r="AH231" s="21"/>
      <c r="AK231" s="21"/>
      <c r="AN231" s="21"/>
      <c r="AQ231" s="21"/>
      <c r="AT231" s="21"/>
      <c r="AW231" s="21"/>
      <c r="AZ231" s="21"/>
      <c r="BC231" s="21"/>
      <c r="BF231" s="21"/>
      <c r="BI231" s="21"/>
      <c r="BL231" s="21"/>
      <c r="BO231" s="21"/>
      <c r="BR231" s="21"/>
    </row>
    <row r="232">
      <c r="L232" s="20"/>
      <c r="M232" s="21"/>
      <c r="P232" s="21"/>
      <c r="S232" s="21"/>
      <c r="V232" s="21"/>
      <c r="Y232" s="21"/>
      <c r="AB232" s="21"/>
      <c r="AE232" s="21"/>
      <c r="AH232" s="21"/>
      <c r="AK232" s="21"/>
      <c r="AN232" s="21"/>
      <c r="AQ232" s="21"/>
      <c r="AT232" s="21"/>
      <c r="AW232" s="21"/>
      <c r="AZ232" s="21"/>
      <c r="BC232" s="21"/>
      <c r="BF232" s="21"/>
      <c r="BI232" s="21"/>
      <c r="BL232" s="21"/>
      <c r="BO232" s="21"/>
      <c r="BR232" s="21"/>
    </row>
    <row r="233">
      <c r="L233" s="20"/>
      <c r="M233" s="21"/>
      <c r="P233" s="21"/>
      <c r="S233" s="21"/>
      <c r="V233" s="21"/>
      <c r="Y233" s="21"/>
      <c r="AB233" s="21"/>
      <c r="AE233" s="21"/>
      <c r="AH233" s="21"/>
      <c r="AK233" s="21"/>
      <c r="AN233" s="21"/>
      <c r="AQ233" s="21"/>
      <c r="AT233" s="21"/>
      <c r="AW233" s="21"/>
      <c r="AZ233" s="21"/>
      <c r="BC233" s="21"/>
      <c r="BF233" s="21"/>
      <c r="BI233" s="21"/>
      <c r="BL233" s="21"/>
      <c r="BO233" s="21"/>
      <c r="BR233" s="21"/>
    </row>
    <row r="234">
      <c r="L234" s="20"/>
      <c r="M234" s="21"/>
      <c r="P234" s="21"/>
      <c r="S234" s="21"/>
      <c r="V234" s="21"/>
      <c r="Y234" s="21"/>
      <c r="AB234" s="21"/>
      <c r="AE234" s="21"/>
      <c r="AH234" s="21"/>
      <c r="AK234" s="21"/>
      <c r="AN234" s="21"/>
      <c r="AQ234" s="21"/>
      <c r="AT234" s="21"/>
      <c r="AW234" s="21"/>
      <c r="AZ234" s="21"/>
      <c r="BC234" s="21"/>
      <c r="BF234" s="21"/>
      <c r="BI234" s="21"/>
      <c r="BL234" s="21"/>
      <c r="BO234" s="21"/>
      <c r="BR234" s="21"/>
    </row>
    <row r="235">
      <c r="L235" s="20"/>
      <c r="M235" s="21"/>
      <c r="P235" s="21"/>
      <c r="S235" s="21"/>
      <c r="V235" s="21"/>
      <c r="Y235" s="21"/>
      <c r="AB235" s="21"/>
      <c r="AE235" s="21"/>
      <c r="AH235" s="21"/>
      <c r="AK235" s="21"/>
      <c r="AN235" s="21"/>
      <c r="AQ235" s="21"/>
      <c r="AT235" s="21"/>
      <c r="AW235" s="21"/>
      <c r="AZ235" s="21"/>
      <c r="BC235" s="21"/>
      <c r="BF235" s="21"/>
      <c r="BI235" s="21"/>
      <c r="BL235" s="21"/>
      <c r="BO235" s="21"/>
      <c r="BR235" s="21"/>
    </row>
    <row r="236">
      <c r="L236" s="20"/>
      <c r="M236" s="21"/>
      <c r="P236" s="21"/>
      <c r="S236" s="21"/>
      <c r="V236" s="21"/>
      <c r="Y236" s="21"/>
      <c r="AB236" s="21"/>
      <c r="AE236" s="21"/>
      <c r="AH236" s="21"/>
      <c r="AK236" s="21"/>
      <c r="AN236" s="21"/>
      <c r="AQ236" s="21"/>
      <c r="AT236" s="21"/>
      <c r="AW236" s="21"/>
      <c r="AZ236" s="21"/>
      <c r="BC236" s="21"/>
      <c r="BF236" s="21"/>
      <c r="BI236" s="21"/>
      <c r="BL236" s="21"/>
      <c r="BO236" s="21"/>
      <c r="BR236" s="21"/>
    </row>
    <row r="237">
      <c r="L237" s="20"/>
      <c r="M237" s="21"/>
      <c r="P237" s="21"/>
      <c r="S237" s="21"/>
      <c r="V237" s="21"/>
      <c r="Y237" s="21"/>
      <c r="AB237" s="21"/>
      <c r="AE237" s="21"/>
      <c r="AH237" s="21"/>
      <c r="AK237" s="21"/>
      <c r="AN237" s="21"/>
      <c r="AQ237" s="21"/>
      <c r="AT237" s="21"/>
      <c r="AW237" s="21"/>
      <c r="AZ237" s="21"/>
      <c r="BC237" s="21"/>
      <c r="BF237" s="21"/>
      <c r="BI237" s="21"/>
      <c r="BL237" s="21"/>
      <c r="BO237" s="21"/>
      <c r="BR237" s="21"/>
    </row>
    <row r="238">
      <c r="L238" s="20"/>
      <c r="M238" s="21"/>
      <c r="P238" s="21"/>
      <c r="S238" s="21"/>
      <c r="V238" s="21"/>
      <c r="Y238" s="21"/>
      <c r="AB238" s="21"/>
      <c r="AE238" s="21"/>
      <c r="AH238" s="21"/>
      <c r="AK238" s="21"/>
      <c r="AN238" s="21"/>
      <c r="AQ238" s="21"/>
      <c r="AT238" s="21"/>
      <c r="AW238" s="21"/>
      <c r="AZ238" s="21"/>
      <c r="BC238" s="21"/>
      <c r="BF238" s="21"/>
      <c r="BI238" s="21"/>
      <c r="BL238" s="21"/>
      <c r="BO238" s="21"/>
      <c r="BR238" s="21"/>
    </row>
    <row r="239">
      <c r="L239" s="20"/>
      <c r="M239" s="21"/>
      <c r="P239" s="21"/>
      <c r="S239" s="21"/>
      <c r="V239" s="21"/>
      <c r="Y239" s="21"/>
      <c r="AB239" s="21"/>
      <c r="AE239" s="21"/>
      <c r="AH239" s="21"/>
      <c r="AK239" s="21"/>
      <c r="AN239" s="21"/>
      <c r="AQ239" s="21"/>
      <c r="AT239" s="21"/>
      <c r="AW239" s="21"/>
      <c r="AZ239" s="21"/>
      <c r="BC239" s="21"/>
      <c r="BF239" s="21"/>
      <c r="BI239" s="21"/>
      <c r="BL239" s="21"/>
      <c r="BO239" s="21"/>
      <c r="BR239" s="21"/>
    </row>
    <row r="240">
      <c r="L240" s="20"/>
      <c r="M240" s="21"/>
      <c r="P240" s="21"/>
      <c r="S240" s="21"/>
      <c r="V240" s="21"/>
      <c r="Y240" s="21"/>
      <c r="AB240" s="21"/>
      <c r="AE240" s="21"/>
      <c r="AH240" s="21"/>
      <c r="AK240" s="21"/>
      <c r="AN240" s="21"/>
      <c r="AQ240" s="21"/>
      <c r="AT240" s="21"/>
      <c r="AW240" s="21"/>
      <c r="AZ240" s="21"/>
      <c r="BC240" s="21"/>
      <c r="BF240" s="21"/>
      <c r="BI240" s="21"/>
      <c r="BL240" s="21"/>
      <c r="BO240" s="21"/>
      <c r="BR240" s="21"/>
    </row>
    <row r="241">
      <c r="L241" s="20"/>
      <c r="M241" s="21"/>
      <c r="P241" s="21"/>
      <c r="S241" s="21"/>
      <c r="V241" s="21"/>
      <c r="Y241" s="21"/>
      <c r="AB241" s="21"/>
      <c r="AE241" s="21"/>
      <c r="AH241" s="21"/>
      <c r="AK241" s="21"/>
      <c r="AN241" s="21"/>
      <c r="AQ241" s="21"/>
      <c r="AT241" s="21"/>
      <c r="AW241" s="21"/>
      <c r="AZ241" s="21"/>
      <c r="BC241" s="21"/>
      <c r="BF241" s="21"/>
      <c r="BI241" s="21"/>
      <c r="BL241" s="21"/>
      <c r="BO241" s="21"/>
      <c r="BR241" s="21"/>
    </row>
    <row r="242">
      <c r="L242" s="20"/>
      <c r="M242" s="21"/>
      <c r="P242" s="21"/>
      <c r="S242" s="21"/>
      <c r="V242" s="21"/>
      <c r="Y242" s="21"/>
      <c r="AB242" s="21"/>
      <c r="AE242" s="21"/>
      <c r="AH242" s="21"/>
      <c r="AK242" s="21"/>
      <c r="AN242" s="21"/>
      <c r="AQ242" s="21"/>
      <c r="AT242" s="21"/>
      <c r="AW242" s="21"/>
      <c r="AZ242" s="21"/>
      <c r="BC242" s="21"/>
      <c r="BF242" s="21"/>
      <c r="BI242" s="21"/>
      <c r="BL242" s="21"/>
      <c r="BO242" s="21"/>
      <c r="BR242" s="21"/>
    </row>
    <row r="243">
      <c r="L243" s="20"/>
      <c r="M243" s="21"/>
      <c r="P243" s="21"/>
      <c r="S243" s="21"/>
      <c r="V243" s="21"/>
      <c r="Y243" s="21"/>
      <c r="AB243" s="21"/>
      <c r="AE243" s="21"/>
      <c r="AH243" s="21"/>
      <c r="AK243" s="21"/>
      <c r="AN243" s="21"/>
      <c r="AQ243" s="21"/>
      <c r="AT243" s="21"/>
      <c r="AW243" s="21"/>
      <c r="AZ243" s="21"/>
      <c r="BC243" s="21"/>
      <c r="BF243" s="21"/>
      <c r="BI243" s="21"/>
      <c r="BL243" s="21"/>
      <c r="BO243" s="21"/>
      <c r="BR243" s="21"/>
    </row>
    <row r="244">
      <c r="L244" s="20"/>
      <c r="M244" s="21"/>
      <c r="P244" s="21"/>
      <c r="S244" s="21"/>
      <c r="V244" s="21"/>
      <c r="Y244" s="21"/>
      <c r="AB244" s="21"/>
      <c r="AE244" s="21"/>
      <c r="AH244" s="21"/>
      <c r="AK244" s="21"/>
      <c r="AN244" s="21"/>
      <c r="AQ244" s="21"/>
      <c r="AT244" s="21"/>
      <c r="AW244" s="21"/>
      <c r="AZ244" s="21"/>
      <c r="BC244" s="21"/>
      <c r="BF244" s="21"/>
      <c r="BI244" s="21"/>
      <c r="BL244" s="21"/>
      <c r="BO244" s="21"/>
      <c r="BR244" s="21"/>
    </row>
    <row r="245">
      <c r="L245" s="20"/>
      <c r="M245" s="21"/>
      <c r="P245" s="21"/>
      <c r="S245" s="21"/>
      <c r="V245" s="21"/>
      <c r="Y245" s="21"/>
      <c r="AB245" s="21"/>
      <c r="AE245" s="21"/>
      <c r="AH245" s="21"/>
      <c r="AK245" s="21"/>
      <c r="AN245" s="21"/>
      <c r="AQ245" s="21"/>
      <c r="AT245" s="21"/>
      <c r="AW245" s="21"/>
      <c r="AZ245" s="21"/>
      <c r="BC245" s="21"/>
      <c r="BF245" s="21"/>
      <c r="BI245" s="21"/>
      <c r="BL245" s="21"/>
      <c r="BO245" s="21"/>
      <c r="BR245" s="21"/>
    </row>
    <row r="246">
      <c r="L246" s="20"/>
      <c r="M246" s="21"/>
      <c r="P246" s="21"/>
      <c r="S246" s="21"/>
      <c r="V246" s="21"/>
      <c r="Y246" s="21"/>
      <c r="AB246" s="21"/>
      <c r="AE246" s="21"/>
      <c r="AH246" s="21"/>
      <c r="AK246" s="21"/>
      <c r="AN246" s="21"/>
      <c r="AQ246" s="21"/>
      <c r="AT246" s="21"/>
      <c r="AW246" s="21"/>
      <c r="AZ246" s="21"/>
      <c r="BC246" s="21"/>
      <c r="BF246" s="21"/>
      <c r="BI246" s="21"/>
      <c r="BL246" s="21"/>
      <c r="BO246" s="21"/>
      <c r="BR246" s="21"/>
    </row>
    <row r="247">
      <c r="L247" s="20"/>
      <c r="M247" s="21"/>
      <c r="P247" s="21"/>
      <c r="S247" s="21"/>
      <c r="V247" s="21"/>
      <c r="Y247" s="21"/>
      <c r="AB247" s="21"/>
      <c r="AE247" s="21"/>
      <c r="AH247" s="21"/>
      <c r="AK247" s="21"/>
      <c r="AN247" s="21"/>
      <c r="AQ247" s="21"/>
      <c r="AT247" s="21"/>
      <c r="AW247" s="21"/>
      <c r="AZ247" s="21"/>
      <c r="BC247" s="21"/>
      <c r="BF247" s="21"/>
      <c r="BI247" s="21"/>
      <c r="BL247" s="21"/>
      <c r="BO247" s="21"/>
      <c r="BR247" s="21"/>
    </row>
    <row r="248">
      <c r="L248" s="20"/>
      <c r="M248" s="21"/>
      <c r="P248" s="21"/>
      <c r="S248" s="21"/>
      <c r="V248" s="21"/>
      <c r="Y248" s="21"/>
      <c r="AB248" s="21"/>
      <c r="AE248" s="21"/>
      <c r="AH248" s="21"/>
      <c r="AK248" s="21"/>
      <c r="AN248" s="21"/>
      <c r="AQ248" s="21"/>
      <c r="AT248" s="21"/>
      <c r="AW248" s="21"/>
      <c r="AZ248" s="21"/>
      <c r="BC248" s="21"/>
      <c r="BF248" s="21"/>
      <c r="BI248" s="21"/>
      <c r="BL248" s="21"/>
      <c r="BO248" s="21"/>
      <c r="BR248" s="21"/>
    </row>
    <row r="249">
      <c r="L249" s="20"/>
      <c r="M249" s="21"/>
      <c r="P249" s="21"/>
      <c r="S249" s="21"/>
      <c r="V249" s="21"/>
      <c r="Y249" s="21"/>
      <c r="AB249" s="21"/>
      <c r="AE249" s="21"/>
      <c r="AH249" s="21"/>
      <c r="AK249" s="21"/>
      <c r="AN249" s="21"/>
      <c r="AQ249" s="21"/>
      <c r="AT249" s="21"/>
      <c r="AW249" s="21"/>
      <c r="AZ249" s="21"/>
      <c r="BC249" s="21"/>
      <c r="BF249" s="21"/>
      <c r="BI249" s="21"/>
      <c r="BL249" s="21"/>
      <c r="BO249" s="21"/>
      <c r="BR249" s="21"/>
    </row>
    <row r="250">
      <c r="L250" s="20"/>
      <c r="M250" s="21"/>
      <c r="P250" s="21"/>
      <c r="S250" s="21"/>
      <c r="V250" s="21"/>
      <c r="Y250" s="21"/>
      <c r="AB250" s="21"/>
      <c r="AE250" s="21"/>
      <c r="AH250" s="21"/>
      <c r="AK250" s="21"/>
      <c r="AN250" s="21"/>
      <c r="AQ250" s="21"/>
      <c r="AT250" s="21"/>
      <c r="AW250" s="21"/>
      <c r="AZ250" s="21"/>
      <c r="BC250" s="21"/>
      <c r="BF250" s="21"/>
      <c r="BI250" s="21"/>
      <c r="BL250" s="21"/>
      <c r="BO250" s="21"/>
      <c r="BR250" s="21"/>
    </row>
    <row r="251">
      <c r="L251" s="20"/>
      <c r="M251" s="21"/>
      <c r="P251" s="21"/>
      <c r="S251" s="21"/>
      <c r="V251" s="21"/>
      <c r="Y251" s="21"/>
      <c r="AB251" s="21"/>
      <c r="AE251" s="21"/>
      <c r="AH251" s="21"/>
      <c r="AK251" s="21"/>
      <c r="AN251" s="21"/>
      <c r="AQ251" s="21"/>
      <c r="AT251" s="21"/>
      <c r="AW251" s="21"/>
      <c r="AZ251" s="21"/>
      <c r="BC251" s="21"/>
      <c r="BF251" s="21"/>
      <c r="BI251" s="21"/>
      <c r="BL251" s="21"/>
      <c r="BO251" s="21"/>
      <c r="BR251" s="21"/>
    </row>
    <row r="252">
      <c r="L252" s="20"/>
      <c r="M252" s="21"/>
      <c r="P252" s="21"/>
      <c r="S252" s="21"/>
      <c r="V252" s="21"/>
      <c r="Y252" s="21"/>
      <c r="AB252" s="21"/>
      <c r="AE252" s="21"/>
      <c r="AH252" s="21"/>
      <c r="AK252" s="21"/>
      <c r="AN252" s="21"/>
      <c r="AQ252" s="21"/>
      <c r="AT252" s="21"/>
      <c r="AW252" s="21"/>
      <c r="AZ252" s="21"/>
      <c r="BC252" s="21"/>
      <c r="BF252" s="21"/>
      <c r="BI252" s="21"/>
      <c r="BL252" s="21"/>
      <c r="BO252" s="21"/>
      <c r="BR252" s="21"/>
    </row>
    <row r="253">
      <c r="L253" s="20"/>
      <c r="M253" s="21"/>
      <c r="P253" s="21"/>
      <c r="S253" s="21"/>
      <c r="V253" s="21"/>
      <c r="Y253" s="21"/>
      <c r="AB253" s="21"/>
      <c r="AE253" s="21"/>
      <c r="AH253" s="21"/>
      <c r="AK253" s="21"/>
      <c r="AN253" s="21"/>
      <c r="AQ253" s="21"/>
      <c r="AT253" s="21"/>
      <c r="AW253" s="21"/>
      <c r="AZ253" s="21"/>
      <c r="BC253" s="21"/>
      <c r="BF253" s="21"/>
      <c r="BI253" s="21"/>
      <c r="BL253" s="21"/>
      <c r="BO253" s="21"/>
      <c r="BR253" s="21"/>
    </row>
    <row r="254">
      <c r="L254" s="20"/>
      <c r="M254" s="21"/>
      <c r="P254" s="21"/>
      <c r="S254" s="21"/>
      <c r="V254" s="21"/>
      <c r="Y254" s="21"/>
      <c r="AB254" s="21"/>
      <c r="AE254" s="21"/>
      <c r="AH254" s="21"/>
      <c r="AK254" s="21"/>
      <c r="AN254" s="21"/>
      <c r="AQ254" s="21"/>
      <c r="AT254" s="21"/>
      <c r="AW254" s="21"/>
      <c r="AZ254" s="21"/>
      <c r="BC254" s="21"/>
      <c r="BF254" s="21"/>
      <c r="BI254" s="21"/>
      <c r="BL254" s="21"/>
      <c r="BO254" s="21"/>
      <c r="BR254" s="21"/>
    </row>
    <row r="255">
      <c r="L255" s="20"/>
      <c r="M255" s="21"/>
      <c r="P255" s="21"/>
      <c r="S255" s="21"/>
      <c r="V255" s="21"/>
      <c r="Y255" s="21"/>
      <c r="AB255" s="21"/>
      <c r="AE255" s="21"/>
      <c r="AH255" s="21"/>
      <c r="AK255" s="21"/>
      <c r="AN255" s="21"/>
      <c r="AQ255" s="21"/>
      <c r="AT255" s="21"/>
      <c r="AW255" s="21"/>
      <c r="AZ255" s="21"/>
      <c r="BC255" s="21"/>
      <c r="BF255" s="21"/>
      <c r="BI255" s="21"/>
      <c r="BL255" s="21"/>
      <c r="BO255" s="21"/>
      <c r="BR255" s="21"/>
    </row>
    <row r="256">
      <c r="L256" s="20"/>
      <c r="M256" s="21"/>
      <c r="P256" s="21"/>
      <c r="S256" s="21"/>
      <c r="V256" s="21"/>
      <c r="Y256" s="21"/>
      <c r="AB256" s="21"/>
      <c r="AE256" s="21"/>
      <c r="AH256" s="21"/>
      <c r="AK256" s="21"/>
      <c r="AN256" s="21"/>
      <c r="AQ256" s="21"/>
      <c r="AT256" s="21"/>
      <c r="AW256" s="21"/>
      <c r="AZ256" s="21"/>
      <c r="BC256" s="21"/>
      <c r="BF256" s="21"/>
      <c r="BI256" s="21"/>
      <c r="BL256" s="21"/>
      <c r="BO256" s="21"/>
      <c r="BR256" s="21"/>
    </row>
    <row r="257">
      <c r="L257" s="20"/>
      <c r="M257" s="21"/>
      <c r="P257" s="21"/>
      <c r="S257" s="21"/>
      <c r="V257" s="21"/>
      <c r="Y257" s="21"/>
      <c r="AB257" s="21"/>
      <c r="AE257" s="21"/>
      <c r="AH257" s="21"/>
      <c r="AK257" s="21"/>
      <c r="AN257" s="21"/>
      <c r="AQ257" s="21"/>
      <c r="AT257" s="21"/>
      <c r="AW257" s="21"/>
      <c r="AZ257" s="21"/>
      <c r="BC257" s="21"/>
      <c r="BF257" s="21"/>
      <c r="BI257" s="21"/>
      <c r="BL257" s="21"/>
      <c r="BO257" s="21"/>
      <c r="BR257" s="21"/>
    </row>
    <row r="258">
      <c r="L258" s="20"/>
      <c r="M258" s="21"/>
      <c r="P258" s="21"/>
      <c r="S258" s="21"/>
      <c r="V258" s="21"/>
      <c r="Y258" s="21"/>
      <c r="AB258" s="21"/>
      <c r="AE258" s="21"/>
      <c r="AH258" s="21"/>
      <c r="AK258" s="21"/>
      <c r="AN258" s="21"/>
      <c r="AQ258" s="21"/>
      <c r="AT258" s="21"/>
      <c r="AW258" s="21"/>
      <c r="AZ258" s="21"/>
      <c r="BC258" s="21"/>
      <c r="BF258" s="21"/>
      <c r="BI258" s="21"/>
      <c r="BL258" s="21"/>
      <c r="BO258" s="21"/>
      <c r="BR258" s="21"/>
    </row>
    <row r="259">
      <c r="L259" s="20"/>
      <c r="M259" s="21"/>
      <c r="P259" s="21"/>
      <c r="S259" s="21"/>
      <c r="V259" s="21"/>
      <c r="Y259" s="21"/>
      <c r="AB259" s="21"/>
      <c r="AE259" s="21"/>
      <c r="AH259" s="21"/>
      <c r="AK259" s="21"/>
      <c r="AN259" s="21"/>
      <c r="AQ259" s="21"/>
      <c r="AT259" s="21"/>
      <c r="AW259" s="21"/>
      <c r="AZ259" s="21"/>
      <c r="BC259" s="21"/>
      <c r="BF259" s="21"/>
      <c r="BI259" s="21"/>
      <c r="BL259" s="21"/>
      <c r="BO259" s="21"/>
      <c r="BR259" s="21"/>
    </row>
    <row r="260">
      <c r="L260" s="20"/>
      <c r="M260" s="21"/>
      <c r="P260" s="21"/>
      <c r="S260" s="21"/>
      <c r="V260" s="21"/>
      <c r="Y260" s="21"/>
      <c r="AB260" s="21"/>
      <c r="AE260" s="21"/>
      <c r="AH260" s="21"/>
      <c r="AK260" s="21"/>
      <c r="AN260" s="21"/>
      <c r="AQ260" s="21"/>
      <c r="AT260" s="21"/>
      <c r="AW260" s="21"/>
      <c r="AZ260" s="21"/>
      <c r="BC260" s="21"/>
      <c r="BF260" s="21"/>
      <c r="BI260" s="21"/>
      <c r="BL260" s="21"/>
      <c r="BO260" s="21"/>
      <c r="BR260" s="21"/>
    </row>
    <row r="261">
      <c r="L261" s="20"/>
      <c r="M261" s="21"/>
      <c r="P261" s="21"/>
      <c r="S261" s="21"/>
      <c r="V261" s="21"/>
      <c r="Y261" s="21"/>
      <c r="AB261" s="21"/>
      <c r="AE261" s="21"/>
      <c r="AH261" s="21"/>
      <c r="AK261" s="21"/>
      <c r="AN261" s="21"/>
      <c r="AQ261" s="21"/>
      <c r="AT261" s="21"/>
      <c r="AW261" s="21"/>
      <c r="AZ261" s="21"/>
      <c r="BC261" s="21"/>
      <c r="BF261" s="21"/>
      <c r="BI261" s="21"/>
      <c r="BL261" s="21"/>
      <c r="BO261" s="21"/>
      <c r="BR261" s="21"/>
    </row>
    <row r="262">
      <c r="L262" s="20"/>
      <c r="M262" s="21"/>
      <c r="P262" s="21"/>
      <c r="S262" s="21"/>
      <c r="V262" s="21"/>
      <c r="Y262" s="21"/>
      <c r="AB262" s="21"/>
      <c r="AE262" s="21"/>
      <c r="AH262" s="21"/>
      <c r="AK262" s="21"/>
      <c r="AN262" s="21"/>
      <c r="AQ262" s="21"/>
      <c r="AT262" s="21"/>
      <c r="AW262" s="21"/>
      <c r="AZ262" s="21"/>
      <c r="BC262" s="21"/>
      <c r="BF262" s="21"/>
      <c r="BI262" s="21"/>
      <c r="BL262" s="21"/>
      <c r="BO262" s="21"/>
      <c r="BR262" s="21"/>
    </row>
    <row r="263">
      <c r="L263" s="20"/>
      <c r="M263" s="21"/>
      <c r="P263" s="21"/>
      <c r="S263" s="21"/>
      <c r="V263" s="21"/>
      <c r="Y263" s="21"/>
      <c r="AB263" s="21"/>
      <c r="AE263" s="21"/>
      <c r="AH263" s="21"/>
      <c r="AK263" s="21"/>
      <c r="AN263" s="21"/>
      <c r="AQ263" s="21"/>
      <c r="AT263" s="21"/>
      <c r="AW263" s="21"/>
      <c r="AZ263" s="21"/>
      <c r="BC263" s="21"/>
      <c r="BF263" s="21"/>
      <c r="BI263" s="21"/>
      <c r="BL263" s="21"/>
      <c r="BO263" s="21"/>
      <c r="BR263" s="21"/>
    </row>
    <row r="264">
      <c r="L264" s="20"/>
      <c r="M264" s="21"/>
      <c r="P264" s="21"/>
      <c r="S264" s="21"/>
      <c r="V264" s="21"/>
      <c r="Y264" s="21"/>
      <c r="AB264" s="21"/>
      <c r="AE264" s="21"/>
      <c r="AH264" s="21"/>
      <c r="AK264" s="21"/>
      <c r="AN264" s="21"/>
      <c r="AQ264" s="21"/>
      <c r="AT264" s="21"/>
      <c r="AW264" s="21"/>
      <c r="AZ264" s="21"/>
      <c r="BC264" s="21"/>
      <c r="BF264" s="21"/>
      <c r="BI264" s="21"/>
      <c r="BL264" s="21"/>
      <c r="BO264" s="21"/>
      <c r="BR264" s="21"/>
    </row>
    <row r="265">
      <c r="L265" s="20"/>
      <c r="M265" s="21"/>
      <c r="P265" s="21"/>
      <c r="S265" s="21"/>
      <c r="V265" s="21"/>
      <c r="Y265" s="21"/>
      <c r="AB265" s="21"/>
      <c r="AE265" s="21"/>
      <c r="AH265" s="21"/>
      <c r="AK265" s="21"/>
      <c r="AN265" s="21"/>
      <c r="AQ265" s="21"/>
      <c r="AT265" s="21"/>
      <c r="AW265" s="21"/>
      <c r="AZ265" s="21"/>
      <c r="BC265" s="21"/>
      <c r="BF265" s="21"/>
      <c r="BI265" s="21"/>
      <c r="BL265" s="21"/>
      <c r="BO265" s="21"/>
      <c r="BR265" s="21"/>
    </row>
    <row r="266">
      <c r="L266" s="20"/>
      <c r="M266" s="21"/>
      <c r="P266" s="21"/>
      <c r="S266" s="21"/>
      <c r="V266" s="21"/>
      <c r="Y266" s="21"/>
      <c r="AB266" s="21"/>
      <c r="AE266" s="21"/>
      <c r="AH266" s="21"/>
      <c r="AK266" s="21"/>
      <c r="AN266" s="21"/>
      <c r="AQ266" s="21"/>
      <c r="AT266" s="21"/>
      <c r="AW266" s="21"/>
      <c r="AZ266" s="21"/>
      <c r="BC266" s="21"/>
      <c r="BF266" s="21"/>
      <c r="BI266" s="21"/>
      <c r="BL266" s="21"/>
      <c r="BO266" s="21"/>
      <c r="BR266" s="21"/>
    </row>
    <row r="267">
      <c r="L267" s="20"/>
      <c r="M267" s="21"/>
      <c r="P267" s="21"/>
      <c r="S267" s="21"/>
      <c r="V267" s="21"/>
      <c r="Y267" s="21"/>
      <c r="AB267" s="21"/>
      <c r="AE267" s="21"/>
      <c r="AH267" s="21"/>
      <c r="AK267" s="21"/>
      <c r="AN267" s="21"/>
      <c r="AQ267" s="21"/>
      <c r="AT267" s="21"/>
      <c r="AW267" s="21"/>
      <c r="AZ267" s="21"/>
      <c r="BC267" s="21"/>
      <c r="BF267" s="21"/>
      <c r="BI267" s="21"/>
      <c r="BL267" s="21"/>
      <c r="BO267" s="21"/>
      <c r="BR267" s="21"/>
    </row>
    <row r="268">
      <c r="L268" s="20"/>
      <c r="M268" s="21"/>
      <c r="P268" s="21"/>
      <c r="S268" s="21"/>
      <c r="V268" s="21"/>
      <c r="Y268" s="21"/>
      <c r="AB268" s="21"/>
      <c r="AE268" s="21"/>
      <c r="AH268" s="21"/>
      <c r="AK268" s="21"/>
      <c r="AN268" s="21"/>
      <c r="AQ268" s="21"/>
      <c r="AT268" s="21"/>
      <c r="AW268" s="21"/>
      <c r="AZ268" s="21"/>
      <c r="BC268" s="21"/>
      <c r="BF268" s="21"/>
      <c r="BI268" s="21"/>
      <c r="BL268" s="21"/>
      <c r="BO268" s="21"/>
      <c r="BR268" s="21"/>
    </row>
    <row r="269">
      <c r="L269" s="20"/>
      <c r="M269" s="21"/>
      <c r="P269" s="21"/>
      <c r="S269" s="21"/>
      <c r="V269" s="21"/>
      <c r="Y269" s="21"/>
      <c r="AB269" s="21"/>
      <c r="AE269" s="21"/>
      <c r="AH269" s="21"/>
      <c r="AK269" s="21"/>
      <c r="AN269" s="21"/>
      <c r="AQ269" s="21"/>
      <c r="AT269" s="21"/>
      <c r="AW269" s="21"/>
      <c r="AZ269" s="21"/>
      <c r="BC269" s="21"/>
      <c r="BF269" s="21"/>
      <c r="BI269" s="21"/>
      <c r="BL269" s="21"/>
      <c r="BO269" s="21"/>
      <c r="BR269" s="21"/>
    </row>
    <row r="270">
      <c r="L270" s="20"/>
      <c r="M270" s="21"/>
      <c r="P270" s="21"/>
      <c r="S270" s="21"/>
      <c r="V270" s="21"/>
      <c r="Y270" s="21"/>
      <c r="AB270" s="21"/>
      <c r="AE270" s="21"/>
      <c r="AH270" s="21"/>
      <c r="AK270" s="21"/>
      <c r="AN270" s="21"/>
      <c r="AQ270" s="21"/>
      <c r="AT270" s="21"/>
      <c r="AW270" s="21"/>
      <c r="AZ270" s="21"/>
      <c r="BC270" s="21"/>
      <c r="BF270" s="21"/>
      <c r="BI270" s="21"/>
      <c r="BL270" s="21"/>
      <c r="BO270" s="21"/>
      <c r="BR270" s="21"/>
    </row>
    <row r="271">
      <c r="L271" s="20"/>
      <c r="M271" s="21"/>
      <c r="P271" s="21"/>
      <c r="S271" s="21"/>
      <c r="V271" s="21"/>
      <c r="Y271" s="21"/>
      <c r="AB271" s="21"/>
      <c r="AE271" s="21"/>
      <c r="AH271" s="21"/>
      <c r="AK271" s="21"/>
      <c r="AN271" s="21"/>
      <c r="AQ271" s="21"/>
      <c r="AT271" s="21"/>
      <c r="AW271" s="21"/>
      <c r="AZ271" s="21"/>
      <c r="BC271" s="21"/>
      <c r="BF271" s="21"/>
      <c r="BI271" s="21"/>
      <c r="BL271" s="21"/>
      <c r="BO271" s="21"/>
      <c r="BR271" s="21"/>
    </row>
    <row r="272">
      <c r="L272" s="20"/>
      <c r="M272" s="21"/>
      <c r="P272" s="21"/>
      <c r="S272" s="21"/>
      <c r="V272" s="21"/>
      <c r="Y272" s="21"/>
      <c r="AB272" s="21"/>
      <c r="AE272" s="21"/>
      <c r="AH272" s="21"/>
      <c r="AK272" s="21"/>
      <c r="AN272" s="21"/>
      <c r="AQ272" s="21"/>
      <c r="AT272" s="21"/>
      <c r="AW272" s="21"/>
      <c r="AZ272" s="21"/>
      <c r="BC272" s="21"/>
      <c r="BF272" s="21"/>
      <c r="BI272" s="21"/>
      <c r="BL272" s="21"/>
      <c r="BO272" s="21"/>
      <c r="BR272" s="21"/>
    </row>
    <row r="273">
      <c r="L273" s="20"/>
      <c r="M273" s="21"/>
      <c r="P273" s="21"/>
      <c r="S273" s="21"/>
      <c r="V273" s="21"/>
      <c r="Y273" s="21"/>
      <c r="AB273" s="21"/>
      <c r="AE273" s="21"/>
      <c r="AH273" s="21"/>
      <c r="AK273" s="21"/>
      <c r="AN273" s="21"/>
      <c r="AQ273" s="21"/>
      <c r="AT273" s="21"/>
      <c r="AW273" s="21"/>
      <c r="AZ273" s="21"/>
      <c r="BC273" s="21"/>
      <c r="BF273" s="21"/>
      <c r="BI273" s="21"/>
      <c r="BL273" s="21"/>
      <c r="BO273" s="21"/>
      <c r="BR273" s="21"/>
    </row>
    <row r="274">
      <c r="L274" s="20"/>
      <c r="M274" s="21"/>
      <c r="P274" s="21"/>
      <c r="S274" s="21"/>
      <c r="V274" s="21"/>
      <c r="Y274" s="21"/>
      <c r="AB274" s="21"/>
      <c r="AE274" s="21"/>
      <c r="AH274" s="21"/>
      <c r="AK274" s="21"/>
      <c r="AN274" s="21"/>
      <c r="AQ274" s="21"/>
      <c r="AT274" s="21"/>
      <c r="AW274" s="21"/>
      <c r="AZ274" s="21"/>
      <c r="BC274" s="21"/>
      <c r="BF274" s="21"/>
      <c r="BI274" s="21"/>
      <c r="BL274" s="21"/>
      <c r="BO274" s="21"/>
      <c r="BR274" s="21"/>
    </row>
    <row r="275">
      <c r="L275" s="20"/>
      <c r="M275" s="21"/>
      <c r="P275" s="21"/>
      <c r="S275" s="21"/>
      <c r="V275" s="21"/>
      <c r="Y275" s="21"/>
      <c r="AB275" s="21"/>
      <c r="AE275" s="21"/>
      <c r="AH275" s="21"/>
      <c r="AK275" s="21"/>
      <c r="AN275" s="21"/>
      <c r="AQ275" s="21"/>
      <c r="AT275" s="21"/>
      <c r="AW275" s="21"/>
      <c r="AZ275" s="21"/>
      <c r="BC275" s="21"/>
      <c r="BF275" s="21"/>
      <c r="BI275" s="21"/>
      <c r="BL275" s="21"/>
      <c r="BO275" s="21"/>
      <c r="BR275" s="21"/>
    </row>
    <row r="276">
      <c r="L276" s="20"/>
      <c r="M276" s="21"/>
      <c r="P276" s="21"/>
      <c r="S276" s="21"/>
      <c r="V276" s="21"/>
      <c r="Y276" s="21"/>
      <c r="AB276" s="21"/>
      <c r="AE276" s="21"/>
      <c r="AH276" s="21"/>
      <c r="AK276" s="21"/>
      <c r="AN276" s="21"/>
      <c r="AQ276" s="21"/>
      <c r="AT276" s="21"/>
      <c r="AW276" s="21"/>
      <c r="AZ276" s="21"/>
      <c r="BC276" s="21"/>
      <c r="BF276" s="21"/>
      <c r="BI276" s="21"/>
      <c r="BL276" s="21"/>
      <c r="BO276" s="21"/>
      <c r="BR276" s="21"/>
    </row>
    <row r="277">
      <c r="L277" s="20"/>
      <c r="M277" s="21"/>
      <c r="P277" s="21"/>
      <c r="S277" s="21"/>
      <c r="V277" s="21"/>
      <c r="Y277" s="21"/>
      <c r="AB277" s="21"/>
      <c r="AE277" s="21"/>
      <c r="AH277" s="21"/>
      <c r="AK277" s="21"/>
      <c r="AN277" s="21"/>
      <c r="AQ277" s="21"/>
      <c r="AT277" s="21"/>
      <c r="AW277" s="21"/>
      <c r="AZ277" s="21"/>
      <c r="BC277" s="21"/>
      <c r="BF277" s="21"/>
      <c r="BI277" s="21"/>
      <c r="BL277" s="21"/>
      <c r="BO277" s="21"/>
      <c r="BR277" s="21"/>
    </row>
    <row r="278">
      <c r="L278" s="20"/>
      <c r="M278" s="21"/>
      <c r="P278" s="21"/>
      <c r="S278" s="21"/>
      <c r="V278" s="21"/>
      <c r="Y278" s="21"/>
      <c r="AB278" s="21"/>
      <c r="AE278" s="21"/>
      <c r="AH278" s="21"/>
      <c r="AK278" s="21"/>
      <c r="AN278" s="21"/>
      <c r="AQ278" s="21"/>
      <c r="AT278" s="21"/>
      <c r="AW278" s="21"/>
      <c r="AZ278" s="21"/>
      <c r="BC278" s="21"/>
      <c r="BF278" s="21"/>
      <c r="BI278" s="21"/>
      <c r="BL278" s="21"/>
      <c r="BO278" s="21"/>
      <c r="BR278" s="21"/>
    </row>
    <row r="279">
      <c r="L279" s="20"/>
      <c r="M279" s="21"/>
      <c r="P279" s="21"/>
      <c r="S279" s="21"/>
      <c r="V279" s="21"/>
      <c r="Y279" s="21"/>
      <c r="AB279" s="21"/>
      <c r="AE279" s="21"/>
      <c r="AH279" s="21"/>
      <c r="AK279" s="21"/>
      <c r="AN279" s="21"/>
      <c r="AQ279" s="21"/>
      <c r="AT279" s="21"/>
      <c r="AW279" s="21"/>
      <c r="AZ279" s="21"/>
      <c r="BC279" s="21"/>
      <c r="BF279" s="21"/>
      <c r="BI279" s="21"/>
      <c r="BL279" s="21"/>
      <c r="BO279" s="21"/>
      <c r="BR279" s="21"/>
    </row>
    <row r="280">
      <c r="L280" s="20"/>
      <c r="M280" s="21"/>
      <c r="P280" s="21"/>
      <c r="S280" s="21"/>
      <c r="V280" s="21"/>
      <c r="Y280" s="21"/>
      <c r="AB280" s="21"/>
      <c r="AE280" s="21"/>
      <c r="AH280" s="21"/>
      <c r="AK280" s="21"/>
      <c r="AN280" s="21"/>
      <c r="AQ280" s="21"/>
      <c r="AT280" s="21"/>
      <c r="AW280" s="21"/>
      <c r="AZ280" s="21"/>
      <c r="BC280" s="21"/>
      <c r="BF280" s="21"/>
      <c r="BI280" s="21"/>
      <c r="BL280" s="21"/>
      <c r="BO280" s="21"/>
      <c r="BR280" s="21"/>
    </row>
    <row r="281">
      <c r="L281" s="20"/>
      <c r="M281" s="21"/>
      <c r="P281" s="21"/>
      <c r="S281" s="21"/>
      <c r="V281" s="21"/>
      <c r="Y281" s="21"/>
      <c r="AB281" s="21"/>
      <c r="AE281" s="21"/>
      <c r="AH281" s="21"/>
      <c r="AK281" s="21"/>
      <c r="AN281" s="21"/>
      <c r="AQ281" s="21"/>
      <c r="AT281" s="21"/>
      <c r="AW281" s="21"/>
      <c r="AZ281" s="21"/>
      <c r="BC281" s="21"/>
      <c r="BF281" s="21"/>
      <c r="BI281" s="21"/>
      <c r="BL281" s="21"/>
      <c r="BO281" s="21"/>
      <c r="BR281" s="21"/>
    </row>
    <row r="282">
      <c r="L282" s="20"/>
      <c r="M282" s="21"/>
      <c r="P282" s="21"/>
      <c r="S282" s="21"/>
      <c r="V282" s="21"/>
      <c r="Y282" s="21"/>
      <c r="AB282" s="21"/>
      <c r="AE282" s="21"/>
      <c r="AH282" s="21"/>
      <c r="AK282" s="21"/>
      <c r="AN282" s="21"/>
      <c r="AQ282" s="21"/>
      <c r="AT282" s="21"/>
      <c r="AW282" s="21"/>
      <c r="AZ282" s="21"/>
      <c r="BC282" s="21"/>
      <c r="BF282" s="21"/>
      <c r="BI282" s="21"/>
      <c r="BL282" s="21"/>
      <c r="BO282" s="21"/>
      <c r="BR282" s="21"/>
    </row>
    <row r="283">
      <c r="L283" s="20"/>
      <c r="M283" s="21"/>
      <c r="P283" s="21"/>
      <c r="S283" s="21"/>
      <c r="V283" s="21"/>
      <c r="Y283" s="21"/>
      <c r="AB283" s="21"/>
      <c r="AE283" s="21"/>
      <c r="AH283" s="21"/>
      <c r="AK283" s="21"/>
      <c r="AN283" s="21"/>
      <c r="AQ283" s="21"/>
      <c r="AT283" s="21"/>
      <c r="AW283" s="21"/>
      <c r="AZ283" s="21"/>
      <c r="BC283" s="21"/>
      <c r="BF283" s="21"/>
      <c r="BI283" s="21"/>
      <c r="BL283" s="21"/>
      <c r="BO283" s="21"/>
      <c r="BR283" s="21"/>
    </row>
    <row r="284">
      <c r="L284" s="20"/>
      <c r="M284" s="21"/>
      <c r="P284" s="21"/>
      <c r="S284" s="21"/>
      <c r="V284" s="21"/>
      <c r="Y284" s="21"/>
      <c r="AB284" s="21"/>
      <c r="AE284" s="21"/>
      <c r="AH284" s="21"/>
      <c r="AK284" s="21"/>
      <c r="AN284" s="21"/>
      <c r="AQ284" s="21"/>
      <c r="AT284" s="21"/>
      <c r="AW284" s="21"/>
      <c r="AZ284" s="21"/>
      <c r="BC284" s="21"/>
      <c r="BF284" s="21"/>
      <c r="BI284" s="21"/>
      <c r="BL284" s="21"/>
      <c r="BO284" s="21"/>
      <c r="BR284" s="21"/>
    </row>
    <row r="285">
      <c r="L285" s="20"/>
      <c r="M285" s="21"/>
      <c r="P285" s="21"/>
      <c r="S285" s="21"/>
      <c r="V285" s="21"/>
      <c r="Y285" s="21"/>
      <c r="AB285" s="21"/>
      <c r="AE285" s="21"/>
      <c r="AH285" s="21"/>
      <c r="AK285" s="21"/>
      <c r="AN285" s="21"/>
      <c r="AQ285" s="21"/>
      <c r="AT285" s="21"/>
      <c r="AW285" s="21"/>
      <c r="AZ285" s="21"/>
      <c r="BC285" s="21"/>
      <c r="BF285" s="21"/>
      <c r="BI285" s="21"/>
      <c r="BL285" s="21"/>
      <c r="BO285" s="21"/>
      <c r="BR285" s="21"/>
    </row>
    <row r="286">
      <c r="L286" s="20"/>
      <c r="M286" s="21"/>
      <c r="P286" s="21"/>
      <c r="S286" s="21"/>
      <c r="V286" s="21"/>
      <c r="Y286" s="21"/>
      <c r="AB286" s="21"/>
      <c r="AE286" s="21"/>
      <c r="AH286" s="21"/>
      <c r="AK286" s="21"/>
      <c r="AN286" s="21"/>
      <c r="AQ286" s="21"/>
      <c r="AT286" s="21"/>
      <c r="AW286" s="21"/>
      <c r="AZ286" s="21"/>
      <c r="BC286" s="21"/>
      <c r="BF286" s="21"/>
      <c r="BI286" s="21"/>
      <c r="BL286" s="21"/>
      <c r="BO286" s="21"/>
      <c r="BR286" s="21"/>
    </row>
    <row r="287">
      <c r="L287" s="20"/>
      <c r="M287" s="21"/>
      <c r="P287" s="21"/>
      <c r="S287" s="21"/>
      <c r="V287" s="21"/>
      <c r="Y287" s="21"/>
      <c r="AB287" s="21"/>
      <c r="AE287" s="21"/>
      <c r="AH287" s="21"/>
      <c r="AK287" s="21"/>
      <c r="AN287" s="21"/>
      <c r="AQ287" s="21"/>
      <c r="AT287" s="21"/>
      <c r="AW287" s="21"/>
      <c r="AZ287" s="21"/>
      <c r="BC287" s="21"/>
      <c r="BF287" s="21"/>
      <c r="BI287" s="21"/>
      <c r="BL287" s="21"/>
      <c r="BO287" s="21"/>
      <c r="BR287" s="21"/>
    </row>
    <row r="288">
      <c r="L288" s="20"/>
      <c r="M288" s="21"/>
      <c r="P288" s="21"/>
      <c r="S288" s="21"/>
      <c r="V288" s="21"/>
      <c r="Y288" s="21"/>
      <c r="AB288" s="21"/>
      <c r="AE288" s="21"/>
      <c r="AH288" s="21"/>
      <c r="AK288" s="21"/>
      <c r="AN288" s="21"/>
      <c r="AQ288" s="21"/>
      <c r="AT288" s="21"/>
      <c r="AW288" s="21"/>
      <c r="AZ288" s="21"/>
      <c r="BC288" s="21"/>
      <c r="BF288" s="21"/>
      <c r="BI288" s="21"/>
      <c r="BL288" s="21"/>
      <c r="BO288" s="21"/>
      <c r="BR288" s="21"/>
    </row>
    <row r="289">
      <c r="L289" s="20"/>
      <c r="M289" s="21"/>
      <c r="P289" s="21"/>
      <c r="S289" s="21"/>
      <c r="V289" s="21"/>
      <c r="Y289" s="21"/>
      <c r="AB289" s="21"/>
      <c r="AE289" s="21"/>
      <c r="AH289" s="21"/>
      <c r="AK289" s="21"/>
      <c r="AN289" s="21"/>
      <c r="AQ289" s="21"/>
      <c r="AT289" s="21"/>
      <c r="AW289" s="21"/>
      <c r="AZ289" s="21"/>
      <c r="BC289" s="21"/>
      <c r="BF289" s="21"/>
      <c r="BI289" s="21"/>
      <c r="BL289" s="21"/>
      <c r="BO289" s="21"/>
      <c r="BR289" s="21"/>
    </row>
    <row r="290">
      <c r="L290" s="20"/>
      <c r="M290" s="21"/>
      <c r="P290" s="21"/>
      <c r="S290" s="21"/>
      <c r="V290" s="21"/>
      <c r="Y290" s="21"/>
      <c r="AB290" s="21"/>
      <c r="AE290" s="21"/>
      <c r="AH290" s="21"/>
      <c r="AK290" s="21"/>
      <c r="AN290" s="21"/>
      <c r="AQ290" s="21"/>
      <c r="AT290" s="21"/>
      <c r="AW290" s="21"/>
      <c r="AZ290" s="21"/>
      <c r="BC290" s="21"/>
      <c r="BF290" s="21"/>
      <c r="BI290" s="21"/>
      <c r="BL290" s="21"/>
      <c r="BO290" s="21"/>
      <c r="BR290" s="21"/>
    </row>
    <row r="291">
      <c r="L291" s="20"/>
      <c r="M291" s="21"/>
      <c r="P291" s="21"/>
      <c r="S291" s="21"/>
      <c r="V291" s="21"/>
      <c r="Y291" s="21"/>
      <c r="AB291" s="21"/>
      <c r="AE291" s="21"/>
      <c r="AH291" s="21"/>
      <c r="AK291" s="21"/>
      <c r="AN291" s="21"/>
      <c r="AQ291" s="21"/>
      <c r="AT291" s="21"/>
      <c r="AW291" s="21"/>
      <c r="AZ291" s="21"/>
      <c r="BC291" s="21"/>
      <c r="BF291" s="21"/>
      <c r="BI291" s="21"/>
      <c r="BL291" s="21"/>
      <c r="BO291" s="21"/>
      <c r="BR291" s="21"/>
    </row>
    <row r="292">
      <c r="L292" s="20"/>
      <c r="M292" s="21"/>
      <c r="P292" s="21"/>
      <c r="S292" s="21"/>
      <c r="V292" s="21"/>
      <c r="Y292" s="21"/>
      <c r="AB292" s="21"/>
      <c r="AE292" s="21"/>
      <c r="AH292" s="21"/>
      <c r="AK292" s="21"/>
      <c r="AN292" s="21"/>
      <c r="AQ292" s="21"/>
      <c r="AT292" s="21"/>
      <c r="AW292" s="21"/>
      <c r="AZ292" s="21"/>
      <c r="BC292" s="21"/>
      <c r="BF292" s="21"/>
      <c r="BI292" s="21"/>
      <c r="BL292" s="21"/>
      <c r="BO292" s="21"/>
      <c r="BR292" s="21"/>
    </row>
    <row r="293">
      <c r="L293" s="20"/>
      <c r="M293" s="21"/>
      <c r="P293" s="21"/>
      <c r="S293" s="21"/>
      <c r="V293" s="21"/>
      <c r="Y293" s="21"/>
      <c r="AB293" s="21"/>
      <c r="AE293" s="21"/>
      <c r="AH293" s="21"/>
      <c r="AK293" s="21"/>
      <c r="AN293" s="21"/>
      <c r="AQ293" s="21"/>
      <c r="AT293" s="21"/>
      <c r="AW293" s="21"/>
      <c r="AZ293" s="21"/>
      <c r="BC293" s="21"/>
      <c r="BF293" s="21"/>
      <c r="BI293" s="21"/>
      <c r="BL293" s="21"/>
      <c r="BO293" s="21"/>
      <c r="BR293" s="21"/>
    </row>
    <row r="294">
      <c r="L294" s="20"/>
      <c r="M294" s="21"/>
      <c r="P294" s="21"/>
      <c r="S294" s="21"/>
      <c r="V294" s="21"/>
      <c r="Y294" s="21"/>
      <c r="AB294" s="21"/>
      <c r="AE294" s="21"/>
      <c r="AH294" s="21"/>
      <c r="AK294" s="21"/>
      <c r="AN294" s="21"/>
      <c r="AQ294" s="21"/>
      <c r="AT294" s="21"/>
      <c r="AW294" s="21"/>
      <c r="AZ294" s="21"/>
      <c r="BC294" s="21"/>
      <c r="BF294" s="21"/>
      <c r="BI294" s="21"/>
      <c r="BL294" s="21"/>
      <c r="BO294" s="21"/>
      <c r="BR294" s="21"/>
    </row>
    <row r="295">
      <c r="L295" s="20"/>
      <c r="M295" s="21"/>
      <c r="P295" s="21"/>
      <c r="S295" s="21"/>
      <c r="V295" s="21"/>
      <c r="Y295" s="21"/>
      <c r="AB295" s="21"/>
      <c r="AE295" s="21"/>
      <c r="AH295" s="21"/>
      <c r="AK295" s="21"/>
      <c r="AN295" s="21"/>
      <c r="AQ295" s="21"/>
      <c r="AT295" s="21"/>
      <c r="AW295" s="21"/>
      <c r="AZ295" s="21"/>
      <c r="BC295" s="21"/>
      <c r="BF295" s="21"/>
      <c r="BI295" s="21"/>
      <c r="BL295" s="21"/>
      <c r="BO295" s="21"/>
      <c r="BR295" s="21"/>
    </row>
    <row r="296">
      <c r="L296" s="20"/>
      <c r="M296" s="21"/>
      <c r="P296" s="21"/>
      <c r="S296" s="21"/>
      <c r="V296" s="21"/>
      <c r="Y296" s="21"/>
      <c r="AB296" s="21"/>
      <c r="AE296" s="21"/>
      <c r="AH296" s="21"/>
      <c r="AK296" s="21"/>
      <c r="AN296" s="21"/>
      <c r="AQ296" s="21"/>
      <c r="AT296" s="21"/>
      <c r="AW296" s="21"/>
      <c r="AZ296" s="21"/>
      <c r="BC296" s="21"/>
      <c r="BF296" s="21"/>
      <c r="BI296" s="21"/>
      <c r="BL296" s="21"/>
      <c r="BO296" s="21"/>
      <c r="BR296" s="21"/>
    </row>
    <row r="297">
      <c r="L297" s="20"/>
      <c r="M297" s="21"/>
      <c r="P297" s="21"/>
      <c r="S297" s="21"/>
      <c r="V297" s="21"/>
      <c r="Y297" s="21"/>
      <c r="AB297" s="21"/>
      <c r="AE297" s="21"/>
      <c r="AH297" s="21"/>
      <c r="AK297" s="21"/>
      <c r="AN297" s="21"/>
      <c r="AQ297" s="21"/>
      <c r="AT297" s="21"/>
      <c r="AW297" s="21"/>
      <c r="AZ297" s="21"/>
      <c r="BC297" s="21"/>
      <c r="BF297" s="21"/>
      <c r="BI297" s="21"/>
      <c r="BL297" s="21"/>
      <c r="BO297" s="21"/>
      <c r="BR297" s="21"/>
    </row>
    <row r="298">
      <c r="L298" s="20"/>
      <c r="M298" s="21"/>
      <c r="P298" s="21"/>
      <c r="S298" s="21"/>
      <c r="V298" s="21"/>
      <c r="Y298" s="21"/>
      <c r="AB298" s="21"/>
      <c r="AE298" s="21"/>
      <c r="AH298" s="21"/>
      <c r="AK298" s="21"/>
      <c r="AN298" s="21"/>
      <c r="AQ298" s="21"/>
      <c r="AT298" s="21"/>
      <c r="AW298" s="21"/>
      <c r="AZ298" s="21"/>
      <c r="BC298" s="21"/>
      <c r="BF298" s="21"/>
      <c r="BI298" s="21"/>
      <c r="BL298" s="21"/>
      <c r="BO298" s="21"/>
      <c r="BR298" s="21"/>
    </row>
    <row r="299">
      <c r="L299" s="20"/>
      <c r="M299" s="21"/>
      <c r="P299" s="21"/>
      <c r="S299" s="21"/>
      <c r="V299" s="21"/>
      <c r="Y299" s="21"/>
      <c r="AB299" s="21"/>
      <c r="AE299" s="21"/>
      <c r="AH299" s="21"/>
      <c r="AK299" s="21"/>
      <c r="AN299" s="21"/>
      <c r="AQ299" s="21"/>
      <c r="AT299" s="21"/>
      <c r="AW299" s="21"/>
      <c r="AZ299" s="21"/>
      <c r="BC299" s="21"/>
      <c r="BF299" s="21"/>
      <c r="BI299" s="21"/>
      <c r="BL299" s="21"/>
      <c r="BO299" s="21"/>
      <c r="BR299" s="21"/>
    </row>
    <row r="300">
      <c r="L300" s="20"/>
      <c r="M300" s="21"/>
      <c r="P300" s="21"/>
      <c r="S300" s="21"/>
      <c r="V300" s="21"/>
      <c r="Y300" s="21"/>
      <c r="AB300" s="21"/>
      <c r="AE300" s="21"/>
      <c r="AH300" s="21"/>
      <c r="AK300" s="21"/>
      <c r="AN300" s="21"/>
      <c r="AQ300" s="21"/>
      <c r="AT300" s="21"/>
      <c r="AW300" s="21"/>
      <c r="AZ300" s="21"/>
      <c r="BC300" s="21"/>
      <c r="BF300" s="21"/>
      <c r="BI300" s="21"/>
      <c r="BL300" s="21"/>
      <c r="BO300" s="21"/>
      <c r="BR300" s="21"/>
    </row>
    <row r="301">
      <c r="L301" s="20"/>
      <c r="M301" s="21"/>
      <c r="P301" s="21"/>
      <c r="S301" s="21"/>
      <c r="V301" s="21"/>
      <c r="Y301" s="21"/>
      <c r="AB301" s="21"/>
      <c r="AE301" s="21"/>
      <c r="AH301" s="21"/>
      <c r="AK301" s="21"/>
      <c r="AN301" s="21"/>
      <c r="AQ301" s="21"/>
      <c r="AT301" s="21"/>
      <c r="AW301" s="21"/>
      <c r="AZ301" s="21"/>
      <c r="BC301" s="21"/>
      <c r="BF301" s="21"/>
      <c r="BI301" s="21"/>
      <c r="BL301" s="21"/>
      <c r="BO301" s="21"/>
      <c r="BR301" s="21"/>
    </row>
    <row r="302">
      <c r="L302" s="20"/>
      <c r="M302" s="21"/>
      <c r="P302" s="21"/>
      <c r="S302" s="21"/>
      <c r="V302" s="21"/>
      <c r="Y302" s="21"/>
      <c r="AB302" s="21"/>
      <c r="AE302" s="21"/>
      <c r="AH302" s="21"/>
      <c r="AK302" s="21"/>
      <c r="AN302" s="21"/>
      <c r="AQ302" s="21"/>
      <c r="AT302" s="21"/>
      <c r="AW302" s="21"/>
      <c r="AZ302" s="21"/>
      <c r="BC302" s="21"/>
      <c r="BF302" s="21"/>
      <c r="BI302" s="21"/>
      <c r="BL302" s="21"/>
      <c r="BO302" s="21"/>
      <c r="BR302" s="21"/>
    </row>
    <row r="303">
      <c r="L303" s="20"/>
      <c r="M303" s="21"/>
      <c r="P303" s="21"/>
      <c r="S303" s="21"/>
      <c r="V303" s="21"/>
      <c r="Y303" s="21"/>
      <c r="AB303" s="21"/>
      <c r="AE303" s="21"/>
      <c r="AH303" s="21"/>
      <c r="AK303" s="21"/>
      <c r="AN303" s="21"/>
      <c r="AQ303" s="21"/>
      <c r="AT303" s="21"/>
      <c r="AW303" s="21"/>
      <c r="AZ303" s="21"/>
      <c r="BC303" s="21"/>
      <c r="BF303" s="21"/>
      <c r="BI303" s="21"/>
      <c r="BL303" s="21"/>
      <c r="BO303" s="21"/>
      <c r="BR303" s="21"/>
    </row>
    <row r="304">
      <c r="L304" s="20"/>
      <c r="M304" s="21"/>
      <c r="P304" s="21"/>
      <c r="S304" s="21"/>
      <c r="V304" s="21"/>
      <c r="Y304" s="21"/>
      <c r="AB304" s="21"/>
      <c r="AE304" s="21"/>
      <c r="AH304" s="21"/>
      <c r="AK304" s="21"/>
      <c r="AN304" s="21"/>
      <c r="AQ304" s="21"/>
      <c r="AT304" s="21"/>
      <c r="AW304" s="21"/>
      <c r="AZ304" s="21"/>
      <c r="BC304" s="21"/>
      <c r="BF304" s="21"/>
      <c r="BI304" s="21"/>
      <c r="BL304" s="21"/>
      <c r="BO304" s="21"/>
      <c r="BR304" s="21"/>
    </row>
    <row r="305">
      <c r="L305" s="20"/>
      <c r="M305" s="21"/>
      <c r="P305" s="21"/>
      <c r="S305" s="21"/>
      <c r="V305" s="21"/>
      <c r="Y305" s="21"/>
      <c r="AB305" s="21"/>
      <c r="AE305" s="21"/>
      <c r="AH305" s="21"/>
      <c r="AK305" s="21"/>
      <c r="AN305" s="21"/>
      <c r="AQ305" s="21"/>
      <c r="AT305" s="21"/>
      <c r="AW305" s="21"/>
      <c r="AZ305" s="21"/>
      <c r="BC305" s="21"/>
      <c r="BF305" s="21"/>
      <c r="BI305" s="21"/>
      <c r="BL305" s="21"/>
      <c r="BO305" s="21"/>
      <c r="BR305" s="21"/>
    </row>
    <row r="306">
      <c r="L306" s="20"/>
      <c r="M306" s="21"/>
      <c r="P306" s="21"/>
      <c r="S306" s="21"/>
      <c r="V306" s="21"/>
      <c r="Y306" s="21"/>
      <c r="AB306" s="21"/>
      <c r="AE306" s="21"/>
      <c r="AH306" s="21"/>
      <c r="AK306" s="21"/>
      <c r="AN306" s="21"/>
      <c r="AQ306" s="21"/>
      <c r="AT306" s="21"/>
      <c r="AW306" s="21"/>
      <c r="AZ306" s="21"/>
      <c r="BC306" s="21"/>
      <c r="BF306" s="21"/>
      <c r="BI306" s="21"/>
      <c r="BL306" s="21"/>
      <c r="BO306" s="21"/>
      <c r="BR306" s="21"/>
    </row>
    <row r="307">
      <c r="L307" s="20"/>
      <c r="M307" s="21"/>
      <c r="P307" s="21"/>
      <c r="S307" s="21"/>
      <c r="V307" s="21"/>
      <c r="Y307" s="21"/>
      <c r="AB307" s="21"/>
      <c r="AE307" s="21"/>
      <c r="AH307" s="21"/>
      <c r="AK307" s="21"/>
      <c r="AN307" s="21"/>
      <c r="AQ307" s="21"/>
      <c r="AT307" s="21"/>
      <c r="AW307" s="21"/>
      <c r="AZ307" s="21"/>
      <c r="BC307" s="21"/>
      <c r="BF307" s="21"/>
      <c r="BI307" s="21"/>
      <c r="BL307" s="21"/>
      <c r="BO307" s="21"/>
      <c r="BR307" s="21"/>
    </row>
    <row r="308">
      <c r="L308" s="20"/>
      <c r="M308" s="21"/>
      <c r="P308" s="21"/>
      <c r="S308" s="21"/>
      <c r="V308" s="21"/>
      <c r="Y308" s="21"/>
      <c r="AB308" s="21"/>
      <c r="AE308" s="21"/>
      <c r="AH308" s="21"/>
      <c r="AK308" s="21"/>
      <c r="AN308" s="21"/>
      <c r="AQ308" s="21"/>
      <c r="AT308" s="21"/>
      <c r="AW308" s="21"/>
      <c r="AZ308" s="21"/>
      <c r="BC308" s="21"/>
      <c r="BF308" s="21"/>
      <c r="BI308" s="21"/>
      <c r="BL308" s="21"/>
      <c r="BO308" s="21"/>
      <c r="BR308" s="21"/>
    </row>
    <row r="309">
      <c r="L309" s="20"/>
      <c r="M309" s="21"/>
      <c r="P309" s="21"/>
      <c r="S309" s="21"/>
      <c r="V309" s="21"/>
      <c r="Y309" s="21"/>
      <c r="AB309" s="21"/>
      <c r="AE309" s="21"/>
      <c r="AH309" s="21"/>
      <c r="AK309" s="21"/>
      <c r="AN309" s="21"/>
      <c r="AQ309" s="21"/>
      <c r="AT309" s="21"/>
      <c r="AW309" s="21"/>
      <c r="AZ309" s="21"/>
      <c r="BC309" s="21"/>
      <c r="BF309" s="21"/>
      <c r="BI309" s="21"/>
      <c r="BL309" s="21"/>
      <c r="BO309" s="21"/>
      <c r="BR309" s="21"/>
    </row>
    <row r="310">
      <c r="L310" s="20"/>
      <c r="M310" s="21"/>
      <c r="P310" s="21"/>
      <c r="S310" s="21"/>
      <c r="V310" s="21"/>
      <c r="Y310" s="21"/>
      <c r="AB310" s="21"/>
      <c r="AE310" s="21"/>
      <c r="AH310" s="21"/>
      <c r="AK310" s="21"/>
      <c r="AN310" s="21"/>
      <c r="AQ310" s="21"/>
      <c r="AT310" s="21"/>
      <c r="AW310" s="21"/>
      <c r="AZ310" s="21"/>
      <c r="BC310" s="21"/>
      <c r="BF310" s="21"/>
      <c r="BI310" s="21"/>
      <c r="BL310" s="21"/>
      <c r="BO310" s="21"/>
      <c r="BR310" s="21"/>
    </row>
    <row r="311">
      <c r="L311" s="20"/>
      <c r="M311" s="21"/>
      <c r="P311" s="21"/>
      <c r="S311" s="21"/>
      <c r="V311" s="21"/>
      <c r="Y311" s="21"/>
      <c r="AB311" s="21"/>
      <c r="AE311" s="21"/>
      <c r="AH311" s="21"/>
      <c r="AK311" s="21"/>
      <c r="AN311" s="21"/>
      <c r="AQ311" s="21"/>
      <c r="AT311" s="21"/>
      <c r="AW311" s="21"/>
      <c r="AZ311" s="21"/>
      <c r="BC311" s="21"/>
      <c r="BF311" s="21"/>
      <c r="BI311" s="21"/>
      <c r="BL311" s="21"/>
      <c r="BO311" s="21"/>
      <c r="BR311" s="21"/>
    </row>
    <row r="312">
      <c r="L312" s="20"/>
      <c r="M312" s="21"/>
      <c r="P312" s="21"/>
      <c r="S312" s="21"/>
      <c r="V312" s="21"/>
      <c r="Y312" s="21"/>
      <c r="AB312" s="21"/>
      <c r="AE312" s="21"/>
      <c r="AH312" s="21"/>
      <c r="AK312" s="21"/>
      <c r="AN312" s="21"/>
      <c r="AQ312" s="21"/>
      <c r="AT312" s="21"/>
      <c r="AW312" s="21"/>
      <c r="AZ312" s="21"/>
      <c r="BC312" s="21"/>
      <c r="BF312" s="21"/>
      <c r="BI312" s="21"/>
      <c r="BL312" s="21"/>
      <c r="BO312" s="21"/>
      <c r="BR312" s="21"/>
    </row>
    <row r="313">
      <c r="L313" s="20"/>
      <c r="M313" s="21"/>
      <c r="P313" s="21"/>
      <c r="S313" s="21"/>
      <c r="V313" s="21"/>
      <c r="Y313" s="21"/>
      <c r="AB313" s="21"/>
      <c r="AE313" s="21"/>
      <c r="AH313" s="21"/>
      <c r="AK313" s="21"/>
      <c r="AN313" s="21"/>
      <c r="AQ313" s="21"/>
      <c r="AT313" s="21"/>
      <c r="AW313" s="21"/>
      <c r="AZ313" s="21"/>
      <c r="BC313" s="21"/>
      <c r="BF313" s="21"/>
      <c r="BI313" s="21"/>
      <c r="BL313" s="21"/>
      <c r="BO313" s="21"/>
      <c r="BR313" s="21"/>
    </row>
    <row r="314">
      <c r="L314" s="20"/>
      <c r="M314" s="21"/>
      <c r="P314" s="21"/>
      <c r="S314" s="21"/>
      <c r="V314" s="21"/>
      <c r="Y314" s="21"/>
      <c r="AB314" s="21"/>
      <c r="AE314" s="21"/>
      <c r="AH314" s="21"/>
      <c r="AK314" s="21"/>
      <c r="AN314" s="21"/>
      <c r="AQ314" s="21"/>
      <c r="AT314" s="21"/>
      <c r="AW314" s="21"/>
      <c r="AZ314" s="21"/>
      <c r="BC314" s="21"/>
      <c r="BF314" s="21"/>
      <c r="BI314" s="21"/>
      <c r="BL314" s="21"/>
      <c r="BO314" s="21"/>
      <c r="BR314" s="21"/>
    </row>
    <row r="315">
      <c r="L315" s="20"/>
      <c r="M315" s="21"/>
      <c r="P315" s="21"/>
      <c r="S315" s="21"/>
      <c r="V315" s="21"/>
      <c r="Y315" s="21"/>
      <c r="AB315" s="21"/>
      <c r="AE315" s="21"/>
      <c r="AH315" s="21"/>
      <c r="AK315" s="21"/>
      <c r="AN315" s="21"/>
      <c r="AQ315" s="21"/>
      <c r="AT315" s="21"/>
      <c r="AW315" s="21"/>
      <c r="AZ315" s="21"/>
      <c r="BC315" s="21"/>
      <c r="BF315" s="21"/>
      <c r="BI315" s="21"/>
      <c r="BL315" s="21"/>
      <c r="BO315" s="21"/>
      <c r="BR315" s="21"/>
    </row>
    <row r="316">
      <c r="L316" s="20"/>
      <c r="M316" s="21"/>
      <c r="P316" s="21"/>
      <c r="S316" s="21"/>
      <c r="V316" s="21"/>
      <c r="Y316" s="21"/>
      <c r="AB316" s="21"/>
      <c r="AE316" s="21"/>
      <c r="AH316" s="21"/>
      <c r="AK316" s="21"/>
      <c r="AN316" s="21"/>
      <c r="AQ316" s="21"/>
      <c r="AT316" s="21"/>
      <c r="AW316" s="21"/>
      <c r="AZ316" s="21"/>
      <c r="BC316" s="21"/>
      <c r="BF316" s="21"/>
      <c r="BI316" s="21"/>
      <c r="BL316" s="21"/>
      <c r="BO316" s="21"/>
      <c r="BR316" s="21"/>
    </row>
    <row r="317">
      <c r="L317" s="20"/>
      <c r="M317" s="21"/>
      <c r="P317" s="21"/>
      <c r="S317" s="21"/>
      <c r="V317" s="21"/>
      <c r="Y317" s="21"/>
      <c r="AB317" s="21"/>
      <c r="AE317" s="21"/>
      <c r="AH317" s="21"/>
      <c r="AK317" s="21"/>
      <c r="AN317" s="21"/>
      <c r="AQ317" s="21"/>
      <c r="AT317" s="21"/>
      <c r="AW317" s="21"/>
      <c r="AZ317" s="21"/>
      <c r="BC317" s="21"/>
      <c r="BF317" s="21"/>
      <c r="BI317" s="21"/>
      <c r="BL317" s="21"/>
      <c r="BO317" s="21"/>
      <c r="BR317" s="21"/>
    </row>
    <row r="318">
      <c r="L318" s="20"/>
      <c r="M318" s="21"/>
      <c r="P318" s="21"/>
      <c r="S318" s="21"/>
      <c r="V318" s="21"/>
      <c r="Y318" s="21"/>
      <c r="AB318" s="21"/>
      <c r="AE318" s="21"/>
      <c r="AH318" s="21"/>
      <c r="AK318" s="21"/>
      <c r="AN318" s="21"/>
      <c r="AQ318" s="21"/>
      <c r="AT318" s="21"/>
      <c r="AW318" s="21"/>
      <c r="AZ318" s="21"/>
      <c r="BC318" s="21"/>
      <c r="BF318" s="21"/>
      <c r="BI318" s="21"/>
      <c r="BL318" s="21"/>
      <c r="BO318" s="21"/>
      <c r="BR318" s="21"/>
    </row>
    <row r="319">
      <c r="L319" s="20"/>
      <c r="M319" s="21"/>
      <c r="P319" s="21"/>
      <c r="S319" s="21"/>
      <c r="V319" s="21"/>
      <c r="Y319" s="21"/>
      <c r="AB319" s="21"/>
      <c r="AE319" s="21"/>
      <c r="AH319" s="21"/>
      <c r="AK319" s="21"/>
      <c r="AN319" s="21"/>
      <c r="AQ319" s="21"/>
      <c r="AT319" s="21"/>
      <c r="AW319" s="21"/>
      <c r="AZ319" s="21"/>
      <c r="BC319" s="21"/>
      <c r="BF319" s="21"/>
      <c r="BI319" s="21"/>
      <c r="BL319" s="21"/>
      <c r="BO319" s="21"/>
      <c r="BR319" s="21"/>
    </row>
    <row r="320">
      <c r="L320" s="20"/>
      <c r="M320" s="21"/>
      <c r="P320" s="21"/>
      <c r="S320" s="21"/>
      <c r="V320" s="21"/>
      <c r="Y320" s="21"/>
      <c r="AB320" s="21"/>
      <c r="AE320" s="21"/>
      <c r="AH320" s="21"/>
      <c r="AK320" s="21"/>
      <c r="AN320" s="21"/>
      <c r="AQ320" s="21"/>
      <c r="AT320" s="21"/>
      <c r="AW320" s="21"/>
      <c r="AZ320" s="21"/>
      <c r="BC320" s="21"/>
      <c r="BF320" s="21"/>
      <c r="BI320" s="21"/>
      <c r="BL320" s="21"/>
      <c r="BO320" s="21"/>
      <c r="BR320" s="21"/>
    </row>
    <row r="321">
      <c r="L321" s="20"/>
      <c r="M321" s="21"/>
      <c r="P321" s="21"/>
      <c r="S321" s="21"/>
      <c r="V321" s="21"/>
      <c r="Y321" s="21"/>
      <c r="AB321" s="21"/>
      <c r="AE321" s="21"/>
      <c r="AH321" s="21"/>
      <c r="AK321" s="21"/>
      <c r="AN321" s="21"/>
      <c r="AQ321" s="21"/>
      <c r="AT321" s="21"/>
      <c r="AW321" s="21"/>
      <c r="AZ321" s="21"/>
      <c r="BC321" s="21"/>
      <c r="BF321" s="21"/>
      <c r="BI321" s="21"/>
      <c r="BL321" s="21"/>
      <c r="BO321" s="21"/>
      <c r="BR321" s="21"/>
    </row>
    <row r="322">
      <c r="L322" s="20"/>
      <c r="M322" s="21"/>
      <c r="P322" s="21"/>
      <c r="S322" s="21"/>
      <c r="V322" s="21"/>
      <c r="Y322" s="21"/>
      <c r="AB322" s="21"/>
      <c r="AE322" s="21"/>
      <c r="AH322" s="21"/>
      <c r="AK322" s="21"/>
      <c r="AN322" s="21"/>
      <c r="AQ322" s="21"/>
      <c r="AT322" s="21"/>
      <c r="AW322" s="21"/>
      <c r="AZ322" s="21"/>
      <c r="BC322" s="21"/>
      <c r="BF322" s="21"/>
      <c r="BI322" s="21"/>
      <c r="BL322" s="21"/>
      <c r="BO322" s="21"/>
      <c r="BR322" s="21"/>
    </row>
    <row r="323">
      <c r="L323" s="20"/>
      <c r="M323" s="21"/>
      <c r="P323" s="21"/>
      <c r="S323" s="21"/>
      <c r="V323" s="21"/>
      <c r="Y323" s="21"/>
      <c r="AB323" s="21"/>
      <c r="AE323" s="21"/>
      <c r="AH323" s="21"/>
      <c r="AK323" s="21"/>
      <c r="AN323" s="21"/>
      <c r="AQ323" s="21"/>
      <c r="AT323" s="21"/>
      <c r="AW323" s="21"/>
      <c r="AZ323" s="21"/>
      <c r="BC323" s="21"/>
      <c r="BF323" s="21"/>
      <c r="BI323" s="21"/>
      <c r="BL323" s="21"/>
      <c r="BO323" s="21"/>
      <c r="BR323" s="21"/>
    </row>
    <row r="324">
      <c r="L324" s="20"/>
      <c r="M324" s="21"/>
      <c r="P324" s="21"/>
      <c r="S324" s="21"/>
      <c r="V324" s="21"/>
      <c r="Y324" s="21"/>
      <c r="AB324" s="21"/>
      <c r="AE324" s="21"/>
      <c r="AH324" s="21"/>
      <c r="AK324" s="21"/>
      <c r="AN324" s="21"/>
      <c r="AQ324" s="21"/>
      <c r="AT324" s="21"/>
      <c r="AW324" s="21"/>
      <c r="AZ324" s="21"/>
      <c r="BC324" s="21"/>
      <c r="BF324" s="21"/>
      <c r="BI324" s="21"/>
      <c r="BL324" s="21"/>
      <c r="BO324" s="21"/>
      <c r="BR324" s="21"/>
    </row>
    <row r="325">
      <c r="L325" s="20"/>
      <c r="M325" s="21"/>
      <c r="P325" s="21"/>
      <c r="S325" s="21"/>
      <c r="V325" s="21"/>
      <c r="Y325" s="21"/>
      <c r="AB325" s="21"/>
      <c r="AE325" s="21"/>
      <c r="AH325" s="21"/>
      <c r="AK325" s="21"/>
      <c r="AN325" s="21"/>
      <c r="AQ325" s="21"/>
      <c r="AT325" s="21"/>
      <c r="AW325" s="21"/>
      <c r="AZ325" s="21"/>
      <c r="BC325" s="21"/>
      <c r="BF325" s="21"/>
      <c r="BI325" s="21"/>
      <c r="BL325" s="21"/>
      <c r="BO325" s="21"/>
      <c r="BR325" s="21"/>
    </row>
    <row r="326">
      <c r="L326" s="20"/>
      <c r="M326" s="21"/>
      <c r="P326" s="21"/>
      <c r="S326" s="21"/>
      <c r="V326" s="21"/>
      <c r="Y326" s="21"/>
      <c r="AB326" s="21"/>
      <c r="AE326" s="21"/>
      <c r="AH326" s="21"/>
      <c r="AK326" s="21"/>
      <c r="AN326" s="21"/>
      <c r="AQ326" s="21"/>
      <c r="AT326" s="21"/>
      <c r="AW326" s="21"/>
      <c r="AZ326" s="21"/>
      <c r="BC326" s="21"/>
      <c r="BF326" s="21"/>
      <c r="BI326" s="21"/>
      <c r="BL326" s="21"/>
      <c r="BO326" s="21"/>
      <c r="BR326" s="21"/>
    </row>
    <row r="327">
      <c r="L327" s="20"/>
      <c r="M327" s="21"/>
      <c r="P327" s="21"/>
      <c r="S327" s="21"/>
      <c r="V327" s="21"/>
      <c r="Y327" s="21"/>
      <c r="AB327" s="21"/>
      <c r="AE327" s="21"/>
      <c r="AH327" s="21"/>
      <c r="AK327" s="21"/>
      <c r="AN327" s="21"/>
      <c r="AQ327" s="21"/>
      <c r="AT327" s="21"/>
      <c r="AW327" s="21"/>
      <c r="AZ327" s="21"/>
      <c r="BC327" s="21"/>
      <c r="BF327" s="21"/>
      <c r="BI327" s="21"/>
      <c r="BL327" s="21"/>
      <c r="BO327" s="21"/>
      <c r="BR327" s="21"/>
    </row>
    <row r="328">
      <c r="L328" s="20"/>
      <c r="M328" s="21"/>
      <c r="P328" s="21"/>
      <c r="S328" s="21"/>
      <c r="V328" s="21"/>
      <c r="Y328" s="21"/>
      <c r="AB328" s="21"/>
      <c r="AE328" s="21"/>
      <c r="AH328" s="21"/>
      <c r="AK328" s="21"/>
      <c r="AN328" s="21"/>
      <c r="AQ328" s="21"/>
      <c r="AT328" s="21"/>
      <c r="AW328" s="21"/>
      <c r="AZ328" s="21"/>
      <c r="BC328" s="21"/>
      <c r="BF328" s="21"/>
      <c r="BI328" s="21"/>
      <c r="BL328" s="21"/>
      <c r="BO328" s="21"/>
      <c r="BR328" s="21"/>
    </row>
    <row r="329">
      <c r="L329" s="20"/>
      <c r="M329" s="21"/>
      <c r="P329" s="21"/>
      <c r="S329" s="21"/>
      <c r="V329" s="21"/>
      <c r="Y329" s="21"/>
      <c r="AB329" s="21"/>
      <c r="AE329" s="21"/>
      <c r="AH329" s="21"/>
      <c r="AK329" s="21"/>
      <c r="AN329" s="21"/>
      <c r="AQ329" s="21"/>
      <c r="AT329" s="21"/>
      <c r="AW329" s="21"/>
      <c r="AZ329" s="21"/>
      <c r="BC329" s="21"/>
      <c r="BF329" s="21"/>
      <c r="BI329" s="21"/>
      <c r="BL329" s="21"/>
      <c r="BO329" s="21"/>
      <c r="BR329" s="21"/>
    </row>
    <row r="330">
      <c r="L330" s="20"/>
      <c r="M330" s="21"/>
      <c r="P330" s="21"/>
      <c r="S330" s="21"/>
      <c r="V330" s="21"/>
      <c r="Y330" s="21"/>
      <c r="AB330" s="21"/>
      <c r="AE330" s="21"/>
      <c r="AH330" s="21"/>
      <c r="AK330" s="21"/>
      <c r="AN330" s="21"/>
      <c r="AQ330" s="21"/>
      <c r="AT330" s="21"/>
      <c r="AW330" s="21"/>
      <c r="AZ330" s="21"/>
      <c r="BC330" s="21"/>
      <c r="BF330" s="21"/>
      <c r="BI330" s="21"/>
      <c r="BL330" s="21"/>
      <c r="BO330" s="21"/>
      <c r="BR330" s="21"/>
    </row>
    <row r="331">
      <c r="L331" s="20"/>
      <c r="M331" s="21"/>
      <c r="P331" s="21"/>
      <c r="S331" s="21"/>
      <c r="V331" s="21"/>
      <c r="Y331" s="21"/>
      <c r="AB331" s="21"/>
      <c r="AE331" s="21"/>
      <c r="AH331" s="21"/>
      <c r="AK331" s="21"/>
      <c r="AN331" s="21"/>
      <c r="AQ331" s="21"/>
      <c r="AT331" s="21"/>
      <c r="AW331" s="21"/>
      <c r="AZ331" s="21"/>
      <c r="BC331" s="21"/>
      <c r="BF331" s="21"/>
      <c r="BI331" s="21"/>
      <c r="BL331" s="21"/>
      <c r="BO331" s="21"/>
      <c r="BR331" s="21"/>
    </row>
    <row r="332">
      <c r="L332" s="20"/>
      <c r="M332" s="21"/>
      <c r="P332" s="21"/>
      <c r="S332" s="21"/>
      <c r="V332" s="21"/>
      <c r="Y332" s="21"/>
      <c r="AB332" s="21"/>
      <c r="AE332" s="21"/>
      <c r="AH332" s="21"/>
      <c r="AK332" s="21"/>
      <c r="AN332" s="21"/>
      <c r="AQ332" s="21"/>
      <c r="AT332" s="21"/>
      <c r="AW332" s="21"/>
      <c r="AZ332" s="21"/>
      <c r="BC332" s="21"/>
      <c r="BF332" s="21"/>
      <c r="BI332" s="21"/>
      <c r="BL332" s="21"/>
      <c r="BO332" s="21"/>
      <c r="BR332" s="21"/>
    </row>
    <row r="333">
      <c r="L333" s="20"/>
      <c r="M333" s="21"/>
      <c r="P333" s="21"/>
      <c r="S333" s="21"/>
      <c r="V333" s="21"/>
      <c r="Y333" s="21"/>
      <c r="AB333" s="21"/>
      <c r="AE333" s="21"/>
      <c r="AH333" s="21"/>
      <c r="AK333" s="21"/>
      <c r="AN333" s="21"/>
      <c r="AQ333" s="21"/>
      <c r="AT333" s="21"/>
      <c r="AW333" s="21"/>
      <c r="AZ333" s="21"/>
      <c r="BC333" s="21"/>
      <c r="BF333" s="21"/>
      <c r="BI333" s="21"/>
      <c r="BL333" s="21"/>
      <c r="BO333" s="21"/>
      <c r="BR333" s="21"/>
    </row>
    <row r="334">
      <c r="L334" s="20"/>
      <c r="M334" s="21"/>
      <c r="P334" s="21"/>
      <c r="S334" s="21"/>
      <c r="V334" s="21"/>
      <c r="Y334" s="21"/>
      <c r="AB334" s="21"/>
      <c r="AE334" s="21"/>
      <c r="AH334" s="21"/>
      <c r="AK334" s="21"/>
      <c r="AN334" s="21"/>
      <c r="AQ334" s="21"/>
      <c r="AT334" s="21"/>
      <c r="AW334" s="21"/>
      <c r="AZ334" s="21"/>
      <c r="BC334" s="21"/>
      <c r="BF334" s="21"/>
      <c r="BI334" s="21"/>
      <c r="BL334" s="21"/>
      <c r="BO334" s="21"/>
      <c r="BR334" s="21"/>
    </row>
    <row r="335">
      <c r="L335" s="20"/>
      <c r="M335" s="21"/>
      <c r="P335" s="21"/>
      <c r="S335" s="21"/>
      <c r="V335" s="21"/>
      <c r="Y335" s="21"/>
      <c r="AB335" s="21"/>
      <c r="AE335" s="21"/>
      <c r="AH335" s="21"/>
      <c r="AK335" s="21"/>
      <c r="AN335" s="21"/>
      <c r="AQ335" s="21"/>
      <c r="AT335" s="21"/>
      <c r="AW335" s="21"/>
      <c r="AZ335" s="21"/>
      <c r="BC335" s="21"/>
      <c r="BF335" s="21"/>
      <c r="BI335" s="21"/>
      <c r="BL335" s="21"/>
      <c r="BO335" s="21"/>
      <c r="BR335" s="21"/>
    </row>
    <row r="336">
      <c r="L336" s="20"/>
      <c r="M336" s="21"/>
      <c r="P336" s="21"/>
      <c r="S336" s="21"/>
      <c r="V336" s="21"/>
      <c r="Y336" s="21"/>
      <c r="AB336" s="21"/>
      <c r="AE336" s="21"/>
      <c r="AH336" s="21"/>
      <c r="AK336" s="21"/>
      <c r="AN336" s="21"/>
      <c r="AQ336" s="21"/>
      <c r="AT336" s="21"/>
      <c r="AW336" s="21"/>
      <c r="AZ336" s="21"/>
      <c r="BC336" s="21"/>
      <c r="BF336" s="21"/>
      <c r="BI336" s="21"/>
      <c r="BL336" s="21"/>
      <c r="BO336" s="21"/>
      <c r="BR336" s="21"/>
    </row>
    <row r="337">
      <c r="L337" s="20"/>
      <c r="M337" s="21"/>
      <c r="P337" s="21"/>
      <c r="S337" s="21"/>
      <c r="V337" s="21"/>
      <c r="Y337" s="21"/>
      <c r="AB337" s="21"/>
      <c r="AE337" s="21"/>
      <c r="AH337" s="21"/>
      <c r="AK337" s="21"/>
      <c r="AN337" s="21"/>
      <c r="AQ337" s="21"/>
      <c r="AT337" s="21"/>
      <c r="AW337" s="21"/>
      <c r="AZ337" s="21"/>
      <c r="BC337" s="21"/>
      <c r="BF337" s="21"/>
      <c r="BI337" s="21"/>
      <c r="BL337" s="21"/>
      <c r="BO337" s="21"/>
      <c r="BR337" s="21"/>
    </row>
    <row r="338">
      <c r="L338" s="20"/>
      <c r="M338" s="21"/>
      <c r="P338" s="21"/>
      <c r="S338" s="21"/>
      <c r="V338" s="21"/>
      <c r="Y338" s="21"/>
      <c r="AB338" s="21"/>
      <c r="AE338" s="21"/>
      <c r="AH338" s="21"/>
      <c r="AK338" s="21"/>
      <c r="AN338" s="21"/>
      <c r="AQ338" s="21"/>
      <c r="AT338" s="21"/>
      <c r="AW338" s="21"/>
      <c r="AZ338" s="21"/>
      <c r="BC338" s="21"/>
      <c r="BF338" s="21"/>
      <c r="BI338" s="21"/>
      <c r="BL338" s="21"/>
      <c r="BO338" s="21"/>
      <c r="BR338" s="21"/>
    </row>
    <row r="339">
      <c r="L339" s="20"/>
      <c r="M339" s="21"/>
      <c r="P339" s="21"/>
      <c r="S339" s="21"/>
      <c r="V339" s="21"/>
      <c r="Y339" s="21"/>
      <c r="AB339" s="21"/>
      <c r="AE339" s="21"/>
      <c r="AH339" s="21"/>
      <c r="AK339" s="21"/>
      <c r="AN339" s="21"/>
      <c r="AQ339" s="21"/>
      <c r="AT339" s="21"/>
      <c r="AW339" s="21"/>
      <c r="AZ339" s="21"/>
      <c r="BC339" s="21"/>
      <c r="BF339" s="21"/>
      <c r="BI339" s="21"/>
      <c r="BL339" s="21"/>
      <c r="BO339" s="21"/>
      <c r="BR339" s="21"/>
    </row>
    <row r="340">
      <c r="L340" s="20"/>
      <c r="M340" s="21"/>
      <c r="P340" s="21"/>
      <c r="S340" s="21"/>
      <c r="V340" s="21"/>
      <c r="Y340" s="21"/>
      <c r="AB340" s="21"/>
      <c r="AE340" s="21"/>
      <c r="AH340" s="21"/>
      <c r="AK340" s="21"/>
      <c r="AN340" s="21"/>
      <c r="AQ340" s="21"/>
      <c r="AT340" s="21"/>
      <c r="AW340" s="21"/>
      <c r="AZ340" s="21"/>
      <c r="BC340" s="21"/>
      <c r="BF340" s="21"/>
      <c r="BI340" s="21"/>
      <c r="BL340" s="21"/>
      <c r="BO340" s="21"/>
      <c r="BR340" s="21"/>
    </row>
    <row r="341">
      <c r="L341" s="20"/>
      <c r="M341" s="21"/>
      <c r="P341" s="21"/>
      <c r="S341" s="21"/>
      <c r="V341" s="21"/>
      <c r="Y341" s="21"/>
      <c r="AB341" s="21"/>
      <c r="AE341" s="21"/>
      <c r="AH341" s="21"/>
      <c r="AK341" s="21"/>
      <c r="AN341" s="21"/>
      <c r="AQ341" s="21"/>
      <c r="AT341" s="21"/>
      <c r="AW341" s="21"/>
      <c r="AZ341" s="21"/>
      <c r="BC341" s="21"/>
      <c r="BF341" s="21"/>
      <c r="BI341" s="21"/>
      <c r="BL341" s="21"/>
      <c r="BO341" s="21"/>
      <c r="BR341" s="21"/>
    </row>
    <row r="342">
      <c r="L342" s="20"/>
      <c r="M342" s="21"/>
      <c r="P342" s="21"/>
      <c r="S342" s="21"/>
      <c r="V342" s="21"/>
      <c r="Y342" s="21"/>
      <c r="AB342" s="21"/>
      <c r="AE342" s="21"/>
      <c r="AH342" s="21"/>
      <c r="AK342" s="21"/>
      <c r="AN342" s="21"/>
      <c r="AQ342" s="21"/>
      <c r="AT342" s="21"/>
      <c r="AW342" s="21"/>
      <c r="AZ342" s="21"/>
      <c r="BC342" s="21"/>
      <c r="BF342" s="21"/>
      <c r="BI342" s="21"/>
      <c r="BL342" s="21"/>
      <c r="BO342" s="21"/>
      <c r="BR342" s="21"/>
    </row>
    <row r="343">
      <c r="L343" s="20"/>
      <c r="M343" s="21"/>
      <c r="P343" s="21"/>
      <c r="S343" s="21"/>
      <c r="V343" s="21"/>
      <c r="Y343" s="21"/>
      <c r="AB343" s="21"/>
      <c r="AE343" s="21"/>
      <c r="AH343" s="21"/>
      <c r="AK343" s="21"/>
      <c r="AN343" s="21"/>
      <c r="AQ343" s="21"/>
      <c r="AT343" s="21"/>
      <c r="AW343" s="21"/>
      <c r="AZ343" s="21"/>
      <c r="BC343" s="21"/>
      <c r="BF343" s="21"/>
      <c r="BI343" s="21"/>
      <c r="BL343" s="21"/>
      <c r="BO343" s="21"/>
      <c r="BR343" s="21"/>
    </row>
    <row r="344">
      <c r="L344" s="20"/>
      <c r="M344" s="21"/>
      <c r="P344" s="21"/>
      <c r="S344" s="21"/>
      <c r="V344" s="21"/>
      <c r="Y344" s="21"/>
      <c r="AB344" s="21"/>
      <c r="AE344" s="21"/>
      <c r="AH344" s="21"/>
      <c r="AK344" s="21"/>
      <c r="AN344" s="21"/>
      <c r="AQ344" s="21"/>
      <c r="AT344" s="21"/>
      <c r="AW344" s="21"/>
      <c r="AZ344" s="21"/>
      <c r="BC344" s="21"/>
      <c r="BF344" s="21"/>
      <c r="BI344" s="21"/>
      <c r="BL344" s="21"/>
      <c r="BO344" s="21"/>
      <c r="BR344" s="21"/>
    </row>
    <row r="345">
      <c r="L345" s="20"/>
      <c r="M345" s="21"/>
      <c r="P345" s="21"/>
      <c r="S345" s="21"/>
      <c r="V345" s="21"/>
      <c r="Y345" s="21"/>
      <c r="AB345" s="21"/>
      <c r="AE345" s="21"/>
      <c r="AH345" s="21"/>
      <c r="AK345" s="21"/>
      <c r="AN345" s="21"/>
      <c r="AQ345" s="21"/>
      <c r="AT345" s="21"/>
      <c r="AW345" s="21"/>
      <c r="AZ345" s="21"/>
      <c r="BC345" s="21"/>
      <c r="BF345" s="21"/>
      <c r="BI345" s="21"/>
      <c r="BL345" s="21"/>
      <c r="BO345" s="21"/>
      <c r="BR345" s="21"/>
    </row>
    <row r="346">
      <c r="L346" s="20"/>
      <c r="M346" s="21"/>
      <c r="P346" s="21"/>
      <c r="S346" s="21"/>
      <c r="V346" s="21"/>
      <c r="Y346" s="21"/>
      <c r="AB346" s="21"/>
      <c r="AE346" s="21"/>
      <c r="AH346" s="21"/>
      <c r="AK346" s="21"/>
      <c r="AN346" s="21"/>
      <c r="AQ346" s="21"/>
      <c r="AT346" s="21"/>
      <c r="AW346" s="21"/>
      <c r="AZ346" s="21"/>
      <c r="BC346" s="21"/>
      <c r="BF346" s="21"/>
      <c r="BI346" s="21"/>
      <c r="BL346" s="21"/>
      <c r="BO346" s="21"/>
      <c r="BR346" s="21"/>
    </row>
    <row r="347">
      <c r="L347" s="20"/>
      <c r="M347" s="21"/>
      <c r="P347" s="21"/>
      <c r="S347" s="21"/>
      <c r="V347" s="21"/>
      <c r="Y347" s="21"/>
      <c r="AB347" s="21"/>
      <c r="AE347" s="21"/>
      <c r="AH347" s="21"/>
      <c r="AK347" s="21"/>
      <c r="AN347" s="21"/>
      <c r="AQ347" s="21"/>
      <c r="AT347" s="21"/>
      <c r="AW347" s="21"/>
      <c r="AZ347" s="21"/>
      <c r="BC347" s="21"/>
      <c r="BF347" s="21"/>
      <c r="BI347" s="21"/>
      <c r="BL347" s="21"/>
      <c r="BO347" s="21"/>
      <c r="BR347" s="21"/>
    </row>
    <row r="348">
      <c r="L348" s="20"/>
      <c r="M348" s="21"/>
      <c r="P348" s="21"/>
      <c r="S348" s="21"/>
      <c r="V348" s="21"/>
      <c r="Y348" s="21"/>
      <c r="AB348" s="21"/>
      <c r="AE348" s="21"/>
      <c r="AH348" s="21"/>
      <c r="AK348" s="21"/>
      <c r="AN348" s="21"/>
      <c r="AQ348" s="21"/>
      <c r="AT348" s="21"/>
      <c r="AW348" s="21"/>
      <c r="AZ348" s="21"/>
      <c r="BC348" s="21"/>
      <c r="BF348" s="21"/>
      <c r="BI348" s="21"/>
      <c r="BL348" s="21"/>
      <c r="BO348" s="21"/>
      <c r="BR348" s="21"/>
    </row>
    <row r="349">
      <c r="L349" s="20"/>
      <c r="M349" s="21"/>
      <c r="P349" s="21"/>
      <c r="S349" s="21"/>
      <c r="V349" s="21"/>
      <c r="Y349" s="21"/>
      <c r="AB349" s="21"/>
      <c r="AE349" s="21"/>
      <c r="AH349" s="21"/>
      <c r="AK349" s="21"/>
      <c r="AN349" s="21"/>
      <c r="AQ349" s="21"/>
      <c r="AT349" s="21"/>
      <c r="AW349" s="21"/>
      <c r="AZ349" s="21"/>
      <c r="BC349" s="21"/>
      <c r="BF349" s="21"/>
      <c r="BI349" s="21"/>
      <c r="BL349" s="21"/>
      <c r="BO349" s="21"/>
      <c r="BR349" s="21"/>
    </row>
    <row r="350">
      <c r="L350" s="20"/>
      <c r="M350" s="21"/>
      <c r="P350" s="21"/>
      <c r="S350" s="21"/>
      <c r="V350" s="21"/>
      <c r="Y350" s="21"/>
      <c r="AB350" s="21"/>
      <c r="AE350" s="21"/>
      <c r="AH350" s="21"/>
      <c r="AK350" s="21"/>
      <c r="AN350" s="21"/>
      <c r="AQ350" s="21"/>
      <c r="AT350" s="21"/>
      <c r="AW350" s="21"/>
      <c r="AZ350" s="21"/>
      <c r="BC350" s="21"/>
      <c r="BF350" s="21"/>
      <c r="BI350" s="21"/>
      <c r="BL350" s="21"/>
      <c r="BO350" s="21"/>
      <c r="BR350" s="21"/>
    </row>
    <row r="351">
      <c r="L351" s="20"/>
      <c r="M351" s="21"/>
      <c r="P351" s="21"/>
      <c r="S351" s="21"/>
      <c r="V351" s="21"/>
      <c r="Y351" s="21"/>
      <c r="AB351" s="21"/>
      <c r="AE351" s="21"/>
      <c r="AH351" s="21"/>
      <c r="AK351" s="21"/>
      <c r="AN351" s="21"/>
      <c r="AQ351" s="21"/>
      <c r="AT351" s="21"/>
      <c r="AW351" s="21"/>
      <c r="AZ351" s="21"/>
      <c r="BC351" s="21"/>
      <c r="BF351" s="21"/>
      <c r="BI351" s="21"/>
      <c r="BL351" s="21"/>
      <c r="BO351" s="21"/>
      <c r="BR351" s="21"/>
    </row>
    <row r="352">
      <c r="L352" s="20"/>
      <c r="M352" s="21"/>
      <c r="P352" s="21"/>
      <c r="S352" s="21"/>
      <c r="V352" s="21"/>
      <c r="Y352" s="21"/>
      <c r="AB352" s="21"/>
      <c r="AE352" s="21"/>
      <c r="AH352" s="21"/>
      <c r="AK352" s="21"/>
      <c r="AN352" s="21"/>
      <c r="AQ352" s="21"/>
      <c r="AT352" s="21"/>
      <c r="AW352" s="21"/>
      <c r="AZ352" s="21"/>
      <c r="BC352" s="21"/>
      <c r="BF352" s="21"/>
      <c r="BI352" s="21"/>
      <c r="BL352" s="21"/>
      <c r="BO352" s="21"/>
      <c r="BR352" s="21"/>
    </row>
    <row r="353">
      <c r="L353" s="20"/>
      <c r="M353" s="21"/>
      <c r="P353" s="21"/>
      <c r="S353" s="21"/>
      <c r="V353" s="21"/>
      <c r="Y353" s="21"/>
      <c r="AB353" s="21"/>
      <c r="AE353" s="21"/>
      <c r="AH353" s="21"/>
      <c r="AK353" s="21"/>
      <c r="AN353" s="21"/>
      <c r="AQ353" s="21"/>
      <c r="AT353" s="21"/>
      <c r="AW353" s="21"/>
      <c r="AZ353" s="21"/>
      <c r="BC353" s="21"/>
      <c r="BF353" s="21"/>
      <c r="BI353" s="21"/>
      <c r="BL353" s="21"/>
      <c r="BO353" s="21"/>
      <c r="BR353" s="21"/>
    </row>
    <row r="354">
      <c r="L354" s="20"/>
      <c r="M354" s="21"/>
      <c r="P354" s="21"/>
      <c r="S354" s="21"/>
      <c r="V354" s="21"/>
      <c r="Y354" s="21"/>
      <c r="AB354" s="21"/>
      <c r="AE354" s="21"/>
      <c r="AH354" s="21"/>
      <c r="AK354" s="21"/>
      <c r="AN354" s="21"/>
      <c r="AQ354" s="21"/>
      <c r="AT354" s="21"/>
      <c r="AW354" s="21"/>
      <c r="AZ354" s="21"/>
      <c r="BC354" s="21"/>
      <c r="BF354" s="21"/>
      <c r="BI354" s="21"/>
      <c r="BL354" s="21"/>
      <c r="BO354" s="21"/>
      <c r="BR354" s="21"/>
    </row>
    <row r="355">
      <c r="L355" s="20"/>
      <c r="M355" s="21"/>
      <c r="P355" s="21"/>
      <c r="S355" s="21"/>
      <c r="V355" s="21"/>
      <c r="Y355" s="21"/>
      <c r="AB355" s="21"/>
      <c r="AE355" s="21"/>
      <c r="AH355" s="21"/>
      <c r="AK355" s="21"/>
      <c r="AN355" s="21"/>
      <c r="AQ355" s="21"/>
      <c r="AT355" s="21"/>
      <c r="AW355" s="21"/>
      <c r="AZ355" s="21"/>
      <c r="BC355" s="21"/>
      <c r="BF355" s="21"/>
      <c r="BI355" s="21"/>
      <c r="BL355" s="21"/>
      <c r="BO355" s="21"/>
      <c r="BR355" s="21"/>
    </row>
    <row r="356">
      <c r="L356" s="20"/>
      <c r="M356" s="21"/>
      <c r="P356" s="21"/>
      <c r="S356" s="21"/>
      <c r="V356" s="21"/>
      <c r="Y356" s="21"/>
      <c r="AB356" s="21"/>
      <c r="AE356" s="21"/>
      <c r="AH356" s="21"/>
      <c r="AK356" s="21"/>
      <c r="AN356" s="21"/>
      <c r="AQ356" s="21"/>
      <c r="AT356" s="21"/>
      <c r="AW356" s="21"/>
      <c r="AZ356" s="21"/>
      <c r="BC356" s="21"/>
      <c r="BF356" s="21"/>
      <c r="BI356" s="21"/>
      <c r="BL356" s="21"/>
      <c r="BO356" s="21"/>
      <c r="BR356" s="21"/>
    </row>
    <row r="357">
      <c r="L357" s="20"/>
      <c r="M357" s="21"/>
      <c r="P357" s="21"/>
      <c r="S357" s="21"/>
      <c r="V357" s="21"/>
      <c r="Y357" s="21"/>
      <c r="AB357" s="21"/>
      <c r="AE357" s="21"/>
      <c r="AH357" s="21"/>
      <c r="AK357" s="21"/>
      <c r="AN357" s="21"/>
      <c r="AQ357" s="21"/>
      <c r="AT357" s="21"/>
      <c r="AW357" s="21"/>
      <c r="AZ357" s="21"/>
      <c r="BC357" s="21"/>
      <c r="BF357" s="21"/>
      <c r="BI357" s="21"/>
      <c r="BL357" s="21"/>
      <c r="BO357" s="21"/>
      <c r="BR357" s="21"/>
    </row>
    <row r="358">
      <c r="L358" s="20"/>
      <c r="M358" s="21"/>
      <c r="P358" s="21"/>
      <c r="S358" s="21"/>
      <c r="V358" s="21"/>
      <c r="Y358" s="21"/>
      <c r="AB358" s="21"/>
      <c r="AE358" s="21"/>
      <c r="AH358" s="21"/>
      <c r="AK358" s="21"/>
      <c r="AN358" s="21"/>
      <c r="AQ358" s="21"/>
      <c r="AT358" s="21"/>
      <c r="AW358" s="21"/>
      <c r="AZ358" s="21"/>
      <c r="BC358" s="21"/>
      <c r="BF358" s="21"/>
      <c r="BI358" s="21"/>
      <c r="BL358" s="21"/>
      <c r="BO358" s="21"/>
      <c r="BR358" s="21"/>
    </row>
    <row r="359">
      <c r="L359" s="20"/>
      <c r="M359" s="21"/>
      <c r="P359" s="21"/>
      <c r="S359" s="21"/>
      <c r="V359" s="21"/>
      <c r="Y359" s="21"/>
      <c r="AB359" s="21"/>
      <c r="AE359" s="21"/>
      <c r="AH359" s="21"/>
      <c r="AK359" s="21"/>
      <c r="AN359" s="21"/>
      <c r="AQ359" s="21"/>
      <c r="AT359" s="21"/>
      <c r="AW359" s="21"/>
      <c r="AZ359" s="21"/>
      <c r="BC359" s="21"/>
      <c r="BF359" s="21"/>
      <c r="BI359" s="21"/>
      <c r="BL359" s="21"/>
      <c r="BO359" s="21"/>
      <c r="BR359" s="21"/>
    </row>
    <row r="360">
      <c r="L360" s="20"/>
      <c r="M360" s="21"/>
      <c r="P360" s="21"/>
      <c r="S360" s="21"/>
      <c r="V360" s="21"/>
      <c r="Y360" s="21"/>
      <c r="AB360" s="21"/>
      <c r="AE360" s="21"/>
      <c r="AH360" s="21"/>
      <c r="AK360" s="21"/>
      <c r="AN360" s="21"/>
      <c r="AQ360" s="21"/>
      <c r="AT360" s="21"/>
      <c r="AW360" s="21"/>
      <c r="AZ360" s="21"/>
      <c r="BC360" s="21"/>
      <c r="BF360" s="21"/>
      <c r="BI360" s="21"/>
      <c r="BL360" s="21"/>
      <c r="BO360" s="21"/>
      <c r="BR360" s="21"/>
    </row>
    <row r="361">
      <c r="L361" s="20"/>
      <c r="M361" s="21"/>
      <c r="P361" s="21"/>
      <c r="S361" s="21"/>
      <c r="V361" s="21"/>
      <c r="Y361" s="21"/>
      <c r="AB361" s="21"/>
      <c r="AE361" s="21"/>
      <c r="AH361" s="21"/>
      <c r="AK361" s="21"/>
      <c r="AN361" s="21"/>
      <c r="AQ361" s="21"/>
      <c r="AT361" s="21"/>
      <c r="AW361" s="21"/>
      <c r="AZ361" s="21"/>
      <c r="BC361" s="21"/>
      <c r="BF361" s="21"/>
      <c r="BI361" s="21"/>
      <c r="BL361" s="21"/>
      <c r="BO361" s="21"/>
      <c r="BR361" s="21"/>
    </row>
    <row r="362">
      <c r="L362" s="20"/>
      <c r="M362" s="21"/>
      <c r="P362" s="21"/>
      <c r="S362" s="21"/>
      <c r="V362" s="21"/>
      <c r="Y362" s="21"/>
      <c r="AB362" s="21"/>
      <c r="AE362" s="21"/>
      <c r="AH362" s="21"/>
      <c r="AK362" s="21"/>
      <c r="AN362" s="21"/>
      <c r="AQ362" s="21"/>
      <c r="AT362" s="21"/>
      <c r="AW362" s="21"/>
      <c r="AZ362" s="21"/>
      <c r="BC362" s="21"/>
      <c r="BF362" s="21"/>
      <c r="BI362" s="21"/>
      <c r="BL362" s="21"/>
      <c r="BO362" s="21"/>
      <c r="BR362" s="21"/>
    </row>
    <row r="363">
      <c r="L363" s="20"/>
      <c r="M363" s="21"/>
      <c r="P363" s="21"/>
      <c r="S363" s="21"/>
      <c r="V363" s="21"/>
      <c r="Y363" s="21"/>
      <c r="AB363" s="21"/>
      <c r="AE363" s="21"/>
      <c r="AH363" s="21"/>
      <c r="AK363" s="21"/>
      <c r="AN363" s="21"/>
      <c r="AQ363" s="21"/>
      <c r="AT363" s="21"/>
      <c r="AW363" s="21"/>
      <c r="AZ363" s="21"/>
      <c r="BC363" s="21"/>
      <c r="BF363" s="21"/>
      <c r="BI363" s="21"/>
      <c r="BL363" s="21"/>
      <c r="BO363" s="21"/>
      <c r="BR363" s="21"/>
    </row>
    <row r="364">
      <c r="L364" s="20"/>
      <c r="M364" s="21"/>
      <c r="P364" s="21"/>
      <c r="S364" s="21"/>
      <c r="V364" s="21"/>
      <c r="Y364" s="21"/>
      <c r="AB364" s="21"/>
      <c r="AE364" s="21"/>
      <c r="AH364" s="21"/>
      <c r="AK364" s="21"/>
      <c r="AN364" s="21"/>
      <c r="AQ364" s="21"/>
      <c r="AT364" s="21"/>
      <c r="AW364" s="21"/>
      <c r="AZ364" s="21"/>
      <c r="BC364" s="21"/>
      <c r="BF364" s="21"/>
      <c r="BI364" s="21"/>
      <c r="BL364" s="21"/>
      <c r="BO364" s="21"/>
      <c r="BR364" s="21"/>
    </row>
    <row r="365">
      <c r="L365" s="20"/>
      <c r="M365" s="21"/>
      <c r="P365" s="21"/>
      <c r="S365" s="21"/>
      <c r="V365" s="21"/>
      <c r="Y365" s="21"/>
      <c r="AB365" s="21"/>
      <c r="AE365" s="21"/>
      <c r="AH365" s="21"/>
      <c r="AK365" s="21"/>
      <c r="AN365" s="21"/>
      <c r="AQ365" s="21"/>
      <c r="AT365" s="21"/>
      <c r="AW365" s="21"/>
      <c r="AZ365" s="21"/>
      <c r="BC365" s="21"/>
      <c r="BF365" s="21"/>
      <c r="BI365" s="21"/>
      <c r="BL365" s="21"/>
      <c r="BO365" s="21"/>
      <c r="BR365" s="21"/>
    </row>
    <row r="366">
      <c r="L366" s="20"/>
      <c r="M366" s="21"/>
      <c r="P366" s="21"/>
      <c r="S366" s="21"/>
      <c r="V366" s="21"/>
      <c r="Y366" s="21"/>
      <c r="AB366" s="21"/>
      <c r="AE366" s="21"/>
      <c r="AH366" s="21"/>
      <c r="AK366" s="21"/>
      <c r="AN366" s="21"/>
      <c r="AQ366" s="21"/>
      <c r="AT366" s="21"/>
      <c r="AW366" s="21"/>
      <c r="AZ366" s="21"/>
      <c r="BC366" s="21"/>
      <c r="BF366" s="21"/>
      <c r="BI366" s="21"/>
      <c r="BL366" s="21"/>
      <c r="BO366" s="21"/>
      <c r="BR366" s="21"/>
    </row>
    <row r="367">
      <c r="L367" s="20"/>
      <c r="M367" s="21"/>
      <c r="P367" s="21"/>
      <c r="S367" s="21"/>
      <c r="V367" s="21"/>
      <c r="Y367" s="21"/>
      <c r="AB367" s="21"/>
      <c r="AE367" s="21"/>
      <c r="AH367" s="21"/>
      <c r="AK367" s="21"/>
      <c r="AN367" s="21"/>
      <c r="AQ367" s="21"/>
      <c r="AT367" s="21"/>
      <c r="AW367" s="21"/>
      <c r="AZ367" s="21"/>
      <c r="BC367" s="21"/>
      <c r="BF367" s="21"/>
      <c r="BI367" s="21"/>
      <c r="BL367" s="21"/>
      <c r="BO367" s="21"/>
      <c r="BR367" s="21"/>
    </row>
    <row r="368">
      <c r="L368" s="20"/>
      <c r="M368" s="21"/>
      <c r="P368" s="21"/>
      <c r="S368" s="21"/>
      <c r="V368" s="21"/>
      <c r="Y368" s="21"/>
      <c r="AB368" s="21"/>
      <c r="AE368" s="21"/>
      <c r="AH368" s="21"/>
      <c r="AK368" s="21"/>
      <c r="AN368" s="21"/>
      <c r="AQ368" s="21"/>
      <c r="AT368" s="21"/>
      <c r="AW368" s="21"/>
      <c r="AZ368" s="21"/>
      <c r="BC368" s="21"/>
      <c r="BF368" s="21"/>
      <c r="BI368" s="21"/>
      <c r="BL368" s="21"/>
      <c r="BO368" s="21"/>
      <c r="BR368" s="21"/>
    </row>
    <row r="369">
      <c r="L369" s="20"/>
      <c r="M369" s="21"/>
      <c r="P369" s="21"/>
      <c r="S369" s="21"/>
      <c r="V369" s="21"/>
      <c r="Y369" s="21"/>
      <c r="AB369" s="21"/>
      <c r="AE369" s="21"/>
      <c r="AH369" s="21"/>
      <c r="AK369" s="21"/>
      <c r="AN369" s="21"/>
      <c r="AQ369" s="21"/>
      <c r="AT369" s="21"/>
      <c r="AW369" s="21"/>
      <c r="AZ369" s="21"/>
      <c r="BC369" s="21"/>
      <c r="BF369" s="21"/>
      <c r="BI369" s="21"/>
      <c r="BL369" s="21"/>
      <c r="BO369" s="21"/>
      <c r="BR369" s="21"/>
    </row>
    <row r="370">
      <c r="L370" s="20"/>
      <c r="M370" s="21"/>
      <c r="P370" s="21"/>
      <c r="S370" s="21"/>
      <c r="V370" s="21"/>
      <c r="Y370" s="21"/>
      <c r="AB370" s="21"/>
      <c r="AE370" s="21"/>
      <c r="AH370" s="21"/>
      <c r="AK370" s="21"/>
      <c r="AN370" s="21"/>
      <c r="AQ370" s="21"/>
      <c r="AT370" s="21"/>
      <c r="AW370" s="21"/>
      <c r="AZ370" s="21"/>
      <c r="BC370" s="21"/>
      <c r="BF370" s="21"/>
      <c r="BI370" s="21"/>
      <c r="BL370" s="21"/>
      <c r="BO370" s="21"/>
      <c r="BR370" s="21"/>
    </row>
    <row r="371">
      <c r="L371" s="20"/>
      <c r="M371" s="21"/>
      <c r="P371" s="21"/>
      <c r="S371" s="21"/>
      <c r="V371" s="21"/>
      <c r="Y371" s="21"/>
      <c r="AB371" s="21"/>
      <c r="AE371" s="21"/>
      <c r="AH371" s="21"/>
      <c r="AK371" s="21"/>
      <c r="AN371" s="21"/>
      <c r="AQ371" s="21"/>
      <c r="AT371" s="21"/>
      <c r="AW371" s="21"/>
      <c r="AZ371" s="21"/>
      <c r="BC371" s="21"/>
      <c r="BF371" s="21"/>
      <c r="BI371" s="21"/>
      <c r="BL371" s="21"/>
      <c r="BO371" s="21"/>
      <c r="BR371" s="21"/>
    </row>
    <row r="372">
      <c r="L372" s="20"/>
      <c r="M372" s="21"/>
      <c r="P372" s="21"/>
      <c r="S372" s="21"/>
      <c r="V372" s="21"/>
      <c r="Y372" s="21"/>
      <c r="AB372" s="21"/>
      <c r="AE372" s="21"/>
      <c r="AH372" s="21"/>
      <c r="AK372" s="21"/>
      <c r="AN372" s="21"/>
      <c r="AQ372" s="21"/>
      <c r="AT372" s="21"/>
      <c r="AW372" s="21"/>
      <c r="AZ372" s="21"/>
      <c r="BC372" s="21"/>
      <c r="BF372" s="21"/>
      <c r="BI372" s="21"/>
      <c r="BL372" s="21"/>
      <c r="BO372" s="21"/>
      <c r="BR372" s="21"/>
    </row>
    <row r="373">
      <c r="L373" s="20"/>
      <c r="M373" s="21"/>
      <c r="P373" s="21"/>
      <c r="S373" s="21"/>
      <c r="V373" s="21"/>
      <c r="Y373" s="21"/>
      <c r="AB373" s="21"/>
      <c r="AE373" s="21"/>
      <c r="AH373" s="21"/>
      <c r="AK373" s="21"/>
      <c r="AN373" s="21"/>
      <c r="AQ373" s="21"/>
      <c r="AT373" s="21"/>
      <c r="AW373" s="21"/>
      <c r="AZ373" s="21"/>
      <c r="BC373" s="21"/>
      <c r="BF373" s="21"/>
      <c r="BI373" s="21"/>
      <c r="BL373" s="21"/>
      <c r="BO373" s="21"/>
      <c r="BR373" s="21"/>
    </row>
    <row r="374">
      <c r="L374" s="20"/>
      <c r="M374" s="21"/>
      <c r="P374" s="21"/>
      <c r="S374" s="21"/>
      <c r="V374" s="21"/>
      <c r="Y374" s="21"/>
      <c r="AB374" s="21"/>
      <c r="AE374" s="21"/>
      <c r="AH374" s="21"/>
      <c r="AK374" s="21"/>
      <c r="AN374" s="21"/>
      <c r="AQ374" s="21"/>
      <c r="AT374" s="21"/>
      <c r="AW374" s="21"/>
      <c r="AZ374" s="21"/>
      <c r="BC374" s="21"/>
      <c r="BF374" s="21"/>
      <c r="BI374" s="21"/>
      <c r="BL374" s="21"/>
      <c r="BO374" s="21"/>
      <c r="BR374" s="21"/>
    </row>
    <row r="375">
      <c r="L375" s="20"/>
      <c r="M375" s="21"/>
      <c r="P375" s="21"/>
      <c r="S375" s="21"/>
      <c r="V375" s="21"/>
      <c r="Y375" s="21"/>
      <c r="AB375" s="21"/>
      <c r="AE375" s="21"/>
      <c r="AH375" s="21"/>
      <c r="AK375" s="21"/>
      <c r="AN375" s="21"/>
      <c r="AQ375" s="21"/>
      <c r="AT375" s="21"/>
      <c r="AW375" s="21"/>
      <c r="AZ375" s="21"/>
      <c r="BC375" s="21"/>
      <c r="BF375" s="21"/>
      <c r="BI375" s="21"/>
      <c r="BL375" s="21"/>
      <c r="BO375" s="21"/>
      <c r="BR375" s="21"/>
    </row>
    <row r="376">
      <c r="L376" s="20"/>
      <c r="M376" s="21"/>
      <c r="P376" s="21"/>
      <c r="S376" s="21"/>
      <c r="V376" s="21"/>
      <c r="Y376" s="21"/>
      <c r="AB376" s="21"/>
      <c r="AE376" s="21"/>
      <c r="AH376" s="21"/>
      <c r="AK376" s="21"/>
      <c r="AN376" s="21"/>
      <c r="AQ376" s="21"/>
      <c r="AT376" s="21"/>
      <c r="AW376" s="21"/>
      <c r="AZ376" s="21"/>
      <c r="BC376" s="21"/>
      <c r="BF376" s="21"/>
      <c r="BI376" s="21"/>
      <c r="BL376" s="21"/>
      <c r="BO376" s="21"/>
      <c r="BR376" s="21"/>
    </row>
    <row r="377">
      <c r="L377" s="20"/>
      <c r="M377" s="21"/>
      <c r="P377" s="21"/>
      <c r="S377" s="21"/>
      <c r="V377" s="21"/>
      <c r="Y377" s="21"/>
      <c r="AB377" s="21"/>
      <c r="AE377" s="21"/>
      <c r="AH377" s="21"/>
      <c r="AK377" s="21"/>
      <c r="AN377" s="21"/>
      <c r="AQ377" s="21"/>
      <c r="AT377" s="21"/>
      <c r="AW377" s="21"/>
      <c r="AZ377" s="21"/>
      <c r="BC377" s="21"/>
      <c r="BF377" s="21"/>
      <c r="BI377" s="21"/>
      <c r="BL377" s="21"/>
      <c r="BO377" s="21"/>
      <c r="BR377" s="21"/>
    </row>
    <row r="378">
      <c r="L378" s="20"/>
      <c r="M378" s="21"/>
      <c r="P378" s="21"/>
      <c r="S378" s="21"/>
      <c r="V378" s="21"/>
      <c r="Y378" s="21"/>
      <c r="AB378" s="21"/>
      <c r="AE378" s="21"/>
      <c r="AH378" s="21"/>
      <c r="AK378" s="21"/>
      <c r="AN378" s="21"/>
      <c r="AQ378" s="21"/>
      <c r="AT378" s="21"/>
      <c r="AW378" s="21"/>
      <c r="AZ378" s="21"/>
      <c r="BC378" s="21"/>
      <c r="BF378" s="21"/>
      <c r="BI378" s="21"/>
      <c r="BL378" s="21"/>
      <c r="BO378" s="21"/>
      <c r="BR378" s="21"/>
    </row>
    <row r="379">
      <c r="L379" s="20"/>
      <c r="M379" s="21"/>
      <c r="P379" s="21"/>
      <c r="S379" s="21"/>
      <c r="V379" s="21"/>
      <c r="Y379" s="21"/>
      <c r="AB379" s="21"/>
      <c r="AE379" s="21"/>
      <c r="AH379" s="21"/>
      <c r="AK379" s="21"/>
      <c r="AN379" s="21"/>
      <c r="AQ379" s="21"/>
      <c r="AT379" s="21"/>
      <c r="AW379" s="21"/>
      <c r="AZ379" s="21"/>
      <c r="BC379" s="21"/>
      <c r="BF379" s="21"/>
      <c r="BI379" s="21"/>
      <c r="BL379" s="21"/>
      <c r="BO379" s="21"/>
      <c r="BR379" s="21"/>
    </row>
    <row r="380">
      <c r="L380" s="20"/>
      <c r="M380" s="21"/>
      <c r="P380" s="21"/>
      <c r="S380" s="21"/>
      <c r="V380" s="21"/>
      <c r="Y380" s="21"/>
      <c r="AB380" s="21"/>
      <c r="AE380" s="21"/>
      <c r="AH380" s="21"/>
      <c r="AK380" s="21"/>
      <c r="AN380" s="21"/>
      <c r="AQ380" s="21"/>
      <c r="AT380" s="21"/>
      <c r="AW380" s="21"/>
      <c r="AZ380" s="21"/>
      <c r="BC380" s="21"/>
      <c r="BF380" s="21"/>
      <c r="BI380" s="21"/>
      <c r="BL380" s="21"/>
      <c r="BO380" s="21"/>
      <c r="BR380" s="21"/>
    </row>
    <row r="381">
      <c r="L381" s="20"/>
      <c r="M381" s="21"/>
      <c r="P381" s="21"/>
      <c r="S381" s="21"/>
      <c r="V381" s="21"/>
      <c r="Y381" s="21"/>
      <c r="AB381" s="21"/>
      <c r="AE381" s="21"/>
      <c r="AH381" s="21"/>
      <c r="AK381" s="21"/>
      <c r="AN381" s="21"/>
      <c r="AQ381" s="21"/>
      <c r="AT381" s="21"/>
      <c r="AW381" s="21"/>
      <c r="AZ381" s="21"/>
      <c r="BC381" s="21"/>
      <c r="BF381" s="21"/>
      <c r="BI381" s="21"/>
      <c r="BL381" s="21"/>
      <c r="BO381" s="21"/>
      <c r="BR381" s="21"/>
    </row>
    <row r="382">
      <c r="L382" s="20"/>
      <c r="M382" s="21"/>
      <c r="P382" s="21"/>
      <c r="S382" s="21"/>
      <c r="V382" s="21"/>
      <c r="Y382" s="21"/>
      <c r="AB382" s="21"/>
      <c r="AE382" s="21"/>
      <c r="AH382" s="21"/>
      <c r="AK382" s="21"/>
      <c r="AN382" s="21"/>
      <c r="AQ382" s="21"/>
      <c r="AT382" s="21"/>
      <c r="AW382" s="21"/>
      <c r="AZ382" s="21"/>
      <c r="BC382" s="21"/>
      <c r="BF382" s="21"/>
      <c r="BI382" s="21"/>
      <c r="BL382" s="21"/>
      <c r="BO382" s="21"/>
      <c r="BR382" s="21"/>
    </row>
    <row r="383">
      <c r="L383" s="20"/>
      <c r="M383" s="21"/>
      <c r="P383" s="21"/>
      <c r="S383" s="21"/>
      <c r="V383" s="21"/>
      <c r="Y383" s="21"/>
      <c r="AB383" s="21"/>
      <c r="AE383" s="21"/>
      <c r="AH383" s="21"/>
      <c r="AK383" s="21"/>
      <c r="AN383" s="21"/>
      <c r="AQ383" s="21"/>
      <c r="AT383" s="21"/>
      <c r="AW383" s="21"/>
      <c r="AZ383" s="21"/>
      <c r="BC383" s="21"/>
      <c r="BF383" s="21"/>
      <c r="BI383" s="21"/>
      <c r="BL383" s="21"/>
      <c r="BO383" s="21"/>
      <c r="BR383" s="21"/>
    </row>
    <row r="384">
      <c r="L384" s="20"/>
      <c r="M384" s="21"/>
      <c r="P384" s="21"/>
      <c r="S384" s="21"/>
      <c r="V384" s="21"/>
      <c r="Y384" s="21"/>
      <c r="AB384" s="21"/>
      <c r="AE384" s="21"/>
      <c r="AH384" s="21"/>
      <c r="AK384" s="21"/>
      <c r="AN384" s="21"/>
      <c r="AQ384" s="21"/>
      <c r="AT384" s="21"/>
      <c r="AW384" s="21"/>
      <c r="AZ384" s="21"/>
      <c r="BC384" s="21"/>
      <c r="BF384" s="21"/>
      <c r="BI384" s="21"/>
      <c r="BL384" s="21"/>
      <c r="BO384" s="21"/>
      <c r="BR384" s="21"/>
    </row>
    <row r="385">
      <c r="L385" s="20"/>
      <c r="M385" s="21"/>
      <c r="P385" s="21"/>
      <c r="S385" s="21"/>
      <c r="V385" s="21"/>
      <c r="Y385" s="21"/>
      <c r="AB385" s="21"/>
      <c r="AE385" s="21"/>
      <c r="AH385" s="21"/>
      <c r="AK385" s="21"/>
      <c r="AN385" s="21"/>
      <c r="AQ385" s="21"/>
      <c r="AT385" s="21"/>
      <c r="AW385" s="21"/>
      <c r="AZ385" s="21"/>
      <c r="BC385" s="21"/>
      <c r="BF385" s="21"/>
      <c r="BI385" s="21"/>
      <c r="BL385" s="21"/>
      <c r="BO385" s="21"/>
      <c r="BR385" s="21"/>
    </row>
    <row r="386">
      <c r="L386" s="20"/>
      <c r="M386" s="21"/>
      <c r="P386" s="21"/>
      <c r="S386" s="21"/>
      <c r="V386" s="21"/>
      <c r="Y386" s="21"/>
      <c r="AB386" s="21"/>
      <c r="AE386" s="21"/>
      <c r="AH386" s="21"/>
      <c r="AK386" s="21"/>
      <c r="AN386" s="21"/>
      <c r="AQ386" s="21"/>
      <c r="AT386" s="21"/>
      <c r="AW386" s="21"/>
      <c r="AZ386" s="21"/>
      <c r="BC386" s="21"/>
      <c r="BF386" s="21"/>
      <c r="BI386" s="21"/>
      <c r="BL386" s="21"/>
      <c r="BO386" s="21"/>
      <c r="BR386" s="21"/>
    </row>
    <row r="387">
      <c r="L387" s="20"/>
      <c r="M387" s="21"/>
      <c r="P387" s="21"/>
      <c r="S387" s="21"/>
      <c r="V387" s="21"/>
      <c r="Y387" s="21"/>
      <c r="AB387" s="21"/>
      <c r="AE387" s="21"/>
      <c r="AH387" s="21"/>
      <c r="AK387" s="21"/>
      <c r="AN387" s="21"/>
      <c r="AQ387" s="21"/>
      <c r="AT387" s="21"/>
      <c r="AW387" s="21"/>
      <c r="AZ387" s="21"/>
      <c r="BC387" s="21"/>
      <c r="BF387" s="21"/>
      <c r="BI387" s="21"/>
      <c r="BL387" s="21"/>
      <c r="BO387" s="21"/>
      <c r="BR387" s="21"/>
    </row>
    <row r="388">
      <c r="L388" s="20"/>
      <c r="M388" s="21"/>
      <c r="P388" s="21"/>
      <c r="S388" s="21"/>
      <c r="V388" s="21"/>
      <c r="Y388" s="21"/>
      <c r="AB388" s="21"/>
      <c r="AE388" s="21"/>
      <c r="AH388" s="21"/>
      <c r="AK388" s="21"/>
      <c r="AN388" s="21"/>
      <c r="AQ388" s="21"/>
      <c r="AT388" s="21"/>
      <c r="AW388" s="21"/>
      <c r="AZ388" s="21"/>
      <c r="BC388" s="21"/>
      <c r="BF388" s="21"/>
      <c r="BI388" s="21"/>
      <c r="BL388" s="21"/>
      <c r="BO388" s="21"/>
      <c r="BR388" s="21"/>
    </row>
    <row r="389">
      <c r="L389" s="20"/>
      <c r="M389" s="21"/>
      <c r="P389" s="21"/>
      <c r="S389" s="21"/>
      <c r="V389" s="21"/>
      <c r="Y389" s="21"/>
      <c r="AB389" s="21"/>
      <c r="AE389" s="21"/>
      <c r="AH389" s="21"/>
      <c r="AK389" s="21"/>
      <c r="AN389" s="21"/>
      <c r="AQ389" s="21"/>
      <c r="AT389" s="21"/>
      <c r="AW389" s="21"/>
      <c r="AZ389" s="21"/>
      <c r="BC389" s="21"/>
      <c r="BF389" s="21"/>
      <c r="BI389" s="21"/>
      <c r="BL389" s="21"/>
      <c r="BO389" s="21"/>
      <c r="BR389" s="21"/>
    </row>
    <row r="390">
      <c r="L390" s="20"/>
      <c r="M390" s="21"/>
      <c r="P390" s="21"/>
      <c r="S390" s="21"/>
      <c r="V390" s="21"/>
      <c r="Y390" s="21"/>
      <c r="AB390" s="21"/>
      <c r="AE390" s="21"/>
      <c r="AH390" s="21"/>
      <c r="AK390" s="21"/>
      <c r="AN390" s="21"/>
      <c r="AQ390" s="21"/>
      <c r="AT390" s="21"/>
      <c r="AW390" s="21"/>
      <c r="AZ390" s="21"/>
      <c r="BC390" s="21"/>
      <c r="BF390" s="21"/>
      <c r="BI390" s="21"/>
      <c r="BL390" s="21"/>
      <c r="BO390" s="21"/>
      <c r="BR390" s="21"/>
    </row>
    <row r="391">
      <c r="L391" s="20"/>
      <c r="M391" s="21"/>
      <c r="P391" s="21"/>
      <c r="S391" s="21"/>
      <c r="V391" s="21"/>
      <c r="Y391" s="21"/>
      <c r="AB391" s="21"/>
      <c r="AE391" s="21"/>
      <c r="AH391" s="21"/>
      <c r="AK391" s="21"/>
      <c r="AN391" s="21"/>
      <c r="AQ391" s="21"/>
      <c r="AT391" s="21"/>
      <c r="AW391" s="21"/>
      <c r="AZ391" s="21"/>
      <c r="BC391" s="21"/>
      <c r="BF391" s="21"/>
      <c r="BI391" s="21"/>
      <c r="BL391" s="21"/>
      <c r="BO391" s="21"/>
      <c r="BR391" s="21"/>
    </row>
    <row r="392">
      <c r="L392" s="20"/>
      <c r="M392" s="21"/>
      <c r="P392" s="21"/>
      <c r="S392" s="21"/>
      <c r="V392" s="21"/>
      <c r="Y392" s="21"/>
      <c r="AB392" s="21"/>
      <c r="AE392" s="21"/>
      <c r="AH392" s="21"/>
      <c r="AK392" s="21"/>
      <c r="AN392" s="21"/>
      <c r="AQ392" s="21"/>
      <c r="AT392" s="21"/>
      <c r="AW392" s="21"/>
      <c r="AZ392" s="21"/>
      <c r="BC392" s="21"/>
      <c r="BF392" s="21"/>
      <c r="BI392" s="21"/>
      <c r="BL392" s="21"/>
      <c r="BO392" s="21"/>
      <c r="BR392" s="21"/>
    </row>
    <row r="393">
      <c r="L393" s="20"/>
      <c r="M393" s="21"/>
      <c r="P393" s="21"/>
      <c r="S393" s="21"/>
      <c r="V393" s="21"/>
      <c r="Y393" s="21"/>
      <c r="AB393" s="21"/>
      <c r="AE393" s="21"/>
      <c r="AH393" s="21"/>
      <c r="AK393" s="21"/>
      <c r="AN393" s="21"/>
      <c r="AQ393" s="21"/>
      <c r="AT393" s="21"/>
      <c r="AW393" s="21"/>
      <c r="AZ393" s="21"/>
      <c r="BC393" s="21"/>
      <c r="BF393" s="21"/>
      <c r="BI393" s="21"/>
      <c r="BL393" s="21"/>
      <c r="BO393" s="21"/>
      <c r="BR393" s="21"/>
    </row>
    <row r="394">
      <c r="L394" s="20"/>
      <c r="M394" s="21"/>
      <c r="P394" s="21"/>
      <c r="S394" s="21"/>
      <c r="V394" s="21"/>
      <c r="Y394" s="21"/>
      <c r="AB394" s="21"/>
      <c r="AE394" s="21"/>
      <c r="AH394" s="21"/>
      <c r="AK394" s="21"/>
      <c r="AN394" s="21"/>
      <c r="AQ394" s="21"/>
      <c r="AT394" s="21"/>
      <c r="AW394" s="21"/>
      <c r="AZ394" s="21"/>
      <c r="BC394" s="21"/>
      <c r="BF394" s="21"/>
      <c r="BI394" s="21"/>
      <c r="BL394" s="21"/>
      <c r="BO394" s="21"/>
      <c r="BR394" s="21"/>
    </row>
    <row r="395">
      <c r="L395" s="20"/>
      <c r="M395" s="21"/>
      <c r="P395" s="21"/>
      <c r="S395" s="21"/>
      <c r="V395" s="21"/>
      <c r="Y395" s="21"/>
      <c r="AB395" s="21"/>
      <c r="AE395" s="21"/>
      <c r="AH395" s="21"/>
      <c r="AK395" s="21"/>
      <c r="AN395" s="21"/>
      <c r="AQ395" s="21"/>
      <c r="AT395" s="21"/>
      <c r="AW395" s="21"/>
      <c r="AZ395" s="21"/>
      <c r="BC395" s="21"/>
      <c r="BF395" s="21"/>
      <c r="BI395" s="21"/>
      <c r="BL395" s="21"/>
      <c r="BO395" s="21"/>
      <c r="BR395" s="21"/>
    </row>
    <row r="396">
      <c r="L396" s="20"/>
      <c r="M396" s="21"/>
      <c r="P396" s="21"/>
      <c r="S396" s="21"/>
      <c r="V396" s="21"/>
      <c r="Y396" s="21"/>
      <c r="AB396" s="21"/>
      <c r="AE396" s="21"/>
      <c r="AH396" s="21"/>
      <c r="AK396" s="21"/>
      <c r="AN396" s="21"/>
      <c r="AQ396" s="21"/>
      <c r="AT396" s="21"/>
      <c r="AW396" s="21"/>
      <c r="AZ396" s="21"/>
      <c r="BC396" s="21"/>
      <c r="BF396" s="21"/>
      <c r="BI396" s="21"/>
      <c r="BL396" s="21"/>
      <c r="BO396" s="21"/>
      <c r="BR396" s="21"/>
    </row>
    <row r="397">
      <c r="L397" s="20"/>
      <c r="M397" s="21"/>
      <c r="P397" s="21"/>
      <c r="S397" s="21"/>
      <c r="V397" s="21"/>
      <c r="Y397" s="21"/>
      <c r="AB397" s="21"/>
      <c r="AE397" s="21"/>
      <c r="AH397" s="21"/>
      <c r="AK397" s="21"/>
      <c r="AN397" s="21"/>
      <c r="AQ397" s="21"/>
      <c r="AT397" s="21"/>
      <c r="AW397" s="21"/>
      <c r="AZ397" s="21"/>
      <c r="BC397" s="21"/>
      <c r="BF397" s="21"/>
      <c r="BI397" s="21"/>
      <c r="BL397" s="21"/>
      <c r="BO397" s="21"/>
      <c r="BR397" s="21"/>
    </row>
    <row r="398">
      <c r="L398" s="20"/>
      <c r="M398" s="21"/>
      <c r="P398" s="21"/>
      <c r="S398" s="21"/>
      <c r="V398" s="21"/>
      <c r="Y398" s="21"/>
      <c r="AB398" s="21"/>
      <c r="AE398" s="21"/>
      <c r="AH398" s="21"/>
      <c r="AK398" s="21"/>
      <c r="AN398" s="21"/>
      <c r="AQ398" s="21"/>
      <c r="AT398" s="21"/>
      <c r="AW398" s="21"/>
      <c r="AZ398" s="21"/>
      <c r="BC398" s="21"/>
      <c r="BF398" s="21"/>
      <c r="BI398" s="21"/>
      <c r="BL398" s="21"/>
      <c r="BO398" s="21"/>
      <c r="BR398" s="21"/>
    </row>
    <row r="399">
      <c r="L399" s="20"/>
      <c r="M399" s="21"/>
      <c r="P399" s="21"/>
      <c r="S399" s="21"/>
      <c r="V399" s="21"/>
      <c r="Y399" s="21"/>
      <c r="AB399" s="21"/>
      <c r="AE399" s="21"/>
      <c r="AH399" s="21"/>
      <c r="AK399" s="21"/>
      <c r="AN399" s="21"/>
      <c r="AQ399" s="21"/>
      <c r="AT399" s="21"/>
      <c r="AW399" s="21"/>
      <c r="AZ399" s="21"/>
      <c r="BC399" s="21"/>
      <c r="BF399" s="21"/>
      <c r="BI399" s="21"/>
      <c r="BL399" s="21"/>
      <c r="BO399" s="21"/>
      <c r="BR399" s="21"/>
    </row>
    <row r="400">
      <c r="L400" s="20"/>
      <c r="M400" s="21"/>
      <c r="P400" s="21"/>
      <c r="S400" s="21"/>
      <c r="V400" s="21"/>
      <c r="Y400" s="21"/>
      <c r="AB400" s="21"/>
      <c r="AE400" s="21"/>
      <c r="AH400" s="21"/>
      <c r="AK400" s="21"/>
      <c r="AN400" s="21"/>
      <c r="AQ400" s="21"/>
      <c r="AT400" s="21"/>
      <c r="AW400" s="21"/>
      <c r="AZ400" s="21"/>
      <c r="BC400" s="21"/>
      <c r="BF400" s="21"/>
      <c r="BI400" s="21"/>
      <c r="BL400" s="21"/>
      <c r="BO400" s="21"/>
      <c r="BR400" s="21"/>
    </row>
    <row r="401">
      <c r="L401" s="20"/>
      <c r="M401" s="21"/>
      <c r="P401" s="21"/>
      <c r="S401" s="21"/>
      <c r="V401" s="21"/>
      <c r="Y401" s="21"/>
      <c r="AB401" s="21"/>
      <c r="AE401" s="21"/>
      <c r="AH401" s="21"/>
      <c r="AK401" s="21"/>
      <c r="AN401" s="21"/>
      <c r="AQ401" s="21"/>
      <c r="AT401" s="21"/>
      <c r="AW401" s="21"/>
      <c r="AZ401" s="21"/>
      <c r="BC401" s="21"/>
      <c r="BF401" s="21"/>
      <c r="BI401" s="21"/>
      <c r="BL401" s="21"/>
      <c r="BO401" s="21"/>
      <c r="BR401" s="21"/>
    </row>
    <row r="402">
      <c r="L402" s="20"/>
      <c r="M402" s="21"/>
      <c r="P402" s="21"/>
      <c r="S402" s="21"/>
      <c r="V402" s="21"/>
      <c r="Y402" s="21"/>
      <c r="AB402" s="21"/>
      <c r="AE402" s="21"/>
      <c r="AH402" s="21"/>
      <c r="AK402" s="21"/>
      <c r="AN402" s="21"/>
      <c r="AQ402" s="21"/>
      <c r="AT402" s="21"/>
      <c r="AW402" s="21"/>
      <c r="AZ402" s="21"/>
      <c r="BC402" s="21"/>
      <c r="BF402" s="21"/>
      <c r="BI402" s="21"/>
      <c r="BL402" s="21"/>
      <c r="BO402" s="21"/>
      <c r="BR402" s="21"/>
    </row>
    <row r="403">
      <c r="L403" s="20"/>
      <c r="M403" s="21"/>
      <c r="P403" s="21"/>
      <c r="S403" s="21"/>
      <c r="V403" s="21"/>
      <c r="Y403" s="21"/>
      <c r="AB403" s="21"/>
      <c r="AE403" s="21"/>
      <c r="AH403" s="21"/>
      <c r="AK403" s="21"/>
      <c r="AN403" s="21"/>
      <c r="AQ403" s="21"/>
      <c r="AT403" s="21"/>
      <c r="AW403" s="21"/>
      <c r="AZ403" s="21"/>
      <c r="BC403" s="21"/>
      <c r="BF403" s="21"/>
      <c r="BI403" s="21"/>
      <c r="BL403" s="21"/>
      <c r="BO403" s="21"/>
      <c r="BR403" s="21"/>
    </row>
    <row r="404">
      <c r="L404" s="20"/>
      <c r="M404" s="21"/>
      <c r="P404" s="21"/>
      <c r="S404" s="21"/>
      <c r="V404" s="21"/>
      <c r="Y404" s="21"/>
      <c r="AB404" s="21"/>
      <c r="AE404" s="21"/>
      <c r="AH404" s="21"/>
      <c r="AK404" s="21"/>
      <c r="AN404" s="21"/>
      <c r="AQ404" s="21"/>
      <c r="AT404" s="21"/>
      <c r="AW404" s="21"/>
      <c r="AZ404" s="21"/>
      <c r="BC404" s="21"/>
      <c r="BF404" s="21"/>
      <c r="BI404" s="21"/>
      <c r="BL404" s="21"/>
      <c r="BO404" s="21"/>
      <c r="BR404" s="21"/>
    </row>
    <row r="405">
      <c r="L405" s="20"/>
      <c r="M405" s="21"/>
      <c r="P405" s="21"/>
      <c r="S405" s="21"/>
      <c r="V405" s="21"/>
      <c r="Y405" s="21"/>
      <c r="AB405" s="21"/>
      <c r="AE405" s="21"/>
      <c r="AH405" s="21"/>
      <c r="AK405" s="21"/>
      <c r="AN405" s="21"/>
      <c r="AQ405" s="21"/>
      <c r="AT405" s="21"/>
      <c r="AW405" s="21"/>
      <c r="AZ405" s="21"/>
      <c r="BC405" s="21"/>
      <c r="BF405" s="21"/>
      <c r="BI405" s="21"/>
      <c r="BL405" s="21"/>
      <c r="BO405" s="21"/>
      <c r="BR405" s="21"/>
    </row>
    <row r="406">
      <c r="L406" s="20"/>
      <c r="M406" s="21"/>
      <c r="P406" s="21"/>
      <c r="S406" s="21"/>
      <c r="V406" s="21"/>
      <c r="Y406" s="21"/>
      <c r="AB406" s="21"/>
      <c r="AE406" s="21"/>
      <c r="AH406" s="21"/>
      <c r="AK406" s="21"/>
      <c r="AN406" s="21"/>
      <c r="AQ406" s="21"/>
      <c r="AT406" s="21"/>
      <c r="AW406" s="21"/>
      <c r="AZ406" s="21"/>
      <c r="BC406" s="21"/>
      <c r="BF406" s="21"/>
      <c r="BI406" s="21"/>
      <c r="BL406" s="21"/>
      <c r="BO406" s="21"/>
      <c r="BR406" s="21"/>
    </row>
    <row r="407">
      <c r="L407" s="20"/>
      <c r="M407" s="21"/>
      <c r="P407" s="21"/>
      <c r="S407" s="21"/>
      <c r="V407" s="21"/>
      <c r="Y407" s="21"/>
      <c r="AB407" s="21"/>
      <c r="AE407" s="21"/>
      <c r="AH407" s="21"/>
      <c r="AK407" s="21"/>
      <c r="AN407" s="21"/>
      <c r="AQ407" s="21"/>
      <c r="AT407" s="21"/>
      <c r="AW407" s="21"/>
      <c r="AZ407" s="21"/>
      <c r="BC407" s="21"/>
      <c r="BF407" s="21"/>
      <c r="BI407" s="21"/>
      <c r="BL407" s="21"/>
      <c r="BO407" s="21"/>
      <c r="BR407" s="21"/>
    </row>
    <row r="408">
      <c r="L408" s="20"/>
      <c r="M408" s="21"/>
      <c r="P408" s="21"/>
      <c r="S408" s="21"/>
      <c r="V408" s="21"/>
      <c r="Y408" s="21"/>
      <c r="AB408" s="21"/>
      <c r="AE408" s="21"/>
      <c r="AH408" s="21"/>
      <c r="AK408" s="21"/>
      <c r="AN408" s="21"/>
      <c r="AQ408" s="21"/>
      <c r="AT408" s="21"/>
      <c r="AW408" s="21"/>
      <c r="AZ408" s="21"/>
      <c r="BC408" s="21"/>
      <c r="BF408" s="21"/>
      <c r="BI408" s="21"/>
      <c r="BL408" s="21"/>
      <c r="BO408" s="21"/>
      <c r="BR408" s="21"/>
    </row>
    <row r="409">
      <c r="L409" s="20"/>
      <c r="M409" s="21"/>
      <c r="P409" s="21"/>
      <c r="S409" s="21"/>
      <c r="V409" s="21"/>
      <c r="Y409" s="21"/>
      <c r="AB409" s="21"/>
      <c r="AE409" s="21"/>
      <c r="AH409" s="21"/>
      <c r="AK409" s="21"/>
      <c r="AN409" s="21"/>
      <c r="AQ409" s="21"/>
      <c r="AT409" s="21"/>
      <c r="AW409" s="21"/>
      <c r="AZ409" s="21"/>
      <c r="BC409" s="21"/>
      <c r="BF409" s="21"/>
      <c r="BI409" s="21"/>
      <c r="BL409" s="21"/>
      <c r="BO409" s="21"/>
      <c r="BR409" s="21"/>
    </row>
    <row r="410">
      <c r="L410" s="20"/>
      <c r="M410" s="21"/>
      <c r="P410" s="21"/>
      <c r="S410" s="21"/>
      <c r="V410" s="21"/>
      <c r="Y410" s="21"/>
      <c r="AB410" s="21"/>
      <c r="AE410" s="21"/>
      <c r="AH410" s="21"/>
      <c r="AK410" s="21"/>
      <c r="AN410" s="21"/>
      <c r="AQ410" s="21"/>
      <c r="AT410" s="21"/>
      <c r="AW410" s="21"/>
      <c r="AZ410" s="21"/>
      <c r="BC410" s="21"/>
      <c r="BF410" s="21"/>
      <c r="BI410" s="21"/>
      <c r="BL410" s="21"/>
      <c r="BO410" s="21"/>
      <c r="BR410" s="21"/>
    </row>
    <row r="411">
      <c r="L411" s="20"/>
      <c r="M411" s="21"/>
      <c r="P411" s="21"/>
      <c r="S411" s="21"/>
      <c r="V411" s="21"/>
      <c r="Y411" s="21"/>
      <c r="AB411" s="21"/>
      <c r="AE411" s="21"/>
      <c r="AH411" s="21"/>
      <c r="AK411" s="21"/>
      <c r="AN411" s="21"/>
      <c r="AQ411" s="21"/>
      <c r="AT411" s="21"/>
      <c r="AW411" s="21"/>
      <c r="AZ411" s="21"/>
      <c r="BC411" s="21"/>
      <c r="BF411" s="21"/>
      <c r="BI411" s="21"/>
      <c r="BL411" s="21"/>
      <c r="BO411" s="21"/>
      <c r="BR411" s="21"/>
    </row>
    <row r="412">
      <c r="L412" s="20"/>
      <c r="M412" s="21"/>
      <c r="P412" s="21"/>
      <c r="S412" s="21"/>
      <c r="V412" s="21"/>
      <c r="Y412" s="21"/>
      <c r="AB412" s="21"/>
      <c r="AE412" s="21"/>
      <c r="AH412" s="21"/>
      <c r="AK412" s="21"/>
      <c r="AN412" s="21"/>
      <c r="AQ412" s="21"/>
      <c r="AT412" s="21"/>
      <c r="AW412" s="21"/>
      <c r="AZ412" s="21"/>
      <c r="BC412" s="21"/>
      <c r="BF412" s="21"/>
      <c r="BI412" s="21"/>
      <c r="BL412" s="21"/>
      <c r="BO412" s="21"/>
      <c r="BR412" s="21"/>
    </row>
    <row r="413">
      <c r="L413" s="20"/>
      <c r="M413" s="21"/>
      <c r="P413" s="21"/>
      <c r="S413" s="21"/>
      <c r="V413" s="21"/>
      <c r="Y413" s="21"/>
      <c r="AB413" s="21"/>
      <c r="AE413" s="21"/>
      <c r="AH413" s="21"/>
      <c r="AK413" s="21"/>
      <c r="AN413" s="21"/>
      <c r="AQ413" s="21"/>
      <c r="AT413" s="21"/>
      <c r="AW413" s="21"/>
      <c r="AZ413" s="21"/>
      <c r="BC413" s="21"/>
      <c r="BF413" s="21"/>
      <c r="BI413" s="21"/>
      <c r="BL413" s="21"/>
      <c r="BO413" s="21"/>
      <c r="BR413" s="21"/>
    </row>
    <row r="414">
      <c r="L414" s="20"/>
      <c r="M414" s="21"/>
      <c r="P414" s="21"/>
      <c r="S414" s="21"/>
      <c r="V414" s="21"/>
      <c r="Y414" s="21"/>
      <c r="AB414" s="21"/>
      <c r="AE414" s="21"/>
      <c r="AH414" s="21"/>
      <c r="AK414" s="21"/>
      <c r="AN414" s="21"/>
      <c r="AQ414" s="21"/>
      <c r="AT414" s="21"/>
      <c r="AW414" s="21"/>
      <c r="AZ414" s="21"/>
      <c r="BC414" s="21"/>
      <c r="BF414" s="21"/>
      <c r="BI414" s="21"/>
      <c r="BL414" s="21"/>
      <c r="BO414" s="21"/>
      <c r="BR414" s="21"/>
    </row>
    <row r="415">
      <c r="L415" s="20"/>
      <c r="M415" s="21"/>
      <c r="P415" s="21"/>
      <c r="S415" s="21"/>
      <c r="V415" s="21"/>
      <c r="Y415" s="21"/>
      <c r="AB415" s="21"/>
      <c r="AE415" s="21"/>
      <c r="AH415" s="21"/>
      <c r="AK415" s="21"/>
      <c r="AN415" s="21"/>
      <c r="AQ415" s="21"/>
      <c r="AT415" s="21"/>
      <c r="AW415" s="21"/>
      <c r="AZ415" s="21"/>
      <c r="BC415" s="21"/>
      <c r="BF415" s="21"/>
      <c r="BI415" s="21"/>
      <c r="BL415" s="21"/>
      <c r="BO415" s="21"/>
      <c r="BR415" s="21"/>
    </row>
    <row r="416">
      <c r="L416" s="20"/>
      <c r="M416" s="21"/>
      <c r="P416" s="21"/>
      <c r="S416" s="21"/>
      <c r="V416" s="21"/>
      <c r="Y416" s="21"/>
      <c r="AB416" s="21"/>
      <c r="AE416" s="21"/>
      <c r="AH416" s="21"/>
      <c r="AK416" s="21"/>
      <c r="AN416" s="21"/>
      <c r="AQ416" s="21"/>
      <c r="AT416" s="21"/>
      <c r="AW416" s="21"/>
      <c r="AZ416" s="21"/>
      <c r="BC416" s="21"/>
      <c r="BF416" s="21"/>
      <c r="BI416" s="21"/>
      <c r="BL416" s="21"/>
      <c r="BO416" s="21"/>
      <c r="BR416" s="21"/>
    </row>
    <row r="417">
      <c r="L417" s="20"/>
      <c r="M417" s="21"/>
      <c r="P417" s="21"/>
      <c r="S417" s="21"/>
      <c r="V417" s="21"/>
      <c r="Y417" s="21"/>
      <c r="AB417" s="21"/>
      <c r="AE417" s="21"/>
      <c r="AH417" s="21"/>
      <c r="AK417" s="21"/>
      <c r="AN417" s="21"/>
      <c r="AQ417" s="21"/>
      <c r="AT417" s="21"/>
      <c r="AW417" s="21"/>
      <c r="AZ417" s="21"/>
      <c r="BC417" s="21"/>
      <c r="BF417" s="21"/>
      <c r="BI417" s="21"/>
      <c r="BL417" s="21"/>
      <c r="BO417" s="21"/>
      <c r="BR417" s="21"/>
    </row>
    <row r="418">
      <c r="L418" s="20"/>
      <c r="M418" s="21"/>
      <c r="P418" s="21"/>
      <c r="S418" s="21"/>
      <c r="V418" s="21"/>
      <c r="Y418" s="21"/>
      <c r="AB418" s="21"/>
      <c r="AE418" s="21"/>
      <c r="AH418" s="21"/>
      <c r="AK418" s="21"/>
      <c r="AN418" s="21"/>
      <c r="AQ418" s="21"/>
      <c r="AT418" s="21"/>
      <c r="AW418" s="21"/>
      <c r="AZ418" s="21"/>
      <c r="BC418" s="21"/>
      <c r="BF418" s="21"/>
      <c r="BI418" s="21"/>
      <c r="BL418" s="21"/>
      <c r="BO418" s="21"/>
      <c r="BR418" s="21"/>
    </row>
    <row r="419">
      <c r="L419" s="20"/>
      <c r="M419" s="21"/>
      <c r="P419" s="21"/>
      <c r="S419" s="21"/>
      <c r="V419" s="21"/>
      <c r="Y419" s="21"/>
      <c r="AB419" s="21"/>
      <c r="AE419" s="21"/>
      <c r="AH419" s="21"/>
      <c r="AK419" s="21"/>
      <c r="AN419" s="21"/>
      <c r="AQ419" s="21"/>
      <c r="AT419" s="21"/>
      <c r="AW419" s="21"/>
      <c r="AZ419" s="21"/>
      <c r="BC419" s="21"/>
      <c r="BF419" s="21"/>
      <c r="BI419" s="21"/>
      <c r="BL419" s="21"/>
      <c r="BO419" s="21"/>
      <c r="BR419" s="21"/>
    </row>
    <row r="420">
      <c r="L420" s="20"/>
      <c r="M420" s="21"/>
      <c r="P420" s="21"/>
      <c r="S420" s="21"/>
      <c r="V420" s="21"/>
      <c r="Y420" s="21"/>
      <c r="AB420" s="21"/>
      <c r="AE420" s="21"/>
      <c r="AH420" s="21"/>
      <c r="AK420" s="21"/>
      <c r="AN420" s="21"/>
      <c r="AQ420" s="21"/>
      <c r="AT420" s="21"/>
      <c r="AW420" s="21"/>
      <c r="AZ420" s="21"/>
      <c r="BC420" s="21"/>
      <c r="BF420" s="21"/>
      <c r="BI420" s="21"/>
      <c r="BL420" s="21"/>
      <c r="BO420" s="21"/>
      <c r="BR420" s="21"/>
    </row>
    <row r="421">
      <c r="L421" s="20"/>
      <c r="M421" s="21"/>
      <c r="P421" s="21"/>
      <c r="S421" s="21"/>
      <c r="V421" s="21"/>
      <c r="Y421" s="21"/>
      <c r="AB421" s="21"/>
      <c r="AE421" s="21"/>
      <c r="AH421" s="21"/>
      <c r="AK421" s="21"/>
      <c r="AN421" s="21"/>
      <c r="AQ421" s="21"/>
      <c r="AT421" s="21"/>
      <c r="AW421" s="21"/>
      <c r="AZ421" s="21"/>
      <c r="BC421" s="21"/>
      <c r="BF421" s="21"/>
      <c r="BI421" s="21"/>
      <c r="BL421" s="21"/>
      <c r="BO421" s="21"/>
      <c r="BR421" s="21"/>
    </row>
    <row r="422">
      <c r="L422" s="20"/>
      <c r="M422" s="21"/>
      <c r="P422" s="21"/>
      <c r="S422" s="21"/>
      <c r="V422" s="21"/>
      <c r="Y422" s="21"/>
      <c r="AB422" s="21"/>
      <c r="AE422" s="21"/>
      <c r="AH422" s="21"/>
      <c r="AK422" s="21"/>
      <c r="AN422" s="21"/>
      <c r="AQ422" s="21"/>
      <c r="AT422" s="21"/>
      <c r="AW422" s="21"/>
      <c r="AZ422" s="21"/>
      <c r="BC422" s="21"/>
      <c r="BF422" s="21"/>
      <c r="BI422" s="21"/>
      <c r="BL422" s="21"/>
      <c r="BO422" s="21"/>
      <c r="BR422" s="21"/>
    </row>
    <row r="423">
      <c r="L423" s="20"/>
      <c r="M423" s="21"/>
      <c r="P423" s="21"/>
      <c r="S423" s="21"/>
      <c r="V423" s="21"/>
      <c r="Y423" s="21"/>
      <c r="AB423" s="21"/>
      <c r="AE423" s="21"/>
      <c r="AH423" s="21"/>
      <c r="AK423" s="21"/>
      <c r="AN423" s="21"/>
      <c r="AQ423" s="21"/>
      <c r="AT423" s="21"/>
      <c r="AW423" s="21"/>
      <c r="AZ423" s="21"/>
      <c r="BC423" s="21"/>
      <c r="BF423" s="21"/>
      <c r="BI423" s="21"/>
      <c r="BL423" s="21"/>
      <c r="BO423" s="21"/>
      <c r="BR423" s="21"/>
    </row>
    <row r="424">
      <c r="L424" s="20"/>
      <c r="M424" s="21"/>
      <c r="P424" s="21"/>
      <c r="S424" s="21"/>
      <c r="V424" s="21"/>
      <c r="Y424" s="21"/>
      <c r="AB424" s="21"/>
      <c r="AE424" s="21"/>
      <c r="AH424" s="21"/>
      <c r="AK424" s="21"/>
      <c r="AN424" s="21"/>
      <c r="AQ424" s="21"/>
      <c r="AT424" s="21"/>
      <c r="AW424" s="21"/>
      <c r="AZ424" s="21"/>
      <c r="BC424" s="21"/>
      <c r="BF424" s="21"/>
      <c r="BI424" s="21"/>
      <c r="BL424" s="21"/>
      <c r="BO424" s="21"/>
      <c r="BR424" s="21"/>
    </row>
    <row r="425">
      <c r="L425" s="20"/>
      <c r="M425" s="21"/>
      <c r="P425" s="21"/>
      <c r="S425" s="21"/>
      <c r="V425" s="21"/>
      <c r="Y425" s="21"/>
      <c r="AB425" s="21"/>
      <c r="AE425" s="21"/>
      <c r="AH425" s="21"/>
      <c r="AK425" s="21"/>
      <c r="AN425" s="21"/>
      <c r="AQ425" s="21"/>
      <c r="AT425" s="21"/>
      <c r="AW425" s="21"/>
      <c r="AZ425" s="21"/>
      <c r="BC425" s="21"/>
      <c r="BF425" s="21"/>
      <c r="BI425" s="21"/>
      <c r="BL425" s="21"/>
      <c r="BO425" s="21"/>
      <c r="BR425" s="21"/>
    </row>
    <row r="426">
      <c r="L426" s="20"/>
      <c r="M426" s="21"/>
      <c r="P426" s="21"/>
      <c r="S426" s="21"/>
      <c r="V426" s="21"/>
      <c r="Y426" s="21"/>
      <c r="AB426" s="21"/>
      <c r="AE426" s="21"/>
      <c r="AH426" s="21"/>
      <c r="AK426" s="21"/>
      <c r="AN426" s="21"/>
      <c r="AQ426" s="21"/>
      <c r="AT426" s="21"/>
      <c r="AW426" s="21"/>
      <c r="AZ426" s="21"/>
      <c r="BC426" s="21"/>
      <c r="BF426" s="21"/>
      <c r="BI426" s="21"/>
      <c r="BL426" s="21"/>
      <c r="BO426" s="21"/>
      <c r="BR426" s="21"/>
    </row>
    <row r="427">
      <c r="L427" s="20"/>
      <c r="M427" s="21"/>
      <c r="P427" s="21"/>
      <c r="S427" s="21"/>
      <c r="V427" s="21"/>
      <c r="Y427" s="21"/>
      <c r="AB427" s="21"/>
      <c r="AE427" s="21"/>
      <c r="AH427" s="21"/>
      <c r="AK427" s="21"/>
      <c r="AN427" s="21"/>
      <c r="AQ427" s="21"/>
      <c r="AT427" s="21"/>
      <c r="AW427" s="21"/>
      <c r="AZ427" s="21"/>
      <c r="BC427" s="21"/>
      <c r="BF427" s="21"/>
      <c r="BI427" s="21"/>
      <c r="BL427" s="21"/>
      <c r="BO427" s="21"/>
      <c r="BR427" s="21"/>
    </row>
    <row r="428">
      <c r="L428" s="20"/>
      <c r="M428" s="21"/>
      <c r="P428" s="21"/>
      <c r="S428" s="21"/>
      <c r="V428" s="21"/>
      <c r="Y428" s="21"/>
      <c r="AB428" s="21"/>
      <c r="AE428" s="21"/>
      <c r="AH428" s="21"/>
      <c r="AK428" s="21"/>
      <c r="AN428" s="21"/>
      <c r="AQ428" s="21"/>
      <c r="AT428" s="21"/>
      <c r="AW428" s="21"/>
      <c r="AZ428" s="21"/>
      <c r="BC428" s="21"/>
      <c r="BF428" s="21"/>
      <c r="BI428" s="21"/>
      <c r="BL428" s="21"/>
      <c r="BO428" s="21"/>
      <c r="BR428" s="21"/>
    </row>
    <row r="429">
      <c r="L429" s="20"/>
      <c r="M429" s="21"/>
      <c r="P429" s="21"/>
      <c r="S429" s="21"/>
      <c r="V429" s="21"/>
      <c r="Y429" s="21"/>
      <c r="AB429" s="21"/>
      <c r="AE429" s="21"/>
      <c r="AH429" s="21"/>
      <c r="AK429" s="21"/>
      <c r="AN429" s="21"/>
      <c r="AQ429" s="21"/>
      <c r="AT429" s="21"/>
      <c r="AW429" s="21"/>
      <c r="AZ429" s="21"/>
      <c r="BC429" s="21"/>
      <c r="BF429" s="21"/>
      <c r="BI429" s="21"/>
      <c r="BL429" s="21"/>
      <c r="BO429" s="21"/>
      <c r="BR429" s="21"/>
    </row>
    <row r="430">
      <c r="L430" s="20"/>
      <c r="M430" s="21"/>
      <c r="P430" s="21"/>
      <c r="S430" s="21"/>
      <c r="V430" s="21"/>
      <c r="Y430" s="21"/>
      <c r="AB430" s="21"/>
      <c r="AE430" s="21"/>
      <c r="AH430" s="21"/>
      <c r="AK430" s="21"/>
      <c r="AN430" s="21"/>
      <c r="AQ430" s="21"/>
      <c r="AT430" s="21"/>
      <c r="AW430" s="21"/>
      <c r="AZ430" s="21"/>
      <c r="BC430" s="21"/>
      <c r="BF430" s="21"/>
      <c r="BI430" s="21"/>
      <c r="BL430" s="21"/>
      <c r="BO430" s="21"/>
      <c r="BR430" s="21"/>
    </row>
    <row r="431">
      <c r="L431" s="20"/>
      <c r="M431" s="21"/>
      <c r="P431" s="21"/>
      <c r="S431" s="21"/>
      <c r="V431" s="21"/>
      <c r="Y431" s="21"/>
      <c r="AB431" s="21"/>
      <c r="AE431" s="21"/>
      <c r="AH431" s="21"/>
      <c r="AK431" s="21"/>
      <c r="AN431" s="21"/>
      <c r="AQ431" s="21"/>
      <c r="AT431" s="21"/>
      <c r="AW431" s="21"/>
      <c r="AZ431" s="21"/>
      <c r="BC431" s="21"/>
      <c r="BF431" s="21"/>
      <c r="BI431" s="21"/>
      <c r="BL431" s="21"/>
      <c r="BO431" s="21"/>
      <c r="BR431" s="21"/>
    </row>
    <row r="432">
      <c r="L432" s="20"/>
      <c r="M432" s="21"/>
      <c r="P432" s="21"/>
      <c r="S432" s="21"/>
      <c r="V432" s="21"/>
      <c r="Y432" s="21"/>
      <c r="AB432" s="21"/>
      <c r="AE432" s="21"/>
      <c r="AH432" s="21"/>
      <c r="AK432" s="21"/>
      <c r="AN432" s="21"/>
      <c r="AQ432" s="21"/>
      <c r="AT432" s="21"/>
      <c r="AW432" s="21"/>
      <c r="AZ432" s="21"/>
      <c r="BC432" s="21"/>
      <c r="BF432" s="21"/>
      <c r="BI432" s="21"/>
      <c r="BL432" s="21"/>
      <c r="BO432" s="21"/>
      <c r="BR432" s="21"/>
    </row>
    <row r="433">
      <c r="L433" s="20"/>
      <c r="M433" s="21"/>
      <c r="P433" s="21"/>
      <c r="S433" s="21"/>
      <c r="V433" s="21"/>
      <c r="Y433" s="21"/>
      <c r="AB433" s="21"/>
      <c r="AE433" s="21"/>
      <c r="AH433" s="21"/>
      <c r="AK433" s="21"/>
      <c r="AN433" s="21"/>
      <c r="AQ433" s="21"/>
      <c r="AT433" s="21"/>
      <c r="AW433" s="21"/>
      <c r="AZ433" s="21"/>
      <c r="BC433" s="21"/>
      <c r="BF433" s="21"/>
      <c r="BI433" s="21"/>
      <c r="BL433" s="21"/>
      <c r="BO433" s="21"/>
      <c r="BR433" s="21"/>
    </row>
    <row r="434">
      <c r="L434" s="20"/>
      <c r="M434" s="21"/>
      <c r="P434" s="21"/>
      <c r="S434" s="21"/>
      <c r="V434" s="21"/>
      <c r="Y434" s="21"/>
      <c r="AB434" s="21"/>
      <c r="AE434" s="21"/>
      <c r="AH434" s="21"/>
      <c r="AK434" s="21"/>
      <c r="AN434" s="21"/>
      <c r="AQ434" s="21"/>
      <c r="AT434" s="21"/>
      <c r="AW434" s="21"/>
      <c r="AZ434" s="21"/>
      <c r="BC434" s="21"/>
      <c r="BF434" s="21"/>
      <c r="BI434" s="21"/>
      <c r="BL434" s="21"/>
      <c r="BO434" s="21"/>
      <c r="BR434" s="21"/>
    </row>
    <row r="435">
      <c r="L435" s="20"/>
      <c r="M435" s="21"/>
      <c r="P435" s="21"/>
      <c r="S435" s="21"/>
      <c r="V435" s="21"/>
      <c r="Y435" s="21"/>
      <c r="AB435" s="21"/>
      <c r="AE435" s="21"/>
      <c r="AH435" s="21"/>
      <c r="AK435" s="21"/>
      <c r="AN435" s="21"/>
      <c r="AQ435" s="21"/>
      <c r="AT435" s="21"/>
      <c r="AW435" s="21"/>
      <c r="AZ435" s="21"/>
      <c r="BC435" s="21"/>
      <c r="BF435" s="21"/>
      <c r="BI435" s="21"/>
      <c r="BL435" s="21"/>
      <c r="BO435" s="21"/>
      <c r="BR435" s="21"/>
    </row>
    <row r="436">
      <c r="L436" s="20"/>
      <c r="M436" s="21"/>
      <c r="P436" s="21"/>
      <c r="S436" s="21"/>
      <c r="V436" s="21"/>
      <c r="Y436" s="21"/>
      <c r="AB436" s="21"/>
      <c r="AE436" s="21"/>
      <c r="AH436" s="21"/>
      <c r="AK436" s="21"/>
      <c r="AN436" s="21"/>
      <c r="AQ436" s="21"/>
      <c r="AT436" s="21"/>
      <c r="AW436" s="21"/>
      <c r="AZ436" s="21"/>
      <c r="BC436" s="21"/>
      <c r="BF436" s="21"/>
      <c r="BI436" s="21"/>
      <c r="BL436" s="21"/>
      <c r="BO436" s="21"/>
      <c r="BR436" s="21"/>
    </row>
    <row r="437">
      <c r="L437" s="20"/>
      <c r="M437" s="21"/>
      <c r="P437" s="21"/>
      <c r="S437" s="21"/>
      <c r="V437" s="21"/>
      <c r="Y437" s="21"/>
      <c r="AB437" s="21"/>
      <c r="AE437" s="21"/>
      <c r="AH437" s="21"/>
      <c r="AK437" s="21"/>
      <c r="AN437" s="21"/>
      <c r="AQ437" s="21"/>
      <c r="AT437" s="21"/>
      <c r="AW437" s="21"/>
      <c r="AZ437" s="21"/>
      <c r="BC437" s="21"/>
      <c r="BF437" s="21"/>
      <c r="BI437" s="21"/>
      <c r="BL437" s="21"/>
      <c r="BO437" s="21"/>
      <c r="BR437" s="21"/>
    </row>
    <row r="438">
      <c r="L438" s="20"/>
      <c r="M438" s="21"/>
      <c r="P438" s="21"/>
      <c r="S438" s="21"/>
      <c r="V438" s="21"/>
      <c r="Y438" s="21"/>
      <c r="AB438" s="21"/>
      <c r="AE438" s="21"/>
      <c r="AH438" s="21"/>
      <c r="AK438" s="21"/>
      <c r="AN438" s="21"/>
      <c r="AQ438" s="21"/>
      <c r="AT438" s="21"/>
      <c r="AW438" s="21"/>
      <c r="AZ438" s="21"/>
      <c r="BC438" s="21"/>
      <c r="BF438" s="21"/>
      <c r="BI438" s="21"/>
      <c r="BL438" s="21"/>
      <c r="BO438" s="21"/>
      <c r="BR438" s="21"/>
    </row>
    <row r="439">
      <c r="L439" s="20"/>
      <c r="M439" s="21"/>
      <c r="P439" s="21"/>
      <c r="S439" s="21"/>
      <c r="V439" s="21"/>
      <c r="Y439" s="21"/>
      <c r="AB439" s="21"/>
      <c r="AE439" s="21"/>
      <c r="AH439" s="21"/>
      <c r="AK439" s="21"/>
      <c r="AN439" s="21"/>
      <c r="AQ439" s="21"/>
      <c r="AT439" s="21"/>
      <c r="AW439" s="21"/>
      <c r="AZ439" s="21"/>
      <c r="BC439" s="21"/>
      <c r="BF439" s="21"/>
      <c r="BI439" s="21"/>
      <c r="BL439" s="21"/>
      <c r="BO439" s="21"/>
      <c r="BR439" s="21"/>
    </row>
    <row r="440">
      <c r="L440" s="20"/>
      <c r="M440" s="21"/>
      <c r="P440" s="21"/>
      <c r="S440" s="21"/>
      <c r="V440" s="21"/>
      <c r="Y440" s="21"/>
      <c r="AB440" s="21"/>
      <c r="AE440" s="21"/>
      <c r="AH440" s="21"/>
      <c r="AK440" s="21"/>
      <c r="AN440" s="21"/>
      <c r="AQ440" s="21"/>
      <c r="AT440" s="21"/>
      <c r="AW440" s="21"/>
      <c r="AZ440" s="21"/>
      <c r="BC440" s="21"/>
      <c r="BF440" s="21"/>
      <c r="BI440" s="21"/>
      <c r="BL440" s="21"/>
      <c r="BO440" s="21"/>
      <c r="BR440" s="21"/>
    </row>
    <row r="441">
      <c r="L441" s="20"/>
      <c r="M441" s="21"/>
      <c r="P441" s="21"/>
      <c r="S441" s="21"/>
      <c r="V441" s="21"/>
      <c r="Y441" s="21"/>
      <c r="AB441" s="21"/>
      <c r="AE441" s="21"/>
      <c r="AH441" s="21"/>
      <c r="AK441" s="21"/>
      <c r="AN441" s="21"/>
      <c r="AQ441" s="21"/>
      <c r="AT441" s="21"/>
      <c r="AW441" s="21"/>
      <c r="AZ441" s="21"/>
      <c r="BC441" s="21"/>
      <c r="BF441" s="21"/>
      <c r="BI441" s="21"/>
      <c r="BL441" s="21"/>
      <c r="BO441" s="21"/>
      <c r="BR441" s="21"/>
    </row>
    <row r="442">
      <c r="L442" s="20"/>
      <c r="M442" s="21"/>
      <c r="P442" s="21"/>
      <c r="S442" s="21"/>
      <c r="V442" s="21"/>
      <c r="Y442" s="21"/>
      <c r="AB442" s="21"/>
      <c r="AE442" s="21"/>
      <c r="AH442" s="21"/>
      <c r="AK442" s="21"/>
      <c r="AN442" s="21"/>
      <c r="AQ442" s="21"/>
      <c r="AT442" s="21"/>
      <c r="AW442" s="21"/>
      <c r="AZ442" s="21"/>
      <c r="BC442" s="21"/>
      <c r="BF442" s="21"/>
      <c r="BI442" s="21"/>
      <c r="BL442" s="21"/>
      <c r="BO442" s="21"/>
      <c r="BR442" s="21"/>
    </row>
    <row r="443">
      <c r="L443" s="20"/>
      <c r="M443" s="21"/>
      <c r="P443" s="21"/>
      <c r="S443" s="21"/>
      <c r="V443" s="21"/>
      <c r="Y443" s="21"/>
      <c r="AB443" s="21"/>
      <c r="AE443" s="21"/>
      <c r="AH443" s="21"/>
      <c r="AK443" s="21"/>
      <c r="AN443" s="21"/>
      <c r="AQ443" s="21"/>
      <c r="AT443" s="21"/>
      <c r="AW443" s="21"/>
      <c r="AZ443" s="21"/>
      <c r="BC443" s="21"/>
      <c r="BF443" s="21"/>
      <c r="BI443" s="21"/>
      <c r="BL443" s="21"/>
      <c r="BO443" s="21"/>
      <c r="BR443" s="21"/>
    </row>
    <row r="444">
      <c r="L444" s="20"/>
      <c r="M444" s="21"/>
      <c r="P444" s="21"/>
      <c r="S444" s="21"/>
      <c r="V444" s="21"/>
      <c r="Y444" s="21"/>
      <c r="AB444" s="21"/>
      <c r="AE444" s="21"/>
      <c r="AH444" s="21"/>
      <c r="AK444" s="21"/>
      <c r="AN444" s="21"/>
      <c r="AQ444" s="21"/>
      <c r="AT444" s="21"/>
      <c r="AW444" s="21"/>
      <c r="AZ444" s="21"/>
      <c r="BC444" s="21"/>
      <c r="BF444" s="21"/>
      <c r="BI444" s="21"/>
      <c r="BL444" s="21"/>
      <c r="BO444" s="21"/>
      <c r="BR444" s="21"/>
    </row>
    <row r="445">
      <c r="L445" s="20"/>
      <c r="M445" s="21"/>
      <c r="P445" s="21"/>
      <c r="S445" s="21"/>
      <c r="V445" s="21"/>
      <c r="Y445" s="21"/>
      <c r="AB445" s="21"/>
      <c r="AE445" s="21"/>
      <c r="AH445" s="21"/>
      <c r="AK445" s="21"/>
      <c r="AN445" s="21"/>
      <c r="AQ445" s="21"/>
      <c r="AT445" s="21"/>
      <c r="AW445" s="21"/>
      <c r="AZ445" s="21"/>
      <c r="BC445" s="21"/>
      <c r="BF445" s="21"/>
      <c r="BI445" s="21"/>
      <c r="BL445" s="21"/>
      <c r="BO445" s="21"/>
      <c r="BR445" s="21"/>
    </row>
    <row r="446">
      <c r="L446" s="20"/>
      <c r="M446" s="21"/>
      <c r="P446" s="21"/>
      <c r="S446" s="21"/>
      <c r="V446" s="21"/>
      <c r="Y446" s="21"/>
      <c r="AB446" s="21"/>
      <c r="AE446" s="21"/>
      <c r="AH446" s="21"/>
      <c r="AK446" s="21"/>
      <c r="AN446" s="21"/>
      <c r="AQ446" s="21"/>
      <c r="AT446" s="21"/>
      <c r="AW446" s="21"/>
      <c r="AZ446" s="21"/>
      <c r="BC446" s="21"/>
      <c r="BF446" s="21"/>
      <c r="BI446" s="21"/>
      <c r="BL446" s="21"/>
      <c r="BO446" s="21"/>
      <c r="BR446" s="21"/>
    </row>
    <row r="447">
      <c r="L447" s="20"/>
      <c r="M447" s="21"/>
      <c r="P447" s="21"/>
      <c r="S447" s="21"/>
      <c r="V447" s="21"/>
      <c r="Y447" s="21"/>
      <c r="AB447" s="21"/>
      <c r="AE447" s="21"/>
      <c r="AH447" s="21"/>
      <c r="AK447" s="21"/>
      <c r="AN447" s="21"/>
      <c r="AQ447" s="21"/>
      <c r="AT447" s="21"/>
      <c r="AW447" s="21"/>
      <c r="AZ447" s="21"/>
      <c r="BC447" s="21"/>
      <c r="BF447" s="21"/>
      <c r="BI447" s="21"/>
      <c r="BL447" s="21"/>
      <c r="BO447" s="21"/>
      <c r="BR447" s="21"/>
    </row>
    <row r="448">
      <c r="L448" s="20"/>
      <c r="M448" s="21"/>
      <c r="P448" s="21"/>
      <c r="S448" s="21"/>
      <c r="V448" s="21"/>
      <c r="Y448" s="21"/>
      <c r="AB448" s="21"/>
      <c r="AE448" s="21"/>
      <c r="AH448" s="21"/>
      <c r="AK448" s="21"/>
      <c r="AN448" s="21"/>
      <c r="AQ448" s="21"/>
      <c r="AT448" s="21"/>
      <c r="AW448" s="21"/>
      <c r="AZ448" s="21"/>
      <c r="BC448" s="21"/>
      <c r="BF448" s="21"/>
      <c r="BI448" s="21"/>
      <c r="BL448" s="21"/>
      <c r="BO448" s="21"/>
      <c r="BR448" s="21"/>
    </row>
    <row r="449">
      <c r="L449" s="20"/>
      <c r="M449" s="21"/>
      <c r="P449" s="21"/>
      <c r="S449" s="21"/>
      <c r="V449" s="21"/>
      <c r="Y449" s="21"/>
      <c r="AB449" s="21"/>
      <c r="AE449" s="21"/>
      <c r="AH449" s="21"/>
      <c r="AK449" s="21"/>
      <c r="AN449" s="21"/>
      <c r="AQ449" s="21"/>
      <c r="AT449" s="21"/>
      <c r="AW449" s="21"/>
      <c r="AZ449" s="21"/>
      <c r="BC449" s="21"/>
      <c r="BF449" s="21"/>
      <c r="BI449" s="21"/>
      <c r="BL449" s="21"/>
      <c r="BO449" s="21"/>
      <c r="BR449" s="21"/>
    </row>
    <row r="450">
      <c r="L450" s="20"/>
      <c r="M450" s="21"/>
      <c r="P450" s="21"/>
      <c r="S450" s="21"/>
      <c r="V450" s="21"/>
      <c r="Y450" s="21"/>
      <c r="AB450" s="21"/>
      <c r="AE450" s="21"/>
      <c r="AH450" s="21"/>
      <c r="AK450" s="21"/>
      <c r="AN450" s="21"/>
      <c r="AQ450" s="21"/>
      <c r="AT450" s="21"/>
      <c r="AW450" s="21"/>
      <c r="AZ450" s="21"/>
      <c r="BC450" s="21"/>
      <c r="BF450" s="21"/>
      <c r="BI450" s="21"/>
      <c r="BL450" s="21"/>
      <c r="BO450" s="21"/>
      <c r="BR450" s="21"/>
    </row>
    <row r="451">
      <c r="L451" s="20"/>
      <c r="M451" s="21"/>
      <c r="P451" s="21"/>
      <c r="S451" s="21"/>
      <c r="V451" s="21"/>
      <c r="Y451" s="21"/>
      <c r="AB451" s="21"/>
      <c r="AE451" s="21"/>
      <c r="AH451" s="21"/>
      <c r="AK451" s="21"/>
      <c r="AN451" s="21"/>
      <c r="AQ451" s="21"/>
      <c r="AT451" s="21"/>
      <c r="AW451" s="21"/>
      <c r="AZ451" s="21"/>
      <c r="BC451" s="21"/>
      <c r="BF451" s="21"/>
      <c r="BI451" s="21"/>
      <c r="BL451" s="21"/>
      <c r="BO451" s="21"/>
      <c r="BR451" s="21"/>
    </row>
    <row r="452">
      <c r="L452" s="20"/>
      <c r="M452" s="21"/>
      <c r="P452" s="21"/>
      <c r="S452" s="21"/>
      <c r="V452" s="21"/>
      <c r="Y452" s="21"/>
      <c r="AB452" s="21"/>
      <c r="AE452" s="21"/>
      <c r="AH452" s="21"/>
      <c r="AK452" s="21"/>
      <c r="AN452" s="21"/>
      <c r="AQ452" s="21"/>
      <c r="AT452" s="21"/>
      <c r="AW452" s="21"/>
      <c r="AZ452" s="21"/>
      <c r="BC452" s="21"/>
      <c r="BF452" s="21"/>
      <c r="BI452" s="21"/>
      <c r="BL452" s="21"/>
      <c r="BO452" s="21"/>
      <c r="BR452" s="21"/>
    </row>
    <row r="453">
      <c r="L453" s="20"/>
      <c r="M453" s="21"/>
      <c r="P453" s="21"/>
      <c r="S453" s="21"/>
      <c r="V453" s="21"/>
      <c r="Y453" s="21"/>
      <c r="AB453" s="21"/>
      <c r="AE453" s="21"/>
      <c r="AH453" s="21"/>
      <c r="AK453" s="21"/>
      <c r="AN453" s="21"/>
      <c r="AQ453" s="21"/>
      <c r="AT453" s="21"/>
      <c r="AW453" s="21"/>
      <c r="AZ453" s="21"/>
      <c r="BC453" s="21"/>
      <c r="BF453" s="21"/>
      <c r="BI453" s="21"/>
      <c r="BL453" s="21"/>
      <c r="BO453" s="21"/>
      <c r="BR453" s="21"/>
    </row>
    <row r="454">
      <c r="L454" s="20"/>
      <c r="M454" s="21"/>
      <c r="P454" s="21"/>
      <c r="S454" s="21"/>
      <c r="V454" s="21"/>
      <c r="Y454" s="21"/>
      <c r="AB454" s="21"/>
      <c r="AE454" s="21"/>
      <c r="AH454" s="21"/>
      <c r="AK454" s="21"/>
      <c r="AN454" s="21"/>
      <c r="AQ454" s="21"/>
      <c r="AT454" s="21"/>
      <c r="AW454" s="21"/>
      <c r="AZ454" s="21"/>
      <c r="BC454" s="21"/>
      <c r="BF454" s="21"/>
      <c r="BI454" s="21"/>
      <c r="BL454" s="21"/>
      <c r="BO454" s="21"/>
      <c r="BR454" s="21"/>
    </row>
    <row r="455">
      <c r="L455" s="20"/>
      <c r="M455" s="21"/>
      <c r="P455" s="21"/>
      <c r="S455" s="21"/>
      <c r="V455" s="21"/>
      <c r="Y455" s="21"/>
      <c r="AB455" s="21"/>
      <c r="AE455" s="21"/>
      <c r="AH455" s="21"/>
      <c r="AK455" s="21"/>
      <c r="AN455" s="21"/>
      <c r="AQ455" s="21"/>
      <c r="AT455" s="21"/>
      <c r="AW455" s="21"/>
      <c r="AZ455" s="21"/>
      <c r="BC455" s="21"/>
      <c r="BF455" s="21"/>
      <c r="BI455" s="21"/>
      <c r="BL455" s="21"/>
      <c r="BO455" s="21"/>
      <c r="BR455" s="21"/>
    </row>
    <row r="456">
      <c r="L456" s="20"/>
      <c r="M456" s="21"/>
      <c r="P456" s="21"/>
      <c r="S456" s="21"/>
      <c r="V456" s="21"/>
      <c r="Y456" s="21"/>
      <c r="AB456" s="21"/>
      <c r="AE456" s="21"/>
      <c r="AH456" s="21"/>
      <c r="AK456" s="21"/>
      <c r="AN456" s="21"/>
      <c r="AQ456" s="21"/>
      <c r="AT456" s="21"/>
      <c r="AW456" s="21"/>
      <c r="AZ456" s="21"/>
      <c r="BC456" s="21"/>
      <c r="BF456" s="21"/>
      <c r="BI456" s="21"/>
      <c r="BL456" s="21"/>
      <c r="BO456" s="21"/>
      <c r="BR456" s="21"/>
    </row>
    <row r="457">
      <c r="L457" s="20"/>
      <c r="M457" s="21"/>
      <c r="P457" s="21"/>
      <c r="S457" s="21"/>
      <c r="V457" s="21"/>
      <c r="Y457" s="21"/>
      <c r="AB457" s="21"/>
      <c r="AE457" s="21"/>
      <c r="AH457" s="21"/>
      <c r="AK457" s="21"/>
      <c r="AN457" s="21"/>
      <c r="AQ457" s="21"/>
      <c r="AT457" s="21"/>
      <c r="AW457" s="21"/>
      <c r="AZ457" s="21"/>
      <c r="BC457" s="21"/>
      <c r="BF457" s="21"/>
      <c r="BI457" s="21"/>
      <c r="BL457" s="21"/>
      <c r="BO457" s="21"/>
      <c r="BR457" s="21"/>
    </row>
    <row r="458">
      <c r="L458" s="20"/>
      <c r="M458" s="21"/>
      <c r="P458" s="21"/>
      <c r="S458" s="21"/>
      <c r="V458" s="21"/>
      <c r="Y458" s="21"/>
      <c r="AB458" s="21"/>
      <c r="AE458" s="21"/>
      <c r="AH458" s="21"/>
      <c r="AK458" s="21"/>
      <c r="AN458" s="21"/>
      <c r="AQ458" s="21"/>
      <c r="AT458" s="21"/>
      <c r="AW458" s="21"/>
      <c r="AZ458" s="21"/>
      <c r="BC458" s="21"/>
      <c r="BF458" s="21"/>
      <c r="BI458" s="21"/>
      <c r="BL458" s="21"/>
      <c r="BO458" s="21"/>
      <c r="BR458" s="21"/>
    </row>
    <row r="459">
      <c r="L459" s="20"/>
      <c r="M459" s="21"/>
      <c r="P459" s="21"/>
      <c r="S459" s="21"/>
      <c r="V459" s="21"/>
      <c r="Y459" s="21"/>
      <c r="AB459" s="21"/>
      <c r="AE459" s="21"/>
      <c r="AH459" s="21"/>
      <c r="AK459" s="21"/>
      <c r="AN459" s="21"/>
      <c r="AQ459" s="21"/>
      <c r="AT459" s="21"/>
      <c r="AW459" s="21"/>
      <c r="AZ459" s="21"/>
      <c r="BC459" s="21"/>
      <c r="BF459" s="21"/>
      <c r="BI459" s="21"/>
      <c r="BL459" s="21"/>
      <c r="BO459" s="21"/>
      <c r="BR459" s="21"/>
    </row>
    <row r="460">
      <c r="L460" s="20"/>
      <c r="M460" s="21"/>
      <c r="P460" s="21"/>
      <c r="S460" s="21"/>
      <c r="V460" s="21"/>
      <c r="Y460" s="21"/>
      <c r="AB460" s="21"/>
      <c r="AE460" s="21"/>
      <c r="AH460" s="21"/>
      <c r="AK460" s="21"/>
      <c r="AN460" s="21"/>
      <c r="AQ460" s="21"/>
      <c r="AT460" s="21"/>
      <c r="AW460" s="21"/>
      <c r="AZ460" s="21"/>
      <c r="BC460" s="21"/>
      <c r="BF460" s="21"/>
      <c r="BI460" s="21"/>
      <c r="BL460" s="21"/>
      <c r="BO460" s="21"/>
      <c r="BR460" s="21"/>
    </row>
    <row r="461">
      <c r="L461" s="20"/>
      <c r="M461" s="21"/>
      <c r="P461" s="21"/>
      <c r="S461" s="21"/>
      <c r="V461" s="21"/>
      <c r="Y461" s="21"/>
      <c r="AB461" s="21"/>
      <c r="AE461" s="21"/>
      <c r="AH461" s="21"/>
      <c r="AK461" s="21"/>
      <c r="AN461" s="21"/>
      <c r="AQ461" s="21"/>
      <c r="AT461" s="21"/>
      <c r="AW461" s="21"/>
      <c r="AZ461" s="21"/>
      <c r="BC461" s="21"/>
      <c r="BF461" s="21"/>
      <c r="BI461" s="21"/>
      <c r="BL461" s="21"/>
      <c r="BO461" s="21"/>
      <c r="BR461" s="21"/>
    </row>
    <row r="462">
      <c r="L462" s="20"/>
      <c r="M462" s="21"/>
      <c r="P462" s="21"/>
      <c r="S462" s="21"/>
      <c r="V462" s="21"/>
      <c r="Y462" s="21"/>
      <c r="AB462" s="21"/>
      <c r="AE462" s="21"/>
      <c r="AH462" s="21"/>
      <c r="AK462" s="21"/>
      <c r="AN462" s="21"/>
      <c r="AQ462" s="21"/>
      <c r="AT462" s="21"/>
      <c r="AW462" s="21"/>
      <c r="AZ462" s="21"/>
      <c r="BC462" s="21"/>
      <c r="BF462" s="21"/>
      <c r="BI462" s="21"/>
      <c r="BL462" s="21"/>
      <c r="BO462" s="21"/>
      <c r="BR462" s="21"/>
    </row>
    <row r="463">
      <c r="L463" s="20"/>
      <c r="M463" s="21"/>
      <c r="P463" s="21"/>
      <c r="S463" s="21"/>
      <c r="V463" s="21"/>
      <c r="Y463" s="21"/>
      <c r="AB463" s="21"/>
      <c r="AE463" s="21"/>
      <c r="AH463" s="21"/>
      <c r="AK463" s="21"/>
      <c r="AN463" s="21"/>
      <c r="AQ463" s="21"/>
      <c r="AT463" s="21"/>
      <c r="AW463" s="21"/>
      <c r="AZ463" s="21"/>
      <c r="BC463" s="21"/>
      <c r="BF463" s="21"/>
      <c r="BI463" s="21"/>
      <c r="BL463" s="21"/>
      <c r="BO463" s="21"/>
      <c r="BR463" s="21"/>
    </row>
    <row r="464">
      <c r="L464" s="20"/>
      <c r="M464" s="21"/>
      <c r="P464" s="21"/>
      <c r="S464" s="21"/>
      <c r="V464" s="21"/>
      <c r="Y464" s="21"/>
      <c r="AB464" s="21"/>
      <c r="AE464" s="21"/>
      <c r="AH464" s="21"/>
      <c r="AK464" s="21"/>
      <c r="AN464" s="21"/>
      <c r="AQ464" s="21"/>
      <c r="AT464" s="21"/>
      <c r="AW464" s="21"/>
      <c r="AZ464" s="21"/>
      <c r="BC464" s="21"/>
      <c r="BF464" s="21"/>
      <c r="BI464" s="21"/>
      <c r="BL464" s="21"/>
      <c r="BO464" s="21"/>
      <c r="BR464" s="21"/>
    </row>
    <row r="465">
      <c r="L465" s="20"/>
      <c r="M465" s="21"/>
      <c r="P465" s="21"/>
      <c r="S465" s="21"/>
      <c r="V465" s="21"/>
      <c r="Y465" s="21"/>
      <c r="AB465" s="21"/>
      <c r="AE465" s="21"/>
      <c r="AH465" s="21"/>
      <c r="AK465" s="21"/>
      <c r="AN465" s="21"/>
      <c r="AQ465" s="21"/>
      <c r="AT465" s="21"/>
      <c r="AW465" s="21"/>
      <c r="AZ465" s="21"/>
      <c r="BC465" s="21"/>
      <c r="BF465" s="21"/>
      <c r="BI465" s="21"/>
      <c r="BL465" s="21"/>
      <c r="BO465" s="21"/>
      <c r="BR465" s="21"/>
    </row>
    <row r="466">
      <c r="L466" s="20"/>
      <c r="M466" s="21"/>
      <c r="P466" s="21"/>
      <c r="S466" s="21"/>
      <c r="V466" s="21"/>
      <c r="Y466" s="21"/>
      <c r="AB466" s="21"/>
      <c r="AE466" s="21"/>
      <c r="AH466" s="21"/>
      <c r="AK466" s="21"/>
      <c r="AN466" s="21"/>
      <c r="AQ466" s="21"/>
      <c r="AT466" s="21"/>
      <c r="AW466" s="21"/>
      <c r="AZ466" s="21"/>
      <c r="BC466" s="21"/>
      <c r="BF466" s="21"/>
      <c r="BI466" s="21"/>
      <c r="BL466" s="21"/>
      <c r="BO466" s="21"/>
      <c r="BR466" s="21"/>
    </row>
    <row r="467">
      <c r="L467" s="20"/>
      <c r="M467" s="21"/>
      <c r="P467" s="21"/>
      <c r="S467" s="21"/>
      <c r="V467" s="21"/>
      <c r="Y467" s="21"/>
      <c r="AB467" s="21"/>
      <c r="AE467" s="21"/>
      <c r="AH467" s="21"/>
      <c r="AK467" s="21"/>
      <c r="AN467" s="21"/>
      <c r="AQ467" s="21"/>
      <c r="AT467" s="21"/>
      <c r="AW467" s="21"/>
      <c r="AZ467" s="21"/>
      <c r="BC467" s="21"/>
      <c r="BF467" s="21"/>
      <c r="BI467" s="21"/>
      <c r="BL467" s="21"/>
      <c r="BO467" s="21"/>
      <c r="BR467" s="21"/>
    </row>
    <row r="468">
      <c r="L468" s="20"/>
      <c r="M468" s="21"/>
      <c r="P468" s="21"/>
      <c r="S468" s="21"/>
      <c r="V468" s="21"/>
      <c r="Y468" s="21"/>
      <c r="AB468" s="21"/>
      <c r="AE468" s="21"/>
      <c r="AH468" s="21"/>
      <c r="AK468" s="21"/>
      <c r="AN468" s="21"/>
      <c r="AQ468" s="21"/>
      <c r="AT468" s="21"/>
      <c r="AW468" s="21"/>
      <c r="AZ468" s="21"/>
      <c r="BC468" s="21"/>
      <c r="BF468" s="21"/>
      <c r="BI468" s="21"/>
      <c r="BL468" s="21"/>
      <c r="BO468" s="21"/>
      <c r="BR468" s="21"/>
    </row>
    <row r="469">
      <c r="L469" s="20"/>
      <c r="M469" s="21"/>
      <c r="P469" s="21"/>
      <c r="S469" s="21"/>
      <c r="V469" s="21"/>
      <c r="Y469" s="21"/>
      <c r="AB469" s="21"/>
      <c r="AE469" s="21"/>
      <c r="AH469" s="21"/>
      <c r="AK469" s="21"/>
      <c r="AN469" s="21"/>
      <c r="AQ469" s="21"/>
      <c r="AT469" s="21"/>
      <c r="AW469" s="21"/>
      <c r="AZ469" s="21"/>
      <c r="BC469" s="21"/>
      <c r="BF469" s="21"/>
      <c r="BI469" s="21"/>
      <c r="BL469" s="21"/>
      <c r="BO469" s="21"/>
      <c r="BR469" s="21"/>
    </row>
    <row r="470">
      <c r="L470" s="20"/>
      <c r="M470" s="21"/>
      <c r="P470" s="21"/>
      <c r="S470" s="21"/>
      <c r="V470" s="21"/>
      <c r="Y470" s="21"/>
      <c r="AB470" s="21"/>
      <c r="AE470" s="21"/>
      <c r="AH470" s="21"/>
      <c r="AK470" s="21"/>
      <c r="AN470" s="21"/>
      <c r="AQ470" s="21"/>
      <c r="AT470" s="21"/>
      <c r="AW470" s="21"/>
      <c r="AZ470" s="21"/>
      <c r="BC470" s="21"/>
      <c r="BF470" s="21"/>
      <c r="BI470" s="21"/>
      <c r="BL470" s="21"/>
      <c r="BO470" s="21"/>
      <c r="BR470" s="21"/>
    </row>
    <row r="471">
      <c r="L471" s="20"/>
      <c r="M471" s="21"/>
      <c r="P471" s="21"/>
      <c r="S471" s="21"/>
      <c r="V471" s="21"/>
      <c r="Y471" s="21"/>
      <c r="AB471" s="21"/>
      <c r="AE471" s="21"/>
      <c r="AH471" s="21"/>
      <c r="AK471" s="21"/>
      <c r="AN471" s="21"/>
      <c r="AQ471" s="21"/>
      <c r="AT471" s="21"/>
      <c r="AW471" s="21"/>
      <c r="AZ471" s="21"/>
      <c r="BC471" s="21"/>
      <c r="BF471" s="21"/>
      <c r="BI471" s="21"/>
      <c r="BL471" s="21"/>
      <c r="BO471" s="21"/>
      <c r="BR471" s="21"/>
    </row>
    <row r="472">
      <c r="L472" s="20"/>
      <c r="M472" s="21"/>
      <c r="P472" s="21"/>
      <c r="S472" s="21"/>
      <c r="V472" s="21"/>
      <c r="Y472" s="21"/>
      <c r="AB472" s="21"/>
      <c r="AE472" s="21"/>
      <c r="AH472" s="21"/>
      <c r="AK472" s="21"/>
      <c r="AN472" s="21"/>
      <c r="AQ472" s="21"/>
      <c r="AT472" s="21"/>
      <c r="AW472" s="21"/>
      <c r="AZ472" s="21"/>
      <c r="BC472" s="21"/>
      <c r="BF472" s="21"/>
      <c r="BI472" s="21"/>
      <c r="BL472" s="21"/>
      <c r="BO472" s="21"/>
      <c r="BR472" s="21"/>
    </row>
    <row r="473">
      <c r="L473" s="20"/>
      <c r="M473" s="21"/>
      <c r="P473" s="21"/>
      <c r="S473" s="21"/>
      <c r="V473" s="21"/>
      <c r="Y473" s="21"/>
      <c r="AB473" s="21"/>
      <c r="AE473" s="21"/>
      <c r="AH473" s="21"/>
      <c r="AK473" s="21"/>
      <c r="AN473" s="21"/>
      <c r="AQ473" s="21"/>
      <c r="AT473" s="21"/>
      <c r="AW473" s="21"/>
      <c r="AZ473" s="21"/>
      <c r="BC473" s="21"/>
      <c r="BF473" s="21"/>
      <c r="BI473" s="21"/>
      <c r="BL473" s="21"/>
      <c r="BO473" s="21"/>
      <c r="BR473" s="21"/>
    </row>
    <row r="474">
      <c r="L474" s="20"/>
      <c r="M474" s="21"/>
      <c r="P474" s="21"/>
      <c r="S474" s="21"/>
      <c r="V474" s="21"/>
      <c r="Y474" s="21"/>
      <c r="AB474" s="21"/>
      <c r="AE474" s="21"/>
      <c r="AH474" s="21"/>
      <c r="AK474" s="21"/>
      <c r="AN474" s="21"/>
      <c r="AQ474" s="21"/>
      <c r="AT474" s="21"/>
      <c r="AW474" s="21"/>
      <c r="AZ474" s="21"/>
      <c r="BC474" s="21"/>
      <c r="BF474" s="21"/>
      <c r="BI474" s="21"/>
      <c r="BL474" s="21"/>
      <c r="BO474" s="21"/>
      <c r="BR474" s="21"/>
    </row>
    <row r="475">
      <c r="L475" s="20"/>
      <c r="M475" s="21"/>
      <c r="P475" s="21"/>
      <c r="S475" s="21"/>
      <c r="V475" s="21"/>
      <c r="Y475" s="21"/>
      <c r="AB475" s="21"/>
      <c r="AE475" s="21"/>
      <c r="AH475" s="21"/>
      <c r="AK475" s="21"/>
      <c r="AN475" s="21"/>
      <c r="AQ475" s="21"/>
      <c r="AT475" s="21"/>
      <c r="AW475" s="21"/>
      <c r="AZ475" s="21"/>
      <c r="BC475" s="21"/>
      <c r="BF475" s="21"/>
      <c r="BI475" s="21"/>
      <c r="BL475" s="21"/>
      <c r="BO475" s="21"/>
      <c r="BR475" s="21"/>
    </row>
    <row r="476">
      <c r="L476" s="20"/>
      <c r="M476" s="21"/>
      <c r="P476" s="21"/>
      <c r="S476" s="21"/>
      <c r="V476" s="21"/>
      <c r="Y476" s="21"/>
      <c r="AB476" s="21"/>
      <c r="AE476" s="21"/>
      <c r="AH476" s="21"/>
      <c r="AK476" s="21"/>
      <c r="AN476" s="21"/>
      <c r="AQ476" s="21"/>
      <c r="AT476" s="21"/>
      <c r="AW476" s="21"/>
      <c r="AZ476" s="21"/>
      <c r="BC476" s="21"/>
      <c r="BF476" s="21"/>
      <c r="BI476" s="21"/>
      <c r="BL476" s="21"/>
      <c r="BO476" s="21"/>
      <c r="BR476" s="21"/>
    </row>
    <row r="477">
      <c r="L477" s="20"/>
      <c r="M477" s="21"/>
      <c r="P477" s="21"/>
      <c r="S477" s="21"/>
      <c r="V477" s="21"/>
      <c r="Y477" s="21"/>
      <c r="AB477" s="21"/>
      <c r="AE477" s="21"/>
      <c r="AH477" s="21"/>
      <c r="AK477" s="21"/>
      <c r="AN477" s="21"/>
      <c r="AQ477" s="21"/>
      <c r="AT477" s="21"/>
      <c r="AW477" s="21"/>
      <c r="AZ477" s="21"/>
      <c r="BC477" s="21"/>
      <c r="BF477" s="21"/>
      <c r="BI477" s="21"/>
      <c r="BL477" s="21"/>
      <c r="BO477" s="21"/>
      <c r="BR477" s="21"/>
    </row>
    <row r="478">
      <c r="L478" s="20"/>
      <c r="M478" s="21"/>
      <c r="P478" s="21"/>
      <c r="S478" s="21"/>
      <c r="V478" s="21"/>
      <c r="Y478" s="21"/>
      <c r="AB478" s="21"/>
      <c r="AE478" s="21"/>
      <c r="AH478" s="21"/>
      <c r="AK478" s="21"/>
      <c r="AN478" s="21"/>
      <c r="AQ478" s="21"/>
      <c r="AT478" s="21"/>
      <c r="AW478" s="21"/>
      <c r="AZ478" s="21"/>
      <c r="BC478" s="21"/>
      <c r="BF478" s="21"/>
      <c r="BI478" s="21"/>
      <c r="BL478" s="21"/>
      <c r="BO478" s="21"/>
      <c r="BR478" s="21"/>
    </row>
    <row r="479">
      <c r="L479" s="20"/>
      <c r="M479" s="21"/>
      <c r="P479" s="21"/>
      <c r="S479" s="21"/>
      <c r="V479" s="21"/>
      <c r="Y479" s="21"/>
      <c r="AB479" s="21"/>
      <c r="AE479" s="21"/>
      <c r="AH479" s="21"/>
      <c r="AK479" s="21"/>
      <c r="AN479" s="21"/>
      <c r="AQ479" s="21"/>
      <c r="AT479" s="21"/>
      <c r="AW479" s="21"/>
      <c r="AZ479" s="21"/>
      <c r="BC479" s="21"/>
      <c r="BF479" s="21"/>
      <c r="BI479" s="21"/>
      <c r="BL479" s="21"/>
      <c r="BO479" s="21"/>
      <c r="BR479" s="21"/>
    </row>
    <row r="480">
      <c r="L480" s="20"/>
      <c r="M480" s="21"/>
      <c r="P480" s="21"/>
      <c r="S480" s="21"/>
      <c r="V480" s="21"/>
      <c r="Y480" s="21"/>
      <c r="AB480" s="21"/>
      <c r="AE480" s="21"/>
      <c r="AH480" s="21"/>
      <c r="AK480" s="21"/>
      <c r="AN480" s="21"/>
      <c r="AQ480" s="21"/>
      <c r="AT480" s="21"/>
      <c r="AW480" s="21"/>
      <c r="AZ480" s="21"/>
      <c r="BC480" s="21"/>
      <c r="BF480" s="21"/>
      <c r="BI480" s="21"/>
      <c r="BL480" s="21"/>
      <c r="BO480" s="21"/>
      <c r="BR480" s="21"/>
    </row>
    <row r="481">
      <c r="L481" s="20"/>
      <c r="M481" s="21"/>
      <c r="P481" s="21"/>
      <c r="S481" s="21"/>
      <c r="V481" s="21"/>
      <c r="Y481" s="21"/>
      <c r="AB481" s="21"/>
      <c r="AE481" s="21"/>
      <c r="AH481" s="21"/>
      <c r="AK481" s="21"/>
      <c r="AN481" s="21"/>
      <c r="AQ481" s="21"/>
      <c r="AT481" s="21"/>
      <c r="AW481" s="21"/>
      <c r="AZ481" s="21"/>
      <c r="BC481" s="21"/>
      <c r="BF481" s="21"/>
      <c r="BI481" s="21"/>
      <c r="BL481" s="21"/>
      <c r="BO481" s="21"/>
      <c r="BR481" s="21"/>
    </row>
    <row r="482">
      <c r="L482" s="20"/>
      <c r="M482" s="21"/>
      <c r="P482" s="21"/>
      <c r="S482" s="21"/>
      <c r="V482" s="21"/>
      <c r="Y482" s="21"/>
      <c r="AB482" s="21"/>
      <c r="AE482" s="21"/>
      <c r="AH482" s="21"/>
      <c r="AK482" s="21"/>
      <c r="AN482" s="21"/>
      <c r="AQ482" s="21"/>
      <c r="AT482" s="21"/>
      <c r="AW482" s="21"/>
      <c r="AZ482" s="21"/>
      <c r="BC482" s="21"/>
      <c r="BF482" s="21"/>
      <c r="BI482" s="21"/>
      <c r="BL482" s="21"/>
      <c r="BO482" s="21"/>
      <c r="BR482" s="21"/>
    </row>
    <row r="483">
      <c r="L483" s="20"/>
      <c r="M483" s="21"/>
      <c r="P483" s="21"/>
      <c r="S483" s="21"/>
      <c r="V483" s="21"/>
      <c r="Y483" s="21"/>
      <c r="AB483" s="21"/>
      <c r="AE483" s="21"/>
      <c r="AH483" s="21"/>
      <c r="AK483" s="21"/>
      <c r="AN483" s="21"/>
      <c r="AQ483" s="21"/>
      <c r="AT483" s="21"/>
      <c r="AW483" s="21"/>
      <c r="AZ483" s="21"/>
      <c r="BC483" s="21"/>
      <c r="BF483" s="21"/>
      <c r="BI483" s="21"/>
      <c r="BL483" s="21"/>
      <c r="BO483" s="21"/>
      <c r="BR483" s="21"/>
    </row>
    <row r="484">
      <c r="L484" s="20"/>
      <c r="M484" s="21"/>
      <c r="P484" s="21"/>
      <c r="S484" s="21"/>
      <c r="V484" s="21"/>
      <c r="Y484" s="21"/>
      <c r="AB484" s="21"/>
      <c r="AE484" s="21"/>
      <c r="AH484" s="21"/>
      <c r="AK484" s="21"/>
      <c r="AN484" s="21"/>
      <c r="AQ484" s="21"/>
      <c r="AT484" s="21"/>
      <c r="AW484" s="21"/>
      <c r="AZ484" s="21"/>
      <c r="BC484" s="21"/>
      <c r="BF484" s="21"/>
      <c r="BI484" s="21"/>
      <c r="BL484" s="21"/>
      <c r="BO484" s="21"/>
      <c r="BR484" s="21"/>
    </row>
    <row r="485">
      <c r="L485" s="20"/>
      <c r="M485" s="21"/>
      <c r="P485" s="21"/>
      <c r="S485" s="21"/>
      <c r="V485" s="21"/>
      <c r="Y485" s="21"/>
      <c r="AB485" s="21"/>
      <c r="AE485" s="21"/>
      <c r="AH485" s="21"/>
      <c r="AK485" s="21"/>
      <c r="AN485" s="21"/>
      <c r="AQ485" s="21"/>
      <c r="AT485" s="21"/>
      <c r="AW485" s="21"/>
      <c r="AZ485" s="21"/>
      <c r="BC485" s="21"/>
      <c r="BF485" s="21"/>
      <c r="BI485" s="21"/>
      <c r="BL485" s="21"/>
      <c r="BO485" s="21"/>
      <c r="BR485" s="21"/>
    </row>
    <row r="486">
      <c r="L486" s="20"/>
      <c r="M486" s="21"/>
      <c r="P486" s="21"/>
      <c r="S486" s="21"/>
      <c r="V486" s="21"/>
      <c r="Y486" s="21"/>
      <c r="AB486" s="21"/>
      <c r="AE486" s="21"/>
      <c r="AH486" s="21"/>
      <c r="AK486" s="21"/>
      <c r="AN486" s="21"/>
      <c r="AQ486" s="21"/>
      <c r="AT486" s="21"/>
      <c r="AW486" s="21"/>
      <c r="AZ486" s="21"/>
      <c r="BC486" s="21"/>
      <c r="BF486" s="21"/>
      <c r="BI486" s="21"/>
      <c r="BL486" s="21"/>
      <c r="BO486" s="21"/>
      <c r="BR486" s="21"/>
    </row>
    <row r="487">
      <c r="L487" s="20"/>
      <c r="M487" s="21"/>
      <c r="P487" s="21"/>
      <c r="S487" s="21"/>
      <c r="V487" s="21"/>
      <c r="Y487" s="21"/>
      <c r="AB487" s="21"/>
      <c r="AE487" s="21"/>
      <c r="AH487" s="21"/>
      <c r="AK487" s="21"/>
      <c r="AN487" s="21"/>
      <c r="AQ487" s="21"/>
      <c r="AT487" s="21"/>
      <c r="AW487" s="21"/>
      <c r="AZ487" s="21"/>
      <c r="BC487" s="21"/>
      <c r="BF487" s="21"/>
      <c r="BI487" s="21"/>
      <c r="BL487" s="21"/>
      <c r="BO487" s="21"/>
      <c r="BR487" s="21"/>
    </row>
    <row r="488">
      <c r="L488" s="20"/>
      <c r="M488" s="21"/>
      <c r="P488" s="21"/>
      <c r="S488" s="21"/>
      <c r="V488" s="21"/>
      <c r="Y488" s="21"/>
      <c r="AB488" s="21"/>
      <c r="AE488" s="21"/>
      <c r="AH488" s="21"/>
      <c r="AK488" s="21"/>
      <c r="AN488" s="21"/>
      <c r="AQ488" s="21"/>
      <c r="AT488" s="21"/>
      <c r="AW488" s="21"/>
      <c r="AZ488" s="21"/>
      <c r="BC488" s="21"/>
      <c r="BF488" s="21"/>
      <c r="BI488" s="21"/>
      <c r="BL488" s="21"/>
      <c r="BO488" s="21"/>
      <c r="BR488" s="21"/>
    </row>
    <row r="489">
      <c r="L489" s="20"/>
      <c r="M489" s="21"/>
      <c r="P489" s="21"/>
      <c r="S489" s="21"/>
      <c r="V489" s="21"/>
      <c r="Y489" s="21"/>
      <c r="AB489" s="21"/>
      <c r="AE489" s="21"/>
      <c r="AH489" s="21"/>
      <c r="AK489" s="21"/>
      <c r="AN489" s="21"/>
      <c r="AQ489" s="21"/>
      <c r="AT489" s="21"/>
      <c r="AW489" s="21"/>
      <c r="AZ489" s="21"/>
      <c r="BC489" s="21"/>
      <c r="BF489" s="21"/>
      <c r="BI489" s="21"/>
      <c r="BL489" s="21"/>
      <c r="BO489" s="21"/>
      <c r="BR489" s="21"/>
    </row>
    <row r="490">
      <c r="L490" s="20"/>
      <c r="M490" s="21"/>
      <c r="P490" s="21"/>
      <c r="S490" s="21"/>
      <c r="V490" s="21"/>
      <c r="Y490" s="21"/>
      <c r="AB490" s="21"/>
      <c r="AE490" s="21"/>
      <c r="AH490" s="21"/>
      <c r="AK490" s="21"/>
      <c r="AN490" s="21"/>
      <c r="AQ490" s="21"/>
      <c r="AT490" s="21"/>
      <c r="AW490" s="21"/>
      <c r="AZ490" s="21"/>
      <c r="BC490" s="21"/>
      <c r="BF490" s="21"/>
      <c r="BI490" s="21"/>
      <c r="BL490" s="21"/>
      <c r="BO490" s="21"/>
      <c r="BR490" s="21"/>
    </row>
    <row r="491">
      <c r="L491" s="20"/>
      <c r="M491" s="21"/>
      <c r="P491" s="21"/>
      <c r="S491" s="21"/>
      <c r="V491" s="21"/>
      <c r="Y491" s="21"/>
      <c r="AB491" s="21"/>
      <c r="AE491" s="21"/>
      <c r="AH491" s="21"/>
      <c r="AK491" s="21"/>
      <c r="AN491" s="21"/>
      <c r="AQ491" s="21"/>
      <c r="AT491" s="21"/>
      <c r="AW491" s="21"/>
      <c r="AZ491" s="21"/>
      <c r="BC491" s="21"/>
      <c r="BF491" s="21"/>
      <c r="BI491" s="21"/>
      <c r="BL491" s="21"/>
      <c r="BO491" s="21"/>
      <c r="BR491" s="21"/>
    </row>
    <row r="492">
      <c r="L492" s="20"/>
      <c r="M492" s="21"/>
      <c r="P492" s="21"/>
      <c r="S492" s="21"/>
      <c r="V492" s="21"/>
      <c r="Y492" s="21"/>
      <c r="AB492" s="21"/>
      <c r="AE492" s="21"/>
      <c r="AH492" s="21"/>
      <c r="AK492" s="21"/>
      <c r="AN492" s="21"/>
      <c r="AQ492" s="21"/>
      <c r="AT492" s="21"/>
      <c r="AW492" s="21"/>
      <c r="AZ492" s="21"/>
      <c r="BC492" s="21"/>
      <c r="BF492" s="21"/>
      <c r="BI492" s="21"/>
      <c r="BL492" s="21"/>
      <c r="BO492" s="21"/>
      <c r="BR492" s="21"/>
    </row>
    <row r="493">
      <c r="L493" s="20"/>
      <c r="M493" s="21"/>
      <c r="P493" s="21"/>
      <c r="S493" s="21"/>
      <c r="V493" s="21"/>
      <c r="Y493" s="21"/>
      <c r="AB493" s="21"/>
      <c r="AE493" s="21"/>
      <c r="AH493" s="21"/>
      <c r="AK493" s="21"/>
      <c r="AN493" s="21"/>
      <c r="AQ493" s="21"/>
      <c r="AT493" s="21"/>
      <c r="AW493" s="21"/>
      <c r="AZ493" s="21"/>
      <c r="BC493" s="21"/>
      <c r="BF493" s="21"/>
      <c r="BI493" s="21"/>
      <c r="BL493" s="21"/>
      <c r="BO493" s="21"/>
      <c r="BR493" s="21"/>
    </row>
    <row r="494">
      <c r="L494" s="20"/>
      <c r="M494" s="21"/>
      <c r="P494" s="21"/>
      <c r="S494" s="21"/>
      <c r="V494" s="21"/>
      <c r="Y494" s="21"/>
      <c r="AB494" s="21"/>
      <c r="AE494" s="21"/>
      <c r="AH494" s="21"/>
      <c r="AK494" s="21"/>
      <c r="AN494" s="21"/>
      <c r="AQ494" s="21"/>
      <c r="AT494" s="21"/>
      <c r="AW494" s="21"/>
      <c r="AZ494" s="21"/>
      <c r="BC494" s="21"/>
      <c r="BF494" s="21"/>
      <c r="BI494" s="21"/>
      <c r="BL494" s="21"/>
      <c r="BO494" s="21"/>
      <c r="BR494" s="21"/>
    </row>
    <row r="495">
      <c r="L495" s="20"/>
      <c r="M495" s="21"/>
      <c r="P495" s="21"/>
      <c r="S495" s="21"/>
      <c r="V495" s="21"/>
      <c r="Y495" s="21"/>
      <c r="AB495" s="21"/>
      <c r="AE495" s="21"/>
      <c r="AH495" s="21"/>
      <c r="AK495" s="21"/>
      <c r="AN495" s="21"/>
      <c r="AQ495" s="21"/>
      <c r="AT495" s="21"/>
      <c r="AW495" s="21"/>
      <c r="AZ495" s="21"/>
      <c r="BC495" s="21"/>
      <c r="BF495" s="21"/>
      <c r="BI495" s="21"/>
      <c r="BL495" s="21"/>
      <c r="BO495" s="21"/>
      <c r="BR495" s="21"/>
    </row>
    <row r="496">
      <c r="L496" s="20"/>
      <c r="M496" s="21"/>
      <c r="P496" s="21"/>
      <c r="S496" s="21"/>
      <c r="V496" s="21"/>
      <c r="Y496" s="21"/>
      <c r="AB496" s="21"/>
      <c r="AE496" s="21"/>
      <c r="AH496" s="21"/>
      <c r="AK496" s="21"/>
      <c r="AN496" s="21"/>
      <c r="AQ496" s="21"/>
      <c r="AT496" s="21"/>
      <c r="AW496" s="21"/>
      <c r="AZ496" s="21"/>
      <c r="BC496" s="21"/>
      <c r="BF496" s="21"/>
      <c r="BI496" s="21"/>
      <c r="BL496" s="21"/>
      <c r="BO496" s="21"/>
      <c r="BR496" s="21"/>
    </row>
    <row r="497">
      <c r="L497" s="20"/>
      <c r="M497" s="21"/>
      <c r="P497" s="21"/>
      <c r="S497" s="21"/>
      <c r="V497" s="21"/>
      <c r="Y497" s="21"/>
      <c r="AB497" s="21"/>
      <c r="AE497" s="21"/>
      <c r="AH497" s="21"/>
      <c r="AK497" s="21"/>
      <c r="AN497" s="21"/>
      <c r="AQ497" s="21"/>
      <c r="AT497" s="21"/>
      <c r="AW497" s="21"/>
      <c r="AZ497" s="21"/>
      <c r="BC497" s="21"/>
      <c r="BF497" s="21"/>
      <c r="BI497" s="21"/>
      <c r="BL497" s="21"/>
      <c r="BO497" s="21"/>
      <c r="BR497" s="21"/>
    </row>
    <row r="498">
      <c r="L498" s="20"/>
      <c r="M498" s="21"/>
      <c r="P498" s="21"/>
      <c r="S498" s="21"/>
      <c r="V498" s="21"/>
      <c r="Y498" s="21"/>
      <c r="AB498" s="21"/>
      <c r="AE498" s="21"/>
      <c r="AH498" s="21"/>
      <c r="AK498" s="21"/>
      <c r="AN498" s="21"/>
      <c r="AQ498" s="21"/>
      <c r="AT498" s="21"/>
      <c r="AW498" s="21"/>
      <c r="AZ498" s="21"/>
      <c r="BC498" s="21"/>
      <c r="BF498" s="21"/>
      <c r="BI498" s="21"/>
      <c r="BL498" s="21"/>
      <c r="BO498" s="21"/>
      <c r="BR498" s="21"/>
    </row>
    <row r="499">
      <c r="L499" s="20"/>
      <c r="M499" s="21"/>
      <c r="P499" s="21"/>
      <c r="S499" s="21"/>
      <c r="V499" s="21"/>
      <c r="Y499" s="21"/>
      <c r="AB499" s="21"/>
      <c r="AE499" s="21"/>
      <c r="AH499" s="21"/>
      <c r="AK499" s="21"/>
      <c r="AN499" s="21"/>
      <c r="AQ499" s="21"/>
      <c r="AT499" s="21"/>
      <c r="AW499" s="21"/>
      <c r="AZ499" s="21"/>
      <c r="BC499" s="21"/>
      <c r="BF499" s="21"/>
      <c r="BI499" s="21"/>
      <c r="BL499" s="21"/>
      <c r="BO499" s="21"/>
      <c r="BR499" s="21"/>
    </row>
    <row r="500">
      <c r="L500" s="20"/>
      <c r="M500" s="21"/>
      <c r="P500" s="21"/>
      <c r="S500" s="21"/>
      <c r="V500" s="21"/>
      <c r="Y500" s="21"/>
      <c r="AB500" s="21"/>
      <c r="AE500" s="21"/>
      <c r="AH500" s="21"/>
      <c r="AK500" s="21"/>
      <c r="AN500" s="21"/>
      <c r="AQ500" s="21"/>
      <c r="AT500" s="21"/>
      <c r="AW500" s="21"/>
      <c r="AZ500" s="21"/>
      <c r="BC500" s="21"/>
      <c r="BF500" s="21"/>
      <c r="BI500" s="21"/>
      <c r="BL500" s="21"/>
      <c r="BO500" s="21"/>
      <c r="BR500" s="21"/>
    </row>
    <row r="501">
      <c r="L501" s="20"/>
      <c r="M501" s="21"/>
      <c r="P501" s="21"/>
      <c r="S501" s="21"/>
      <c r="V501" s="21"/>
      <c r="Y501" s="21"/>
      <c r="AB501" s="21"/>
      <c r="AE501" s="21"/>
      <c r="AH501" s="21"/>
      <c r="AK501" s="21"/>
      <c r="AN501" s="21"/>
      <c r="AQ501" s="21"/>
      <c r="AT501" s="21"/>
      <c r="AW501" s="21"/>
      <c r="AZ501" s="21"/>
      <c r="BC501" s="21"/>
      <c r="BF501" s="21"/>
      <c r="BI501" s="21"/>
      <c r="BL501" s="21"/>
      <c r="BO501" s="21"/>
      <c r="BR501" s="21"/>
    </row>
    <row r="502">
      <c r="L502" s="20"/>
      <c r="M502" s="21"/>
      <c r="P502" s="21"/>
      <c r="S502" s="21"/>
      <c r="V502" s="21"/>
      <c r="Y502" s="21"/>
      <c r="AB502" s="21"/>
      <c r="AE502" s="21"/>
      <c r="AH502" s="21"/>
      <c r="AK502" s="21"/>
      <c r="AN502" s="21"/>
      <c r="AQ502" s="21"/>
      <c r="AT502" s="21"/>
      <c r="AW502" s="21"/>
      <c r="AZ502" s="21"/>
      <c r="BC502" s="21"/>
      <c r="BF502" s="21"/>
      <c r="BI502" s="21"/>
      <c r="BL502" s="21"/>
      <c r="BO502" s="21"/>
      <c r="BR502" s="21"/>
    </row>
    <row r="503">
      <c r="L503" s="20"/>
      <c r="M503" s="21"/>
      <c r="P503" s="21"/>
      <c r="S503" s="21"/>
      <c r="V503" s="21"/>
      <c r="Y503" s="21"/>
      <c r="AB503" s="21"/>
      <c r="AE503" s="21"/>
      <c r="AH503" s="21"/>
      <c r="AK503" s="21"/>
      <c r="AN503" s="21"/>
      <c r="AQ503" s="21"/>
      <c r="AT503" s="21"/>
      <c r="AW503" s="21"/>
      <c r="AZ503" s="21"/>
      <c r="BC503" s="21"/>
      <c r="BF503" s="21"/>
      <c r="BI503" s="21"/>
      <c r="BL503" s="21"/>
      <c r="BO503" s="21"/>
      <c r="BR503" s="21"/>
    </row>
    <row r="504">
      <c r="L504" s="20"/>
      <c r="M504" s="21"/>
      <c r="P504" s="21"/>
      <c r="S504" s="21"/>
      <c r="V504" s="21"/>
      <c r="Y504" s="21"/>
      <c r="AB504" s="21"/>
      <c r="AE504" s="21"/>
      <c r="AH504" s="21"/>
      <c r="AK504" s="21"/>
      <c r="AN504" s="21"/>
      <c r="AQ504" s="21"/>
      <c r="AT504" s="21"/>
      <c r="AW504" s="21"/>
      <c r="AZ504" s="21"/>
      <c r="BC504" s="21"/>
      <c r="BF504" s="21"/>
      <c r="BI504" s="21"/>
      <c r="BL504" s="21"/>
      <c r="BO504" s="21"/>
      <c r="BR504" s="21"/>
    </row>
    <row r="505">
      <c r="L505" s="20"/>
      <c r="M505" s="21"/>
      <c r="P505" s="21"/>
      <c r="S505" s="21"/>
      <c r="V505" s="21"/>
      <c r="Y505" s="21"/>
      <c r="AB505" s="21"/>
      <c r="AE505" s="21"/>
      <c r="AH505" s="21"/>
      <c r="AK505" s="21"/>
      <c r="AN505" s="21"/>
      <c r="AQ505" s="21"/>
      <c r="AT505" s="21"/>
      <c r="AW505" s="21"/>
      <c r="AZ505" s="21"/>
      <c r="BC505" s="21"/>
      <c r="BF505" s="21"/>
      <c r="BI505" s="21"/>
      <c r="BL505" s="21"/>
      <c r="BO505" s="21"/>
      <c r="BR505" s="21"/>
    </row>
    <row r="506">
      <c r="L506" s="20"/>
      <c r="M506" s="21"/>
      <c r="P506" s="21"/>
      <c r="S506" s="21"/>
      <c r="V506" s="21"/>
      <c r="Y506" s="21"/>
      <c r="AB506" s="21"/>
      <c r="AE506" s="21"/>
      <c r="AH506" s="21"/>
      <c r="AK506" s="21"/>
      <c r="AN506" s="21"/>
      <c r="AQ506" s="21"/>
      <c r="AT506" s="21"/>
      <c r="AW506" s="21"/>
      <c r="AZ506" s="21"/>
      <c r="BC506" s="21"/>
      <c r="BF506" s="21"/>
      <c r="BI506" s="21"/>
      <c r="BL506" s="21"/>
      <c r="BO506" s="21"/>
      <c r="BR506" s="21"/>
    </row>
    <row r="507">
      <c r="L507" s="20"/>
      <c r="M507" s="21"/>
      <c r="P507" s="21"/>
      <c r="S507" s="21"/>
      <c r="V507" s="21"/>
      <c r="Y507" s="21"/>
      <c r="AB507" s="21"/>
      <c r="AE507" s="21"/>
      <c r="AH507" s="21"/>
      <c r="AK507" s="21"/>
      <c r="AN507" s="21"/>
      <c r="AQ507" s="21"/>
      <c r="AT507" s="21"/>
      <c r="AW507" s="21"/>
      <c r="AZ507" s="21"/>
      <c r="BC507" s="21"/>
      <c r="BF507" s="21"/>
      <c r="BI507" s="21"/>
      <c r="BL507" s="21"/>
      <c r="BO507" s="21"/>
      <c r="BR507" s="21"/>
    </row>
    <row r="508">
      <c r="L508" s="20"/>
      <c r="M508" s="21"/>
      <c r="P508" s="21"/>
      <c r="S508" s="21"/>
      <c r="V508" s="21"/>
      <c r="Y508" s="21"/>
      <c r="AB508" s="21"/>
      <c r="AE508" s="21"/>
      <c r="AH508" s="21"/>
      <c r="AK508" s="21"/>
      <c r="AN508" s="21"/>
      <c r="AQ508" s="21"/>
      <c r="AT508" s="21"/>
      <c r="AW508" s="21"/>
      <c r="AZ508" s="21"/>
      <c r="BC508" s="21"/>
      <c r="BF508" s="21"/>
      <c r="BI508" s="21"/>
      <c r="BL508" s="21"/>
      <c r="BO508" s="21"/>
      <c r="BR508" s="21"/>
    </row>
    <row r="509">
      <c r="L509" s="20"/>
      <c r="M509" s="21"/>
      <c r="P509" s="21"/>
      <c r="S509" s="21"/>
      <c r="V509" s="21"/>
      <c r="Y509" s="21"/>
      <c r="AB509" s="21"/>
      <c r="AE509" s="21"/>
      <c r="AH509" s="21"/>
      <c r="AK509" s="21"/>
      <c r="AN509" s="21"/>
      <c r="AQ509" s="21"/>
      <c r="AT509" s="21"/>
      <c r="AW509" s="21"/>
      <c r="AZ509" s="21"/>
      <c r="BC509" s="21"/>
      <c r="BF509" s="21"/>
      <c r="BI509" s="21"/>
      <c r="BL509" s="21"/>
      <c r="BO509" s="21"/>
      <c r="BR509" s="21"/>
    </row>
    <row r="510">
      <c r="L510" s="20"/>
      <c r="M510" s="21"/>
      <c r="P510" s="21"/>
      <c r="S510" s="21"/>
      <c r="V510" s="21"/>
      <c r="Y510" s="21"/>
      <c r="AB510" s="21"/>
      <c r="AE510" s="21"/>
      <c r="AH510" s="21"/>
      <c r="AK510" s="21"/>
      <c r="AN510" s="21"/>
      <c r="AQ510" s="21"/>
      <c r="AT510" s="21"/>
      <c r="AW510" s="21"/>
      <c r="AZ510" s="21"/>
      <c r="BC510" s="21"/>
      <c r="BF510" s="21"/>
      <c r="BI510" s="21"/>
      <c r="BL510" s="21"/>
      <c r="BO510" s="21"/>
      <c r="BR510" s="21"/>
    </row>
    <row r="511">
      <c r="L511" s="20"/>
      <c r="M511" s="21"/>
      <c r="P511" s="21"/>
      <c r="S511" s="21"/>
      <c r="V511" s="21"/>
      <c r="Y511" s="21"/>
      <c r="AB511" s="21"/>
      <c r="AE511" s="21"/>
      <c r="AH511" s="21"/>
      <c r="AK511" s="21"/>
      <c r="AN511" s="21"/>
      <c r="AQ511" s="21"/>
      <c r="AT511" s="21"/>
      <c r="AW511" s="21"/>
      <c r="AZ511" s="21"/>
      <c r="BC511" s="21"/>
      <c r="BF511" s="21"/>
      <c r="BI511" s="21"/>
      <c r="BL511" s="21"/>
      <c r="BO511" s="21"/>
      <c r="BR511" s="21"/>
    </row>
    <row r="512">
      <c r="L512" s="20"/>
      <c r="M512" s="21"/>
      <c r="P512" s="21"/>
      <c r="S512" s="21"/>
      <c r="V512" s="21"/>
      <c r="Y512" s="21"/>
      <c r="AB512" s="21"/>
      <c r="AE512" s="21"/>
      <c r="AH512" s="21"/>
      <c r="AK512" s="21"/>
      <c r="AN512" s="21"/>
      <c r="AQ512" s="21"/>
      <c r="AT512" s="21"/>
      <c r="AW512" s="21"/>
      <c r="AZ512" s="21"/>
      <c r="BC512" s="21"/>
      <c r="BF512" s="21"/>
      <c r="BI512" s="21"/>
      <c r="BL512" s="21"/>
      <c r="BO512" s="21"/>
      <c r="BR512" s="21"/>
    </row>
    <row r="513">
      <c r="L513" s="20"/>
      <c r="M513" s="21"/>
      <c r="P513" s="21"/>
      <c r="S513" s="21"/>
      <c r="V513" s="21"/>
      <c r="Y513" s="21"/>
      <c r="AB513" s="21"/>
      <c r="AE513" s="21"/>
      <c r="AH513" s="21"/>
      <c r="AK513" s="21"/>
      <c r="AN513" s="21"/>
      <c r="AQ513" s="21"/>
      <c r="AT513" s="21"/>
      <c r="AW513" s="21"/>
      <c r="AZ513" s="21"/>
      <c r="BC513" s="21"/>
      <c r="BF513" s="21"/>
      <c r="BI513" s="21"/>
      <c r="BL513" s="21"/>
      <c r="BO513" s="21"/>
      <c r="BR513" s="21"/>
    </row>
    <row r="514">
      <c r="L514" s="20"/>
      <c r="M514" s="21"/>
      <c r="P514" s="21"/>
      <c r="S514" s="21"/>
      <c r="V514" s="21"/>
      <c r="Y514" s="21"/>
      <c r="AB514" s="21"/>
      <c r="AE514" s="21"/>
      <c r="AH514" s="21"/>
      <c r="AK514" s="21"/>
      <c r="AN514" s="21"/>
      <c r="AQ514" s="21"/>
      <c r="AT514" s="21"/>
      <c r="AW514" s="21"/>
      <c r="AZ514" s="21"/>
      <c r="BC514" s="21"/>
      <c r="BF514" s="21"/>
      <c r="BI514" s="21"/>
      <c r="BL514" s="21"/>
      <c r="BO514" s="21"/>
      <c r="BR514" s="21"/>
    </row>
    <row r="515">
      <c r="L515" s="20"/>
      <c r="M515" s="21"/>
      <c r="P515" s="21"/>
      <c r="S515" s="21"/>
      <c r="V515" s="21"/>
      <c r="Y515" s="21"/>
      <c r="AB515" s="21"/>
      <c r="AE515" s="21"/>
      <c r="AH515" s="21"/>
      <c r="AK515" s="21"/>
      <c r="AN515" s="21"/>
      <c r="AQ515" s="21"/>
      <c r="AT515" s="21"/>
      <c r="AW515" s="21"/>
      <c r="AZ515" s="21"/>
      <c r="BC515" s="21"/>
      <c r="BF515" s="21"/>
      <c r="BI515" s="21"/>
      <c r="BL515" s="21"/>
      <c r="BO515" s="21"/>
      <c r="BR515" s="21"/>
    </row>
    <row r="516">
      <c r="L516" s="20"/>
      <c r="M516" s="21"/>
      <c r="P516" s="21"/>
      <c r="S516" s="21"/>
      <c r="V516" s="21"/>
      <c r="Y516" s="21"/>
      <c r="AB516" s="21"/>
      <c r="AE516" s="21"/>
      <c r="AH516" s="21"/>
      <c r="AK516" s="21"/>
      <c r="AN516" s="21"/>
      <c r="AQ516" s="21"/>
      <c r="AT516" s="21"/>
      <c r="AW516" s="21"/>
      <c r="AZ516" s="21"/>
      <c r="BC516" s="21"/>
      <c r="BF516" s="21"/>
      <c r="BI516" s="21"/>
      <c r="BL516" s="21"/>
      <c r="BO516" s="21"/>
      <c r="BR516" s="21"/>
    </row>
    <row r="517">
      <c r="L517" s="20"/>
      <c r="M517" s="21"/>
      <c r="P517" s="21"/>
      <c r="S517" s="21"/>
      <c r="V517" s="21"/>
      <c r="Y517" s="21"/>
      <c r="AB517" s="21"/>
      <c r="AE517" s="21"/>
      <c r="AH517" s="21"/>
      <c r="AK517" s="21"/>
      <c r="AN517" s="21"/>
      <c r="AQ517" s="21"/>
      <c r="AT517" s="21"/>
      <c r="AW517" s="21"/>
      <c r="AZ517" s="21"/>
      <c r="BC517" s="21"/>
      <c r="BF517" s="21"/>
      <c r="BI517" s="21"/>
      <c r="BL517" s="21"/>
      <c r="BO517" s="21"/>
      <c r="BR517" s="21"/>
    </row>
    <row r="518">
      <c r="L518" s="20"/>
      <c r="M518" s="21"/>
      <c r="P518" s="21"/>
      <c r="S518" s="21"/>
      <c r="V518" s="21"/>
      <c r="Y518" s="21"/>
      <c r="AB518" s="21"/>
      <c r="AE518" s="21"/>
      <c r="AH518" s="21"/>
      <c r="AK518" s="21"/>
      <c r="AN518" s="21"/>
      <c r="AQ518" s="21"/>
      <c r="AT518" s="21"/>
      <c r="AW518" s="21"/>
      <c r="AZ518" s="21"/>
      <c r="BC518" s="21"/>
      <c r="BF518" s="21"/>
      <c r="BI518" s="21"/>
      <c r="BL518" s="21"/>
      <c r="BO518" s="21"/>
      <c r="BR518" s="21"/>
    </row>
    <row r="519">
      <c r="L519" s="20"/>
      <c r="M519" s="21"/>
      <c r="P519" s="21"/>
      <c r="S519" s="21"/>
      <c r="V519" s="21"/>
      <c r="Y519" s="21"/>
      <c r="AB519" s="21"/>
      <c r="AE519" s="21"/>
      <c r="AH519" s="21"/>
      <c r="AK519" s="21"/>
      <c r="AN519" s="21"/>
      <c r="AQ519" s="21"/>
      <c r="AT519" s="21"/>
      <c r="AW519" s="21"/>
      <c r="AZ519" s="21"/>
      <c r="BC519" s="21"/>
      <c r="BF519" s="21"/>
      <c r="BI519" s="21"/>
      <c r="BL519" s="21"/>
      <c r="BO519" s="21"/>
      <c r="BR519" s="21"/>
    </row>
    <row r="520">
      <c r="L520" s="20"/>
      <c r="M520" s="21"/>
      <c r="P520" s="21"/>
      <c r="S520" s="21"/>
      <c r="V520" s="21"/>
      <c r="Y520" s="21"/>
      <c r="AB520" s="21"/>
      <c r="AE520" s="21"/>
      <c r="AH520" s="21"/>
      <c r="AK520" s="21"/>
      <c r="AN520" s="21"/>
      <c r="AQ520" s="21"/>
      <c r="AT520" s="21"/>
      <c r="AW520" s="21"/>
      <c r="AZ520" s="21"/>
      <c r="BC520" s="21"/>
      <c r="BF520" s="21"/>
      <c r="BI520" s="21"/>
      <c r="BL520" s="21"/>
      <c r="BO520" s="21"/>
      <c r="BR520" s="21"/>
    </row>
    <row r="521">
      <c r="L521" s="20"/>
      <c r="M521" s="21"/>
      <c r="P521" s="21"/>
      <c r="S521" s="21"/>
      <c r="V521" s="21"/>
      <c r="Y521" s="21"/>
      <c r="AB521" s="21"/>
      <c r="AE521" s="21"/>
      <c r="AH521" s="21"/>
      <c r="AK521" s="21"/>
      <c r="AN521" s="21"/>
      <c r="AQ521" s="21"/>
      <c r="AT521" s="21"/>
      <c r="AW521" s="21"/>
      <c r="AZ521" s="21"/>
      <c r="BC521" s="21"/>
      <c r="BF521" s="21"/>
      <c r="BI521" s="21"/>
      <c r="BL521" s="21"/>
      <c r="BO521" s="21"/>
      <c r="BR521" s="21"/>
    </row>
    <row r="522">
      <c r="L522" s="20"/>
      <c r="M522" s="21"/>
      <c r="P522" s="21"/>
      <c r="S522" s="21"/>
      <c r="V522" s="21"/>
      <c r="Y522" s="21"/>
      <c r="AB522" s="21"/>
      <c r="AE522" s="21"/>
      <c r="AH522" s="21"/>
      <c r="AK522" s="21"/>
      <c r="AN522" s="21"/>
      <c r="AQ522" s="21"/>
      <c r="AT522" s="21"/>
      <c r="AW522" s="21"/>
      <c r="AZ522" s="21"/>
      <c r="BC522" s="21"/>
      <c r="BF522" s="21"/>
      <c r="BI522" s="21"/>
      <c r="BL522" s="21"/>
      <c r="BO522" s="21"/>
      <c r="BR522" s="21"/>
    </row>
    <row r="523">
      <c r="L523" s="20"/>
      <c r="M523" s="21"/>
      <c r="P523" s="21"/>
      <c r="S523" s="21"/>
      <c r="V523" s="21"/>
      <c r="Y523" s="21"/>
      <c r="AB523" s="21"/>
      <c r="AE523" s="21"/>
      <c r="AH523" s="21"/>
      <c r="AK523" s="21"/>
      <c r="AN523" s="21"/>
      <c r="AQ523" s="21"/>
      <c r="AT523" s="21"/>
      <c r="AW523" s="21"/>
      <c r="AZ523" s="21"/>
      <c r="BC523" s="21"/>
      <c r="BF523" s="21"/>
      <c r="BI523" s="21"/>
      <c r="BL523" s="21"/>
      <c r="BO523" s="21"/>
      <c r="BR523" s="21"/>
    </row>
    <row r="524">
      <c r="L524" s="20"/>
      <c r="M524" s="21"/>
      <c r="P524" s="21"/>
      <c r="S524" s="21"/>
      <c r="V524" s="21"/>
      <c r="Y524" s="21"/>
      <c r="AB524" s="21"/>
      <c r="AE524" s="21"/>
      <c r="AH524" s="21"/>
      <c r="AK524" s="21"/>
      <c r="AN524" s="21"/>
      <c r="AQ524" s="21"/>
      <c r="AT524" s="21"/>
      <c r="AW524" s="21"/>
      <c r="AZ524" s="21"/>
      <c r="BC524" s="21"/>
      <c r="BF524" s="21"/>
      <c r="BI524" s="21"/>
      <c r="BL524" s="21"/>
      <c r="BO524" s="21"/>
      <c r="BR524" s="21"/>
    </row>
    <row r="525">
      <c r="L525" s="20"/>
      <c r="M525" s="21"/>
      <c r="P525" s="21"/>
      <c r="S525" s="21"/>
      <c r="V525" s="21"/>
      <c r="Y525" s="21"/>
      <c r="AB525" s="21"/>
      <c r="AE525" s="21"/>
      <c r="AH525" s="21"/>
      <c r="AK525" s="21"/>
      <c r="AN525" s="21"/>
      <c r="AQ525" s="21"/>
      <c r="AT525" s="21"/>
      <c r="AW525" s="21"/>
      <c r="AZ525" s="21"/>
      <c r="BC525" s="21"/>
      <c r="BF525" s="21"/>
      <c r="BI525" s="21"/>
      <c r="BL525" s="21"/>
      <c r="BO525" s="21"/>
      <c r="BR525" s="21"/>
    </row>
    <row r="526">
      <c r="L526" s="20"/>
      <c r="M526" s="21"/>
      <c r="P526" s="21"/>
      <c r="S526" s="21"/>
      <c r="V526" s="21"/>
      <c r="Y526" s="21"/>
      <c r="AB526" s="21"/>
      <c r="AE526" s="21"/>
      <c r="AH526" s="21"/>
      <c r="AK526" s="21"/>
      <c r="AN526" s="21"/>
      <c r="AQ526" s="21"/>
      <c r="AT526" s="21"/>
      <c r="AW526" s="21"/>
      <c r="AZ526" s="21"/>
      <c r="BC526" s="21"/>
      <c r="BF526" s="21"/>
      <c r="BI526" s="21"/>
      <c r="BL526" s="21"/>
      <c r="BO526" s="21"/>
      <c r="BR526" s="21"/>
    </row>
    <row r="527">
      <c r="L527" s="20"/>
      <c r="M527" s="21"/>
      <c r="P527" s="21"/>
      <c r="S527" s="21"/>
      <c r="V527" s="21"/>
      <c r="Y527" s="21"/>
      <c r="AB527" s="21"/>
      <c r="AE527" s="21"/>
      <c r="AH527" s="21"/>
      <c r="AK527" s="21"/>
      <c r="AN527" s="21"/>
      <c r="AQ527" s="21"/>
      <c r="AT527" s="21"/>
      <c r="AW527" s="21"/>
      <c r="AZ527" s="21"/>
      <c r="BC527" s="21"/>
      <c r="BF527" s="21"/>
      <c r="BI527" s="21"/>
      <c r="BL527" s="21"/>
      <c r="BO527" s="21"/>
      <c r="BR527" s="21"/>
    </row>
    <row r="528">
      <c r="L528" s="20"/>
      <c r="M528" s="21"/>
      <c r="P528" s="21"/>
      <c r="S528" s="21"/>
      <c r="V528" s="21"/>
      <c r="Y528" s="21"/>
      <c r="AB528" s="21"/>
      <c r="AE528" s="21"/>
      <c r="AH528" s="21"/>
      <c r="AK528" s="21"/>
      <c r="AN528" s="21"/>
      <c r="AQ528" s="21"/>
      <c r="AT528" s="21"/>
      <c r="AW528" s="21"/>
      <c r="AZ528" s="21"/>
      <c r="BC528" s="21"/>
      <c r="BF528" s="21"/>
      <c r="BI528" s="21"/>
      <c r="BL528" s="21"/>
      <c r="BO528" s="21"/>
      <c r="BR528" s="21"/>
    </row>
    <row r="529">
      <c r="L529" s="20"/>
      <c r="M529" s="21"/>
      <c r="P529" s="21"/>
      <c r="S529" s="21"/>
      <c r="V529" s="21"/>
      <c r="Y529" s="21"/>
      <c r="AB529" s="21"/>
      <c r="AE529" s="21"/>
      <c r="AH529" s="21"/>
      <c r="AK529" s="21"/>
      <c r="AN529" s="21"/>
      <c r="AQ529" s="21"/>
      <c r="AT529" s="21"/>
      <c r="AW529" s="21"/>
      <c r="AZ529" s="21"/>
      <c r="BC529" s="21"/>
      <c r="BF529" s="21"/>
      <c r="BI529" s="21"/>
      <c r="BL529" s="21"/>
      <c r="BO529" s="21"/>
      <c r="BR529" s="21"/>
    </row>
    <row r="530">
      <c r="L530" s="20"/>
      <c r="M530" s="21"/>
      <c r="P530" s="21"/>
      <c r="S530" s="21"/>
      <c r="V530" s="21"/>
      <c r="Y530" s="21"/>
      <c r="AB530" s="21"/>
      <c r="AE530" s="21"/>
      <c r="AH530" s="21"/>
      <c r="AK530" s="21"/>
      <c r="AN530" s="21"/>
      <c r="AQ530" s="21"/>
      <c r="AT530" s="21"/>
      <c r="AW530" s="21"/>
      <c r="AZ530" s="21"/>
      <c r="BC530" s="21"/>
      <c r="BF530" s="21"/>
      <c r="BI530" s="21"/>
      <c r="BL530" s="21"/>
      <c r="BO530" s="21"/>
      <c r="BR530" s="21"/>
    </row>
    <row r="531">
      <c r="L531" s="20"/>
      <c r="M531" s="21"/>
      <c r="P531" s="21"/>
      <c r="S531" s="21"/>
      <c r="V531" s="21"/>
      <c r="Y531" s="21"/>
      <c r="AB531" s="21"/>
      <c r="AE531" s="21"/>
      <c r="AH531" s="21"/>
      <c r="AK531" s="21"/>
      <c r="AN531" s="21"/>
      <c r="AQ531" s="21"/>
      <c r="AT531" s="21"/>
      <c r="AW531" s="21"/>
      <c r="AZ531" s="21"/>
      <c r="BC531" s="21"/>
      <c r="BF531" s="21"/>
      <c r="BI531" s="21"/>
      <c r="BL531" s="21"/>
      <c r="BO531" s="21"/>
      <c r="BR531" s="21"/>
    </row>
    <row r="532">
      <c r="L532" s="20"/>
      <c r="M532" s="21"/>
      <c r="P532" s="21"/>
      <c r="S532" s="21"/>
      <c r="V532" s="21"/>
      <c r="Y532" s="21"/>
      <c r="AB532" s="21"/>
      <c r="AE532" s="21"/>
      <c r="AH532" s="21"/>
      <c r="AK532" s="21"/>
      <c r="AN532" s="21"/>
      <c r="AQ532" s="21"/>
      <c r="AT532" s="21"/>
      <c r="AW532" s="21"/>
      <c r="AZ532" s="21"/>
      <c r="BC532" s="21"/>
      <c r="BF532" s="21"/>
      <c r="BI532" s="21"/>
      <c r="BL532" s="21"/>
      <c r="BO532" s="21"/>
      <c r="BR532" s="21"/>
    </row>
    <row r="533">
      <c r="L533" s="20"/>
      <c r="M533" s="21"/>
      <c r="P533" s="21"/>
      <c r="S533" s="21"/>
      <c r="V533" s="21"/>
      <c r="Y533" s="21"/>
      <c r="AB533" s="21"/>
      <c r="AE533" s="21"/>
      <c r="AH533" s="21"/>
      <c r="AK533" s="21"/>
      <c r="AN533" s="21"/>
      <c r="AQ533" s="21"/>
      <c r="AT533" s="21"/>
      <c r="AW533" s="21"/>
      <c r="AZ533" s="21"/>
      <c r="BC533" s="21"/>
      <c r="BF533" s="21"/>
      <c r="BI533" s="21"/>
      <c r="BL533" s="21"/>
      <c r="BO533" s="21"/>
      <c r="BR533" s="21"/>
    </row>
    <row r="534">
      <c r="L534" s="20"/>
      <c r="M534" s="21"/>
      <c r="P534" s="21"/>
      <c r="S534" s="21"/>
      <c r="V534" s="21"/>
      <c r="Y534" s="21"/>
      <c r="AB534" s="21"/>
      <c r="AE534" s="21"/>
      <c r="AH534" s="21"/>
      <c r="AK534" s="21"/>
      <c r="AN534" s="21"/>
      <c r="AQ534" s="21"/>
      <c r="AT534" s="21"/>
      <c r="AW534" s="21"/>
      <c r="AZ534" s="21"/>
      <c r="BC534" s="21"/>
      <c r="BF534" s="21"/>
      <c r="BI534" s="21"/>
      <c r="BL534" s="21"/>
      <c r="BO534" s="21"/>
      <c r="BR534" s="21"/>
    </row>
    <row r="535">
      <c r="L535" s="20"/>
      <c r="M535" s="21"/>
      <c r="P535" s="21"/>
      <c r="S535" s="21"/>
      <c r="V535" s="21"/>
      <c r="Y535" s="21"/>
      <c r="AB535" s="21"/>
      <c r="AE535" s="21"/>
      <c r="AH535" s="21"/>
      <c r="AK535" s="21"/>
      <c r="AN535" s="21"/>
      <c r="AQ535" s="21"/>
      <c r="AT535" s="21"/>
      <c r="AW535" s="21"/>
      <c r="AZ535" s="21"/>
      <c r="BC535" s="21"/>
      <c r="BF535" s="21"/>
      <c r="BI535" s="21"/>
      <c r="BL535" s="21"/>
      <c r="BO535" s="21"/>
      <c r="BR535" s="21"/>
    </row>
    <row r="536">
      <c r="L536" s="20"/>
      <c r="M536" s="21"/>
      <c r="P536" s="21"/>
      <c r="S536" s="21"/>
      <c r="V536" s="21"/>
      <c r="Y536" s="21"/>
      <c r="AB536" s="21"/>
      <c r="AE536" s="21"/>
      <c r="AH536" s="21"/>
      <c r="AK536" s="21"/>
      <c r="AN536" s="21"/>
      <c r="AQ536" s="21"/>
      <c r="AT536" s="21"/>
      <c r="AW536" s="21"/>
      <c r="AZ536" s="21"/>
      <c r="BC536" s="21"/>
      <c r="BF536" s="21"/>
      <c r="BI536" s="21"/>
      <c r="BL536" s="21"/>
      <c r="BO536" s="21"/>
      <c r="BR536" s="21"/>
    </row>
    <row r="537">
      <c r="L537" s="20"/>
      <c r="M537" s="21"/>
      <c r="P537" s="21"/>
      <c r="S537" s="21"/>
      <c r="V537" s="21"/>
      <c r="Y537" s="21"/>
      <c r="AB537" s="21"/>
      <c r="AE537" s="21"/>
      <c r="AH537" s="21"/>
      <c r="AK537" s="21"/>
      <c r="AN537" s="21"/>
      <c r="AQ537" s="21"/>
      <c r="AT537" s="21"/>
      <c r="AW537" s="21"/>
      <c r="AZ537" s="21"/>
      <c r="BC537" s="21"/>
      <c r="BF537" s="21"/>
      <c r="BI537" s="21"/>
      <c r="BL537" s="21"/>
      <c r="BO537" s="21"/>
      <c r="BR537" s="21"/>
    </row>
    <row r="538">
      <c r="L538" s="20"/>
      <c r="M538" s="21"/>
      <c r="P538" s="21"/>
      <c r="S538" s="21"/>
      <c r="V538" s="21"/>
      <c r="Y538" s="21"/>
      <c r="AB538" s="21"/>
      <c r="AE538" s="21"/>
      <c r="AH538" s="21"/>
      <c r="AK538" s="21"/>
      <c r="AN538" s="21"/>
      <c r="AQ538" s="21"/>
      <c r="AT538" s="21"/>
      <c r="AW538" s="21"/>
      <c r="AZ538" s="21"/>
      <c r="BC538" s="21"/>
      <c r="BF538" s="21"/>
      <c r="BI538" s="21"/>
      <c r="BL538" s="21"/>
      <c r="BO538" s="21"/>
      <c r="BR538" s="21"/>
    </row>
    <row r="539">
      <c r="L539" s="20"/>
      <c r="M539" s="21"/>
      <c r="P539" s="21"/>
      <c r="S539" s="21"/>
      <c r="V539" s="21"/>
      <c r="Y539" s="21"/>
      <c r="AB539" s="21"/>
      <c r="AE539" s="21"/>
      <c r="AH539" s="21"/>
      <c r="AK539" s="21"/>
      <c r="AN539" s="21"/>
      <c r="AQ539" s="21"/>
      <c r="AT539" s="21"/>
      <c r="AW539" s="21"/>
      <c r="AZ539" s="21"/>
      <c r="BC539" s="21"/>
      <c r="BF539" s="21"/>
      <c r="BI539" s="21"/>
      <c r="BL539" s="21"/>
      <c r="BO539" s="21"/>
      <c r="BR539" s="21"/>
    </row>
    <row r="540">
      <c r="L540" s="20"/>
      <c r="M540" s="21"/>
      <c r="P540" s="21"/>
      <c r="S540" s="21"/>
      <c r="V540" s="21"/>
      <c r="Y540" s="21"/>
      <c r="AB540" s="21"/>
      <c r="AE540" s="21"/>
      <c r="AH540" s="21"/>
      <c r="AK540" s="21"/>
      <c r="AN540" s="21"/>
      <c r="AQ540" s="21"/>
      <c r="AT540" s="21"/>
      <c r="AW540" s="21"/>
      <c r="AZ540" s="21"/>
      <c r="BC540" s="21"/>
      <c r="BF540" s="21"/>
      <c r="BI540" s="21"/>
      <c r="BL540" s="21"/>
      <c r="BO540" s="21"/>
      <c r="BR540" s="21"/>
    </row>
    <row r="541">
      <c r="L541" s="20"/>
      <c r="M541" s="21"/>
      <c r="P541" s="21"/>
      <c r="S541" s="21"/>
      <c r="V541" s="21"/>
      <c r="Y541" s="21"/>
      <c r="AB541" s="21"/>
      <c r="AE541" s="21"/>
      <c r="AH541" s="21"/>
      <c r="AK541" s="21"/>
      <c r="AN541" s="21"/>
      <c r="AQ541" s="21"/>
      <c r="AT541" s="21"/>
      <c r="AW541" s="21"/>
      <c r="AZ541" s="21"/>
      <c r="BC541" s="21"/>
      <c r="BF541" s="21"/>
      <c r="BI541" s="21"/>
      <c r="BL541" s="21"/>
      <c r="BO541" s="21"/>
      <c r="BR541" s="21"/>
    </row>
    <row r="542">
      <c r="L542" s="20"/>
      <c r="M542" s="21"/>
      <c r="P542" s="21"/>
      <c r="S542" s="21"/>
      <c r="V542" s="21"/>
      <c r="Y542" s="21"/>
      <c r="AB542" s="21"/>
      <c r="AE542" s="21"/>
      <c r="AH542" s="21"/>
      <c r="AK542" s="21"/>
      <c r="AN542" s="21"/>
      <c r="AQ542" s="21"/>
      <c r="AT542" s="21"/>
      <c r="AW542" s="21"/>
      <c r="AZ542" s="21"/>
      <c r="BC542" s="21"/>
      <c r="BF542" s="21"/>
      <c r="BI542" s="21"/>
      <c r="BL542" s="21"/>
      <c r="BO542" s="21"/>
      <c r="BR542" s="21"/>
    </row>
    <row r="543">
      <c r="L543" s="20"/>
      <c r="M543" s="21"/>
      <c r="P543" s="21"/>
      <c r="S543" s="21"/>
      <c r="V543" s="21"/>
      <c r="Y543" s="21"/>
      <c r="AB543" s="21"/>
      <c r="AE543" s="21"/>
      <c r="AH543" s="21"/>
      <c r="AK543" s="21"/>
      <c r="AN543" s="21"/>
      <c r="AQ543" s="21"/>
      <c r="AT543" s="21"/>
      <c r="AW543" s="21"/>
      <c r="AZ543" s="21"/>
      <c r="BC543" s="21"/>
      <c r="BF543" s="21"/>
      <c r="BI543" s="21"/>
      <c r="BL543" s="21"/>
      <c r="BO543" s="21"/>
      <c r="BR543" s="21"/>
    </row>
    <row r="544">
      <c r="L544" s="20"/>
      <c r="M544" s="21"/>
      <c r="P544" s="21"/>
      <c r="S544" s="21"/>
      <c r="V544" s="21"/>
      <c r="Y544" s="21"/>
      <c r="AB544" s="21"/>
      <c r="AE544" s="21"/>
      <c r="AH544" s="21"/>
      <c r="AK544" s="21"/>
      <c r="AN544" s="21"/>
      <c r="AQ544" s="21"/>
      <c r="AT544" s="21"/>
      <c r="AW544" s="21"/>
      <c r="AZ544" s="21"/>
      <c r="BC544" s="21"/>
      <c r="BF544" s="21"/>
      <c r="BI544" s="21"/>
      <c r="BL544" s="21"/>
      <c r="BO544" s="21"/>
      <c r="BR544" s="21"/>
    </row>
    <row r="545">
      <c r="L545" s="20"/>
      <c r="M545" s="21"/>
      <c r="P545" s="21"/>
      <c r="S545" s="21"/>
      <c r="V545" s="21"/>
      <c r="Y545" s="21"/>
      <c r="AB545" s="21"/>
      <c r="AE545" s="21"/>
      <c r="AH545" s="21"/>
      <c r="AK545" s="21"/>
      <c r="AN545" s="21"/>
      <c r="AQ545" s="21"/>
      <c r="AT545" s="21"/>
      <c r="AW545" s="21"/>
      <c r="AZ545" s="21"/>
      <c r="BC545" s="21"/>
      <c r="BF545" s="21"/>
      <c r="BI545" s="21"/>
      <c r="BL545" s="21"/>
      <c r="BO545" s="21"/>
      <c r="BR545" s="21"/>
    </row>
    <row r="546">
      <c r="L546" s="20"/>
      <c r="M546" s="21"/>
      <c r="P546" s="21"/>
      <c r="S546" s="21"/>
      <c r="V546" s="21"/>
      <c r="Y546" s="21"/>
      <c r="AB546" s="21"/>
      <c r="AE546" s="21"/>
      <c r="AH546" s="21"/>
      <c r="AK546" s="21"/>
      <c r="AN546" s="21"/>
      <c r="AQ546" s="21"/>
      <c r="AT546" s="21"/>
      <c r="AW546" s="21"/>
      <c r="AZ546" s="21"/>
      <c r="BC546" s="21"/>
      <c r="BF546" s="21"/>
      <c r="BI546" s="21"/>
      <c r="BL546" s="21"/>
      <c r="BO546" s="21"/>
      <c r="BR546" s="21"/>
    </row>
    <row r="547">
      <c r="L547" s="20"/>
      <c r="M547" s="21"/>
      <c r="P547" s="21"/>
      <c r="S547" s="21"/>
      <c r="V547" s="21"/>
      <c r="Y547" s="21"/>
      <c r="AB547" s="21"/>
      <c r="AE547" s="21"/>
      <c r="AH547" s="21"/>
      <c r="AK547" s="21"/>
      <c r="AN547" s="21"/>
      <c r="AQ547" s="21"/>
      <c r="AT547" s="21"/>
      <c r="AW547" s="21"/>
      <c r="AZ547" s="21"/>
      <c r="BC547" s="21"/>
      <c r="BF547" s="21"/>
      <c r="BI547" s="21"/>
      <c r="BL547" s="21"/>
      <c r="BO547" s="21"/>
      <c r="BR547" s="21"/>
    </row>
    <row r="548">
      <c r="L548" s="20"/>
      <c r="M548" s="21"/>
      <c r="P548" s="21"/>
      <c r="S548" s="21"/>
      <c r="V548" s="21"/>
      <c r="Y548" s="21"/>
      <c r="AB548" s="21"/>
      <c r="AE548" s="21"/>
      <c r="AH548" s="21"/>
      <c r="AK548" s="21"/>
      <c r="AN548" s="21"/>
      <c r="AQ548" s="21"/>
      <c r="AT548" s="21"/>
      <c r="AW548" s="21"/>
      <c r="AZ548" s="21"/>
      <c r="BC548" s="21"/>
      <c r="BF548" s="21"/>
      <c r="BI548" s="21"/>
      <c r="BL548" s="21"/>
      <c r="BO548" s="21"/>
      <c r="BR548" s="21"/>
    </row>
    <row r="549">
      <c r="L549" s="20"/>
      <c r="M549" s="21"/>
      <c r="P549" s="21"/>
      <c r="S549" s="21"/>
      <c r="V549" s="21"/>
      <c r="Y549" s="21"/>
      <c r="AB549" s="21"/>
      <c r="AE549" s="21"/>
      <c r="AH549" s="21"/>
      <c r="AK549" s="21"/>
      <c r="AN549" s="21"/>
      <c r="AQ549" s="21"/>
      <c r="AT549" s="21"/>
      <c r="AW549" s="21"/>
      <c r="AZ549" s="21"/>
      <c r="BC549" s="21"/>
      <c r="BF549" s="21"/>
      <c r="BI549" s="21"/>
      <c r="BL549" s="21"/>
      <c r="BO549" s="21"/>
      <c r="BR549" s="21"/>
    </row>
    <row r="550">
      <c r="L550" s="20"/>
      <c r="M550" s="21"/>
      <c r="P550" s="21"/>
      <c r="S550" s="21"/>
      <c r="V550" s="21"/>
      <c r="Y550" s="21"/>
      <c r="AB550" s="21"/>
      <c r="AE550" s="21"/>
      <c r="AH550" s="21"/>
      <c r="AK550" s="21"/>
      <c r="AN550" s="21"/>
      <c r="AQ550" s="21"/>
      <c r="AT550" s="21"/>
      <c r="AW550" s="21"/>
      <c r="AZ550" s="21"/>
      <c r="BC550" s="21"/>
      <c r="BF550" s="21"/>
      <c r="BI550" s="21"/>
      <c r="BL550" s="21"/>
      <c r="BO550" s="21"/>
      <c r="BR550" s="21"/>
    </row>
    <row r="551">
      <c r="L551" s="20"/>
      <c r="M551" s="21"/>
      <c r="P551" s="21"/>
      <c r="S551" s="21"/>
      <c r="V551" s="21"/>
      <c r="Y551" s="21"/>
      <c r="AB551" s="21"/>
      <c r="AE551" s="21"/>
      <c r="AH551" s="21"/>
      <c r="AK551" s="21"/>
      <c r="AN551" s="21"/>
      <c r="AQ551" s="21"/>
      <c r="AT551" s="21"/>
      <c r="AW551" s="21"/>
      <c r="AZ551" s="21"/>
      <c r="BC551" s="21"/>
      <c r="BF551" s="21"/>
      <c r="BI551" s="21"/>
      <c r="BL551" s="21"/>
      <c r="BO551" s="21"/>
      <c r="BR551" s="21"/>
    </row>
    <row r="552">
      <c r="L552" s="20"/>
      <c r="M552" s="21"/>
      <c r="P552" s="21"/>
      <c r="S552" s="21"/>
      <c r="V552" s="21"/>
      <c r="Y552" s="21"/>
      <c r="AB552" s="21"/>
      <c r="AE552" s="21"/>
      <c r="AH552" s="21"/>
      <c r="AK552" s="21"/>
      <c r="AN552" s="21"/>
      <c r="AQ552" s="21"/>
      <c r="AT552" s="21"/>
      <c r="AW552" s="21"/>
      <c r="AZ552" s="21"/>
      <c r="BC552" s="21"/>
      <c r="BF552" s="21"/>
      <c r="BI552" s="21"/>
      <c r="BL552" s="21"/>
      <c r="BO552" s="21"/>
      <c r="BR552" s="21"/>
    </row>
    <row r="553">
      <c r="L553" s="20"/>
      <c r="M553" s="21"/>
      <c r="P553" s="21"/>
      <c r="S553" s="21"/>
      <c r="V553" s="21"/>
      <c r="Y553" s="21"/>
      <c r="AB553" s="21"/>
      <c r="AE553" s="21"/>
      <c r="AH553" s="21"/>
      <c r="AK553" s="21"/>
      <c r="AN553" s="21"/>
      <c r="AQ553" s="21"/>
      <c r="AT553" s="21"/>
      <c r="AW553" s="21"/>
      <c r="AZ553" s="21"/>
      <c r="BC553" s="21"/>
      <c r="BF553" s="21"/>
      <c r="BI553" s="21"/>
      <c r="BL553" s="21"/>
      <c r="BO553" s="21"/>
      <c r="BR553" s="21"/>
    </row>
    <row r="554">
      <c r="L554" s="20"/>
      <c r="M554" s="21"/>
      <c r="P554" s="21"/>
      <c r="S554" s="21"/>
      <c r="V554" s="21"/>
      <c r="Y554" s="21"/>
      <c r="AB554" s="21"/>
      <c r="AE554" s="21"/>
      <c r="AH554" s="21"/>
      <c r="AK554" s="21"/>
      <c r="AN554" s="21"/>
      <c r="AQ554" s="21"/>
      <c r="AT554" s="21"/>
      <c r="AW554" s="21"/>
      <c r="AZ554" s="21"/>
      <c r="BC554" s="21"/>
      <c r="BF554" s="21"/>
      <c r="BI554" s="21"/>
      <c r="BL554" s="21"/>
      <c r="BO554" s="21"/>
      <c r="BR554" s="21"/>
    </row>
    <row r="555">
      <c r="L555" s="20"/>
      <c r="M555" s="21"/>
      <c r="P555" s="21"/>
      <c r="S555" s="21"/>
      <c r="V555" s="21"/>
      <c r="Y555" s="21"/>
      <c r="AB555" s="21"/>
      <c r="AE555" s="21"/>
      <c r="AH555" s="21"/>
      <c r="AK555" s="21"/>
      <c r="AN555" s="21"/>
      <c r="AQ555" s="21"/>
      <c r="AT555" s="21"/>
      <c r="AW555" s="21"/>
      <c r="AZ555" s="21"/>
      <c r="BC555" s="21"/>
      <c r="BF555" s="21"/>
      <c r="BI555" s="21"/>
      <c r="BL555" s="21"/>
      <c r="BO555" s="21"/>
      <c r="BR555" s="21"/>
    </row>
    <row r="556">
      <c r="L556" s="20"/>
      <c r="M556" s="21"/>
      <c r="P556" s="21"/>
      <c r="S556" s="21"/>
      <c r="V556" s="21"/>
      <c r="Y556" s="21"/>
      <c r="AB556" s="21"/>
      <c r="AE556" s="21"/>
      <c r="AH556" s="21"/>
      <c r="AK556" s="21"/>
      <c r="AN556" s="21"/>
      <c r="AQ556" s="21"/>
      <c r="AT556" s="21"/>
      <c r="AW556" s="21"/>
      <c r="AZ556" s="21"/>
      <c r="BC556" s="21"/>
      <c r="BF556" s="21"/>
      <c r="BI556" s="21"/>
      <c r="BL556" s="21"/>
      <c r="BO556" s="21"/>
      <c r="BR556" s="21"/>
    </row>
    <row r="557">
      <c r="L557" s="20"/>
      <c r="M557" s="21"/>
      <c r="P557" s="21"/>
      <c r="S557" s="21"/>
      <c r="V557" s="21"/>
      <c r="Y557" s="21"/>
      <c r="AB557" s="21"/>
      <c r="AE557" s="21"/>
      <c r="AH557" s="21"/>
      <c r="AK557" s="21"/>
      <c r="AN557" s="21"/>
      <c r="AQ557" s="21"/>
      <c r="AT557" s="21"/>
      <c r="AW557" s="21"/>
      <c r="AZ557" s="21"/>
      <c r="BC557" s="21"/>
      <c r="BF557" s="21"/>
      <c r="BI557" s="21"/>
      <c r="BL557" s="21"/>
      <c r="BO557" s="21"/>
      <c r="BR557" s="21"/>
    </row>
    <row r="558">
      <c r="L558" s="20"/>
      <c r="M558" s="21"/>
      <c r="P558" s="21"/>
      <c r="S558" s="21"/>
      <c r="V558" s="21"/>
      <c r="Y558" s="21"/>
      <c r="AB558" s="21"/>
      <c r="AE558" s="21"/>
      <c r="AH558" s="21"/>
      <c r="AK558" s="21"/>
      <c r="AN558" s="21"/>
      <c r="AQ558" s="21"/>
      <c r="AT558" s="21"/>
      <c r="AW558" s="21"/>
      <c r="AZ558" s="21"/>
      <c r="BC558" s="21"/>
      <c r="BF558" s="21"/>
      <c r="BI558" s="21"/>
      <c r="BL558" s="21"/>
      <c r="BO558" s="21"/>
      <c r="BR558" s="21"/>
    </row>
    <row r="559">
      <c r="L559" s="20"/>
      <c r="M559" s="21"/>
      <c r="P559" s="21"/>
      <c r="S559" s="21"/>
      <c r="V559" s="21"/>
      <c r="Y559" s="21"/>
      <c r="AB559" s="21"/>
      <c r="AE559" s="21"/>
      <c r="AH559" s="21"/>
      <c r="AK559" s="21"/>
      <c r="AN559" s="21"/>
      <c r="AQ559" s="21"/>
      <c r="AT559" s="21"/>
      <c r="AW559" s="21"/>
      <c r="AZ559" s="21"/>
      <c r="BC559" s="21"/>
      <c r="BF559" s="21"/>
      <c r="BI559" s="21"/>
      <c r="BL559" s="21"/>
      <c r="BO559" s="21"/>
      <c r="BR559" s="21"/>
    </row>
    <row r="560">
      <c r="L560" s="20"/>
      <c r="M560" s="21"/>
      <c r="P560" s="21"/>
      <c r="S560" s="21"/>
      <c r="V560" s="21"/>
      <c r="Y560" s="21"/>
      <c r="AB560" s="21"/>
      <c r="AE560" s="21"/>
      <c r="AH560" s="21"/>
      <c r="AK560" s="21"/>
      <c r="AN560" s="21"/>
      <c r="AQ560" s="21"/>
      <c r="AT560" s="21"/>
      <c r="AW560" s="21"/>
      <c r="AZ560" s="21"/>
      <c r="BC560" s="21"/>
      <c r="BF560" s="21"/>
      <c r="BI560" s="21"/>
      <c r="BL560" s="21"/>
      <c r="BO560" s="21"/>
      <c r="BR560" s="21"/>
    </row>
    <row r="561">
      <c r="L561" s="20"/>
      <c r="M561" s="21"/>
      <c r="P561" s="21"/>
      <c r="S561" s="21"/>
      <c r="V561" s="21"/>
      <c r="Y561" s="21"/>
      <c r="AB561" s="21"/>
      <c r="AE561" s="21"/>
      <c r="AH561" s="21"/>
      <c r="AK561" s="21"/>
      <c r="AN561" s="21"/>
      <c r="AQ561" s="21"/>
      <c r="AT561" s="21"/>
      <c r="AW561" s="21"/>
      <c r="AZ561" s="21"/>
      <c r="BC561" s="21"/>
      <c r="BF561" s="21"/>
      <c r="BI561" s="21"/>
      <c r="BL561" s="21"/>
      <c r="BO561" s="21"/>
      <c r="BR561" s="21"/>
    </row>
    <row r="562">
      <c r="L562" s="20"/>
      <c r="M562" s="21"/>
      <c r="P562" s="21"/>
      <c r="S562" s="21"/>
      <c r="V562" s="21"/>
      <c r="Y562" s="21"/>
      <c r="AB562" s="21"/>
      <c r="AE562" s="21"/>
      <c r="AH562" s="21"/>
      <c r="AK562" s="21"/>
      <c r="AN562" s="21"/>
      <c r="AQ562" s="21"/>
      <c r="AT562" s="21"/>
      <c r="AW562" s="21"/>
      <c r="AZ562" s="21"/>
      <c r="BC562" s="21"/>
      <c r="BF562" s="21"/>
      <c r="BI562" s="21"/>
      <c r="BL562" s="21"/>
      <c r="BO562" s="21"/>
      <c r="BR562" s="21"/>
    </row>
    <row r="563">
      <c r="L563" s="20"/>
      <c r="M563" s="21"/>
      <c r="P563" s="21"/>
      <c r="S563" s="21"/>
      <c r="V563" s="21"/>
      <c r="Y563" s="21"/>
      <c r="AB563" s="21"/>
      <c r="AE563" s="21"/>
      <c r="AH563" s="21"/>
      <c r="AK563" s="21"/>
      <c r="AN563" s="21"/>
      <c r="AQ563" s="21"/>
      <c r="AT563" s="21"/>
      <c r="AW563" s="21"/>
      <c r="AZ563" s="21"/>
      <c r="BC563" s="21"/>
      <c r="BF563" s="21"/>
      <c r="BI563" s="21"/>
      <c r="BL563" s="21"/>
      <c r="BO563" s="21"/>
      <c r="BR563" s="21"/>
    </row>
    <row r="564">
      <c r="L564" s="20"/>
      <c r="M564" s="21"/>
      <c r="P564" s="21"/>
      <c r="S564" s="21"/>
      <c r="V564" s="21"/>
      <c r="Y564" s="21"/>
      <c r="AB564" s="21"/>
      <c r="AE564" s="21"/>
      <c r="AH564" s="21"/>
      <c r="AK564" s="21"/>
      <c r="AN564" s="21"/>
      <c r="AQ564" s="21"/>
      <c r="AT564" s="21"/>
      <c r="AW564" s="21"/>
      <c r="AZ564" s="21"/>
      <c r="BC564" s="21"/>
      <c r="BF564" s="21"/>
      <c r="BI564" s="21"/>
      <c r="BL564" s="21"/>
      <c r="BO564" s="21"/>
      <c r="BR564" s="21"/>
    </row>
    <row r="565">
      <c r="L565" s="20"/>
      <c r="M565" s="21"/>
      <c r="P565" s="21"/>
      <c r="S565" s="21"/>
      <c r="V565" s="21"/>
      <c r="Y565" s="21"/>
      <c r="AB565" s="21"/>
      <c r="AE565" s="21"/>
      <c r="AH565" s="21"/>
      <c r="AK565" s="21"/>
      <c r="AN565" s="21"/>
      <c r="AQ565" s="21"/>
      <c r="AT565" s="21"/>
      <c r="AW565" s="21"/>
      <c r="AZ565" s="21"/>
      <c r="BC565" s="21"/>
      <c r="BF565" s="21"/>
      <c r="BI565" s="21"/>
      <c r="BL565" s="21"/>
      <c r="BO565" s="21"/>
      <c r="BR565" s="21"/>
    </row>
    <row r="566">
      <c r="L566" s="20"/>
      <c r="M566" s="21"/>
      <c r="P566" s="21"/>
      <c r="S566" s="21"/>
      <c r="V566" s="21"/>
      <c r="Y566" s="21"/>
      <c r="AB566" s="21"/>
      <c r="AE566" s="21"/>
      <c r="AH566" s="21"/>
      <c r="AK566" s="21"/>
      <c r="AN566" s="21"/>
      <c r="AQ566" s="21"/>
      <c r="AT566" s="21"/>
      <c r="AW566" s="21"/>
      <c r="AZ566" s="21"/>
      <c r="BC566" s="21"/>
      <c r="BF566" s="21"/>
      <c r="BI566" s="21"/>
      <c r="BL566" s="21"/>
      <c r="BO566" s="21"/>
      <c r="BR566" s="21"/>
    </row>
    <row r="567">
      <c r="L567" s="20"/>
      <c r="M567" s="21"/>
      <c r="P567" s="21"/>
      <c r="S567" s="21"/>
      <c r="V567" s="21"/>
      <c r="Y567" s="21"/>
      <c r="AB567" s="21"/>
      <c r="AE567" s="21"/>
      <c r="AH567" s="21"/>
      <c r="AK567" s="21"/>
      <c r="AN567" s="21"/>
      <c r="AQ567" s="21"/>
      <c r="AT567" s="21"/>
      <c r="AW567" s="21"/>
      <c r="AZ567" s="21"/>
      <c r="BC567" s="21"/>
      <c r="BF567" s="21"/>
      <c r="BI567" s="21"/>
      <c r="BL567" s="21"/>
      <c r="BO567" s="21"/>
      <c r="BR567" s="21"/>
    </row>
    <row r="568">
      <c r="L568" s="20"/>
      <c r="M568" s="21"/>
      <c r="P568" s="21"/>
      <c r="S568" s="21"/>
      <c r="V568" s="21"/>
      <c r="Y568" s="21"/>
      <c r="AB568" s="21"/>
      <c r="AE568" s="21"/>
      <c r="AH568" s="21"/>
      <c r="AK568" s="21"/>
      <c r="AN568" s="21"/>
      <c r="AQ568" s="21"/>
      <c r="AT568" s="21"/>
      <c r="AW568" s="21"/>
      <c r="AZ568" s="21"/>
      <c r="BC568" s="21"/>
      <c r="BF568" s="21"/>
      <c r="BI568" s="21"/>
      <c r="BL568" s="21"/>
      <c r="BO568" s="21"/>
      <c r="BR568" s="21"/>
    </row>
    <row r="569">
      <c r="L569" s="20"/>
      <c r="M569" s="21"/>
      <c r="P569" s="21"/>
      <c r="S569" s="21"/>
      <c r="V569" s="21"/>
      <c r="Y569" s="21"/>
      <c r="AB569" s="21"/>
      <c r="AE569" s="21"/>
      <c r="AH569" s="21"/>
      <c r="AK569" s="21"/>
      <c r="AN569" s="21"/>
      <c r="AQ569" s="21"/>
      <c r="AT569" s="21"/>
      <c r="AW569" s="21"/>
      <c r="AZ569" s="21"/>
      <c r="BC569" s="21"/>
      <c r="BF569" s="21"/>
      <c r="BI569" s="21"/>
      <c r="BL569" s="21"/>
      <c r="BO569" s="21"/>
      <c r="BR569" s="21"/>
    </row>
    <row r="570">
      <c r="L570" s="20"/>
      <c r="M570" s="21"/>
      <c r="P570" s="21"/>
      <c r="S570" s="21"/>
      <c r="V570" s="21"/>
      <c r="Y570" s="21"/>
      <c r="AB570" s="21"/>
      <c r="AE570" s="21"/>
      <c r="AH570" s="21"/>
      <c r="AK570" s="21"/>
      <c r="AN570" s="21"/>
      <c r="AQ570" s="21"/>
      <c r="AT570" s="21"/>
      <c r="AW570" s="21"/>
      <c r="AZ570" s="21"/>
      <c r="BC570" s="21"/>
      <c r="BF570" s="21"/>
      <c r="BI570" s="21"/>
      <c r="BL570" s="21"/>
      <c r="BO570" s="21"/>
      <c r="BR570" s="21"/>
    </row>
    <row r="571">
      <c r="L571" s="20"/>
      <c r="M571" s="21"/>
      <c r="P571" s="21"/>
      <c r="S571" s="21"/>
      <c r="V571" s="21"/>
      <c r="Y571" s="21"/>
      <c r="AB571" s="21"/>
      <c r="AE571" s="21"/>
      <c r="AH571" s="21"/>
      <c r="AK571" s="21"/>
      <c r="AN571" s="21"/>
      <c r="AQ571" s="21"/>
      <c r="AT571" s="21"/>
      <c r="AW571" s="21"/>
      <c r="AZ571" s="21"/>
      <c r="BC571" s="21"/>
      <c r="BF571" s="21"/>
      <c r="BI571" s="21"/>
      <c r="BL571" s="21"/>
      <c r="BO571" s="21"/>
      <c r="BR571" s="21"/>
    </row>
    <row r="572">
      <c r="L572" s="20"/>
      <c r="M572" s="21"/>
      <c r="P572" s="21"/>
      <c r="S572" s="21"/>
      <c r="V572" s="21"/>
      <c r="Y572" s="21"/>
      <c r="AB572" s="21"/>
      <c r="AE572" s="21"/>
      <c r="AH572" s="21"/>
      <c r="AK572" s="21"/>
      <c r="AN572" s="21"/>
      <c r="AQ572" s="21"/>
      <c r="AT572" s="21"/>
      <c r="AW572" s="21"/>
      <c r="AZ572" s="21"/>
      <c r="BC572" s="21"/>
      <c r="BF572" s="21"/>
      <c r="BI572" s="21"/>
      <c r="BL572" s="21"/>
      <c r="BO572" s="21"/>
      <c r="BR572" s="21"/>
    </row>
    <row r="573">
      <c r="L573" s="20"/>
      <c r="M573" s="21"/>
      <c r="P573" s="21"/>
      <c r="S573" s="21"/>
      <c r="V573" s="21"/>
      <c r="Y573" s="21"/>
      <c r="AB573" s="21"/>
      <c r="AE573" s="21"/>
      <c r="AH573" s="21"/>
      <c r="AK573" s="21"/>
      <c r="AN573" s="21"/>
      <c r="AQ573" s="21"/>
      <c r="AT573" s="21"/>
      <c r="AW573" s="21"/>
      <c r="AZ573" s="21"/>
      <c r="BC573" s="21"/>
      <c r="BF573" s="21"/>
      <c r="BI573" s="21"/>
      <c r="BL573" s="21"/>
      <c r="BO573" s="21"/>
      <c r="BR573" s="21"/>
    </row>
    <row r="574">
      <c r="L574" s="20"/>
      <c r="M574" s="21"/>
      <c r="P574" s="21"/>
      <c r="S574" s="21"/>
      <c r="V574" s="21"/>
      <c r="Y574" s="21"/>
      <c r="AB574" s="21"/>
      <c r="AE574" s="21"/>
      <c r="AH574" s="21"/>
      <c r="AK574" s="21"/>
      <c r="AN574" s="21"/>
      <c r="AQ574" s="21"/>
      <c r="AT574" s="21"/>
      <c r="AW574" s="21"/>
      <c r="AZ574" s="21"/>
      <c r="BC574" s="21"/>
      <c r="BF574" s="21"/>
      <c r="BI574" s="21"/>
      <c r="BL574" s="21"/>
      <c r="BO574" s="21"/>
      <c r="BR574" s="21"/>
    </row>
    <row r="575">
      <c r="L575" s="20"/>
      <c r="M575" s="21"/>
      <c r="P575" s="21"/>
      <c r="S575" s="21"/>
      <c r="V575" s="21"/>
      <c r="Y575" s="21"/>
      <c r="AB575" s="21"/>
      <c r="AE575" s="21"/>
      <c r="AH575" s="21"/>
      <c r="AK575" s="21"/>
      <c r="AN575" s="21"/>
      <c r="AQ575" s="21"/>
      <c r="AT575" s="21"/>
      <c r="AW575" s="21"/>
      <c r="AZ575" s="21"/>
      <c r="BC575" s="21"/>
      <c r="BF575" s="21"/>
      <c r="BI575" s="21"/>
      <c r="BL575" s="21"/>
      <c r="BO575" s="21"/>
      <c r="BR575" s="21"/>
    </row>
    <row r="576">
      <c r="L576" s="20"/>
      <c r="M576" s="21"/>
      <c r="P576" s="21"/>
      <c r="S576" s="21"/>
      <c r="V576" s="21"/>
      <c r="Y576" s="21"/>
      <c r="AB576" s="21"/>
      <c r="AE576" s="21"/>
      <c r="AH576" s="21"/>
      <c r="AK576" s="21"/>
      <c r="AN576" s="21"/>
      <c r="AQ576" s="21"/>
      <c r="AT576" s="21"/>
      <c r="AW576" s="21"/>
      <c r="AZ576" s="21"/>
      <c r="BC576" s="21"/>
      <c r="BF576" s="21"/>
      <c r="BI576" s="21"/>
      <c r="BL576" s="21"/>
      <c r="BO576" s="21"/>
      <c r="BR576" s="21"/>
    </row>
    <row r="577">
      <c r="L577" s="20"/>
      <c r="M577" s="21"/>
      <c r="P577" s="21"/>
      <c r="S577" s="21"/>
      <c r="V577" s="21"/>
      <c r="Y577" s="21"/>
      <c r="AB577" s="21"/>
      <c r="AE577" s="21"/>
      <c r="AH577" s="21"/>
      <c r="AK577" s="21"/>
      <c r="AN577" s="21"/>
      <c r="AQ577" s="21"/>
      <c r="AT577" s="21"/>
      <c r="AW577" s="21"/>
      <c r="AZ577" s="21"/>
      <c r="BC577" s="21"/>
      <c r="BF577" s="21"/>
      <c r="BI577" s="21"/>
      <c r="BL577" s="21"/>
      <c r="BO577" s="21"/>
      <c r="BR577" s="21"/>
    </row>
    <row r="578">
      <c r="L578" s="20"/>
      <c r="M578" s="21"/>
      <c r="P578" s="21"/>
      <c r="S578" s="21"/>
      <c r="V578" s="21"/>
      <c r="Y578" s="21"/>
      <c r="AB578" s="21"/>
      <c r="AE578" s="21"/>
      <c r="AH578" s="21"/>
      <c r="AK578" s="21"/>
      <c r="AN578" s="21"/>
      <c r="AQ578" s="21"/>
      <c r="AT578" s="21"/>
      <c r="AW578" s="21"/>
      <c r="AZ578" s="21"/>
      <c r="BC578" s="21"/>
      <c r="BF578" s="21"/>
      <c r="BI578" s="21"/>
      <c r="BL578" s="21"/>
      <c r="BO578" s="21"/>
      <c r="BR578" s="21"/>
    </row>
    <row r="579">
      <c r="L579" s="20"/>
      <c r="M579" s="21"/>
      <c r="P579" s="21"/>
      <c r="S579" s="21"/>
      <c r="V579" s="21"/>
      <c r="Y579" s="21"/>
      <c r="AB579" s="21"/>
      <c r="AE579" s="21"/>
      <c r="AH579" s="21"/>
      <c r="AK579" s="21"/>
      <c r="AN579" s="21"/>
      <c r="AQ579" s="21"/>
      <c r="AT579" s="21"/>
      <c r="AW579" s="21"/>
      <c r="AZ579" s="21"/>
      <c r="BC579" s="21"/>
      <c r="BF579" s="21"/>
      <c r="BI579" s="21"/>
      <c r="BL579" s="21"/>
      <c r="BO579" s="21"/>
      <c r="BR579" s="21"/>
    </row>
    <row r="580">
      <c r="L580" s="20"/>
      <c r="M580" s="21"/>
      <c r="P580" s="21"/>
      <c r="S580" s="21"/>
      <c r="V580" s="21"/>
      <c r="Y580" s="21"/>
      <c r="AB580" s="21"/>
      <c r="AE580" s="21"/>
      <c r="AH580" s="21"/>
      <c r="AK580" s="21"/>
      <c r="AN580" s="21"/>
      <c r="AQ580" s="21"/>
      <c r="AT580" s="21"/>
      <c r="AW580" s="21"/>
      <c r="AZ580" s="21"/>
      <c r="BC580" s="21"/>
      <c r="BF580" s="21"/>
      <c r="BI580" s="21"/>
      <c r="BL580" s="21"/>
      <c r="BO580" s="21"/>
      <c r="BR580" s="21"/>
    </row>
    <row r="581">
      <c r="L581" s="20"/>
      <c r="M581" s="21"/>
      <c r="P581" s="21"/>
      <c r="S581" s="21"/>
      <c r="V581" s="21"/>
      <c r="Y581" s="21"/>
      <c r="AB581" s="21"/>
      <c r="AE581" s="21"/>
      <c r="AH581" s="21"/>
      <c r="AK581" s="21"/>
      <c r="AN581" s="21"/>
      <c r="AQ581" s="21"/>
      <c r="AT581" s="21"/>
      <c r="AW581" s="21"/>
      <c r="AZ581" s="21"/>
      <c r="BC581" s="21"/>
      <c r="BF581" s="21"/>
      <c r="BI581" s="21"/>
      <c r="BL581" s="21"/>
      <c r="BO581" s="21"/>
      <c r="BR581" s="21"/>
    </row>
    <row r="582">
      <c r="L582" s="20"/>
      <c r="M582" s="21"/>
      <c r="P582" s="21"/>
      <c r="S582" s="21"/>
      <c r="V582" s="21"/>
      <c r="Y582" s="21"/>
      <c r="AB582" s="21"/>
      <c r="AE582" s="21"/>
      <c r="AH582" s="21"/>
      <c r="AK582" s="21"/>
      <c r="AN582" s="21"/>
      <c r="AQ582" s="21"/>
      <c r="AT582" s="21"/>
      <c r="AW582" s="21"/>
      <c r="AZ582" s="21"/>
      <c r="BC582" s="21"/>
      <c r="BF582" s="21"/>
      <c r="BI582" s="21"/>
      <c r="BL582" s="21"/>
      <c r="BO582" s="21"/>
      <c r="BR582" s="21"/>
    </row>
    <row r="583">
      <c r="L583" s="20"/>
      <c r="M583" s="21"/>
      <c r="P583" s="21"/>
      <c r="S583" s="21"/>
      <c r="V583" s="21"/>
      <c r="Y583" s="21"/>
      <c r="AB583" s="21"/>
      <c r="AE583" s="21"/>
      <c r="AH583" s="21"/>
      <c r="AK583" s="21"/>
      <c r="AN583" s="21"/>
      <c r="AQ583" s="21"/>
      <c r="AT583" s="21"/>
      <c r="AW583" s="21"/>
      <c r="AZ583" s="21"/>
      <c r="BC583" s="21"/>
      <c r="BF583" s="21"/>
      <c r="BI583" s="21"/>
      <c r="BL583" s="21"/>
      <c r="BO583" s="21"/>
      <c r="BR583" s="21"/>
    </row>
    <row r="584">
      <c r="L584" s="20"/>
      <c r="M584" s="21"/>
      <c r="P584" s="21"/>
      <c r="S584" s="21"/>
      <c r="V584" s="21"/>
      <c r="Y584" s="21"/>
      <c r="AB584" s="21"/>
      <c r="AE584" s="21"/>
      <c r="AH584" s="21"/>
      <c r="AK584" s="21"/>
      <c r="AN584" s="21"/>
      <c r="AQ584" s="21"/>
      <c r="AT584" s="21"/>
      <c r="AW584" s="21"/>
      <c r="AZ584" s="21"/>
      <c r="BC584" s="21"/>
      <c r="BF584" s="21"/>
      <c r="BI584" s="21"/>
      <c r="BL584" s="21"/>
      <c r="BO584" s="21"/>
      <c r="BR584" s="21"/>
    </row>
    <row r="585">
      <c r="L585" s="20"/>
      <c r="M585" s="21"/>
      <c r="P585" s="21"/>
      <c r="S585" s="21"/>
      <c r="V585" s="21"/>
      <c r="Y585" s="21"/>
      <c r="AB585" s="21"/>
      <c r="AE585" s="21"/>
      <c r="AH585" s="21"/>
      <c r="AK585" s="21"/>
      <c r="AN585" s="21"/>
      <c r="AQ585" s="21"/>
      <c r="AT585" s="21"/>
      <c r="AW585" s="21"/>
      <c r="AZ585" s="21"/>
      <c r="BC585" s="21"/>
      <c r="BF585" s="21"/>
      <c r="BI585" s="21"/>
      <c r="BL585" s="21"/>
      <c r="BO585" s="21"/>
      <c r="BR585" s="21"/>
    </row>
    <row r="586">
      <c r="L586" s="20"/>
      <c r="M586" s="21"/>
      <c r="P586" s="21"/>
      <c r="S586" s="21"/>
      <c r="V586" s="21"/>
      <c r="Y586" s="21"/>
      <c r="AB586" s="21"/>
      <c r="AE586" s="21"/>
      <c r="AH586" s="21"/>
      <c r="AK586" s="21"/>
      <c r="AN586" s="21"/>
      <c r="AQ586" s="21"/>
      <c r="AT586" s="21"/>
      <c r="AW586" s="21"/>
      <c r="AZ586" s="21"/>
      <c r="BC586" s="21"/>
      <c r="BF586" s="21"/>
      <c r="BI586" s="21"/>
      <c r="BL586" s="21"/>
      <c r="BO586" s="21"/>
      <c r="BR586" s="21"/>
    </row>
    <row r="587">
      <c r="L587" s="20"/>
      <c r="M587" s="21"/>
      <c r="P587" s="21"/>
      <c r="S587" s="21"/>
      <c r="V587" s="21"/>
      <c r="Y587" s="21"/>
      <c r="AB587" s="21"/>
      <c r="AE587" s="21"/>
      <c r="AH587" s="21"/>
      <c r="AK587" s="21"/>
      <c r="AN587" s="21"/>
      <c r="AQ587" s="21"/>
      <c r="AT587" s="21"/>
      <c r="AW587" s="21"/>
      <c r="AZ587" s="21"/>
      <c r="BC587" s="21"/>
      <c r="BF587" s="21"/>
      <c r="BI587" s="21"/>
      <c r="BL587" s="21"/>
      <c r="BO587" s="21"/>
      <c r="BR587" s="21"/>
    </row>
    <row r="588">
      <c r="L588" s="20"/>
      <c r="M588" s="21"/>
      <c r="P588" s="21"/>
      <c r="S588" s="21"/>
      <c r="V588" s="21"/>
      <c r="Y588" s="21"/>
      <c r="AB588" s="21"/>
      <c r="AE588" s="21"/>
      <c r="AH588" s="21"/>
      <c r="AK588" s="21"/>
      <c r="AN588" s="21"/>
      <c r="AQ588" s="21"/>
      <c r="AT588" s="21"/>
      <c r="AW588" s="21"/>
      <c r="AZ588" s="21"/>
      <c r="BC588" s="21"/>
      <c r="BF588" s="21"/>
      <c r="BI588" s="21"/>
      <c r="BL588" s="21"/>
      <c r="BO588" s="21"/>
      <c r="BR588" s="21"/>
    </row>
    <row r="589">
      <c r="L589" s="20"/>
      <c r="M589" s="21"/>
      <c r="P589" s="21"/>
      <c r="S589" s="21"/>
      <c r="V589" s="21"/>
      <c r="Y589" s="21"/>
      <c r="AB589" s="21"/>
      <c r="AE589" s="21"/>
      <c r="AH589" s="21"/>
      <c r="AK589" s="21"/>
      <c r="AN589" s="21"/>
      <c r="AQ589" s="21"/>
      <c r="AT589" s="21"/>
      <c r="AW589" s="21"/>
      <c r="AZ589" s="21"/>
      <c r="BC589" s="21"/>
      <c r="BF589" s="21"/>
      <c r="BI589" s="21"/>
      <c r="BL589" s="21"/>
      <c r="BO589" s="21"/>
      <c r="BR589" s="21"/>
    </row>
    <row r="590">
      <c r="L590" s="20"/>
      <c r="M590" s="21"/>
      <c r="P590" s="21"/>
      <c r="S590" s="21"/>
      <c r="V590" s="21"/>
      <c r="Y590" s="21"/>
      <c r="AB590" s="21"/>
      <c r="AE590" s="21"/>
      <c r="AH590" s="21"/>
      <c r="AK590" s="21"/>
      <c r="AN590" s="21"/>
      <c r="AQ590" s="21"/>
      <c r="AT590" s="21"/>
      <c r="AW590" s="21"/>
      <c r="AZ590" s="21"/>
      <c r="BC590" s="21"/>
      <c r="BF590" s="21"/>
      <c r="BI590" s="21"/>
      <c r="BL590" s="21"/>
      <c r="BO590" s="21"/>
      <c r="BR590" s="21"/>
    </row>
    <row r="591">
      <c r="L591" s="20"/>
      <c r="M591" s="21"/>
      <c r="P591" s="21"/>
      <c r="S591" s="21"/>
      <c r="V591" s="21"/>
      <c r="Y591" s="21"/>
      <c r="AB591" s="21"/>
      <c r="AE591" s="21"/>
      <c r="AH591" s="21"/>
      <c r="AK591" s="21"/>
      <c r="AN591" s="21"/>
      <c r="AQ591" s="21"/>
      <c r="AT591" s="21"/>
      <c r="AW591" s="21"/>
      <c r="AZ591" s="21"/>
      <c r="BC591" s="21"/>
      <c r="BF591" s="21"/>
      <c r="BI591" s="21"/>
      <c r="BL591" s="21"/>
      <c r="BO591" s="21"/>
      <c r="BR591" s="21"/>
    </row>
    <row r="592">
      <c r="L592" s="20"/>
      <c r="M592" s="21"/>
      <c r="P592" s="21"/>
      <c r="S592" s="21"/>
      <c r="V592" s="21"/>
      <c r="Y592" s="21"/>
      <c r="AB592" s="21"/>
      <c r="AE592" s="21"/>
      <c r="AH592" s="21"/>
      <c r="AK592" s="21"/>
      <c r="AN592" s="21"/>
      <c r="AQ592" s="21"/>
      <c r="AT592" s="21"/>
      <c r="AW592" s="21"/>
      <c r="AZ592" s="21"/>
      <c r="BC592" s="21"/>
      <c r="BF592" s="21"/>
      <c r="BI592" s="21"/>
      <c r="BL592" s="21"/>
      <c r="BO592" s="21"/>
      <c r="BR592" s="21"/>
    </row>
    <row r="593">
      <c r="L593" s="20"/>
      <c r="M593" s="21"/>
      <c r="P593" s="21"/>
      <c r="S593" s="21"/>
      <c r="V593" s="21"/>
      <c r="Y593" s="21"/>
      <c r="AB593" s="21"/>
      <c r="AE593" s="21"/>
      <c r="AH593" s="21"/>
      <c r="AK593" s="21"/>
      <c r="AN593" s="21"/>
      <c r="AQ593" s="21"/>
      <c r="AT593" s="21"/>
      <c r="AW593" s="21"/>
      <c r="AZ593" s="21"/>
      <c r="BC593" s="21"/>
      <c r="BF593" s="21"/>
      <c r="BI593" s="21"/>
      <c r="BL593" s="21"/>
      <c r="BO593" s="21"/>
      <c r="BR593" s="21"/>
    </row>
    <row r="594">
      <c r="L594" s="20"/>
      <c r="M594" s="21"/>
      <c r="P594" s="21"/>
      <c r="S594" s="21"/>
      <c r="V594" s="21"/>
      <c r="Y594" s="21"/>
      <c r="AB594" s="21"/>
      <c r="AE594" s="21"/>
      <c r="AH594" s="21"/>
      <c r="AK594" s="21"/>
      <c r="AN594" s="21"/>
      <c r="AQ594" s="21"/>
      <c r="AT594" s="21"/>
      <c r="AW594" s="21"/>
      <c r="AZ594" s="21"/>
      <c r="BC594" s="21"/>
      <c r="BF594" s="21"/>
      <c r="BI594" s="21"/>
      <c r="BL594" s="21"/>
      <c r="BO594" s="21"/>
      <c r="BR594" s="21"/>
    </row>
    <row r="595">
      <c r="L595" s="20"/>
      <c r="M595" s="21"/>
      <c r="P595" s="21"/>
      <c r="S595" s="21"/>
      <c r="V595" s="21"/>
      <c r="Y595" s="21"/>
      <c r="AB595" s="21"/>
      <c r="AE595" s="21"/>
      <c r="AH595" s="21"/>
      <c r="AK595" s="21"/>
      <c r="AN595" s="21"/>
      <c r="AQ595" s="21"/>
      <c r="AT595" s="21"/>
      <c r="AW595" s="21"/>
      <c r="AZ595" s="21"/>
      <c r="BC595" s="21"/>
      <c r="BF595" s="21"/>
      <c r="BI595" s="21"/>
      <c r="BL595" s="21"/>
      <c r="BO595" s="21"/>
      <c r="BR595" s="21"/>
    </row>
    <row r="596">
      <c r="L596" s="20"/>
      <c r="M596" s="21"/>
      <c r="P596" s="21"/>
      <c r="S596" s="21"/>
      <c r="V596" s="21"/>
      <c r="Y596" s="21"/>
      <c r="AB596" s="21"/>
      <c r="AE596" s="21"/>
      <c r="AH596" s="21"/>
      <c r="AK596" s="21"/>
      <c r="AN596" s="21"/>
      <c r="AQ596" s="21"/>
      <c r="AT596" s="21"/>
      <c r="AW596" s="21"/>
      <c r="AZ596" s="21"/>
      <c r="BC596" s="21"/>
      <c r="BF596" s="21"/>
      <c r="BI596" s="21"/>
      <c r="BL596" s="21"/>
      <c r="BO596" s="21"/>
      <c r="BR596" s="21"/>
    </row>
    <row r="597">
      <c r="L597" s="20"/>
      <c r="M597" s="21"/>
      <c r="P597" s="21"/>
      <c r="S597" s="21"/>
      <c r="V597" s="21"/>
      <c r="Y597" s="21"/>
      <c r="AB597" s="21"/>
      <c r="AE597" s="21"/>
      <c r="AH597" s="21"/>
      <c r="AK597" s="21"/>
      <c r="AN597" s="21"/>
      <c r="AQ597" s="21"/>
      <c r="AT597" s="21"/>
      <c r="AW597" s="21"/>
      <c r="AZ597" s="21"/>
      <c r="BC597" s="21"/>
      <c r="BF597" s="21"/>
      <c r="BI597" s="21"/>
      <c r="BL597" s="21"/>
      <c r="BO597" s="21"/>
      <c r="BR597" s="21"/>
    </row>
    <row r="598">
      <c r="L598" s="20"/>
      <c r="M598" s="21"/>
      <c r="P598" s="21"/>
      <c r="S598" s="21"/>
      <c r="V598" s="21"/>
      <c r="Y598" s="21"/>
      <c r="AB598" s="21"/>
      <c r="AE598" s="21"/>
      <c r="AH598" s="21"/>
      <c r="AK598" s="21"/>
      <c r="AN598" s="21"/>
      <c r="AQ598" s="21"/>
      <c r="AT598" s="21"/>
      <c r="AW598" s="21"/>
      <c r="AZ598" s="21"/>
      <c r="BC598" s="21"/>
      <c r="BF598" s="21"/>
      <c r="BI598" s="21"/>
      <c r="BL598" s="21"/>
      <c r="BO598" s="21"/>
      <c r="BR598" s="21"/>
    </row>
    <row r="599">
      <c r="L599" s="20"/>
      <c r="M599" s="21"/>
      <c r="P599" s="21"/>
      <c r="S599" s="21"/>
      <c r="V599" s="21"/>
      <c r="Y599" s="21"/>
      <c r="AB599" s="21"/>
      <c r="AE599" s="21"/>
      <c r="AH599" s="21"/>
      <c r="AK599" s="21"/>
      <c r="AN599" s="21"/>
      <c r="AQ599" s="21"/>
      <c r="AT599" s="21"/>
      <c r="AW599" s="21"/>
      <c r="AZ599" s="21"/>
      <c r="BC599" s="21"/>
      <c r="BF599" s="21"/>
      <c r="BI599" s="21"/>
      <c r="BL599" s="21"/>
      <c r="BO599" s="21"/>
      <c r="BR599" s="21"/>
    </row>
    <row r="600">
      <c r="L600" s="20"/>
      <c r="M600" s="21"/>
      <c r="P600" s="21"/>
      <c r="S600" s="21"/>
      <c r="V600" s="21"/>
      <c r="Y600" s="21"/>
      <c r="AB600" s="21"/>
      <c r="AE600" s="21"/>
      <c r="AH600" s="21"/>
      <c r="AK600" s="21"/>
      <c r="AN600" s="21"/>
      <c r="AQ600" s="21"/>
      <c r="AT600" s="21"/>
      <c r="AW600" s="21"/>
      <c r="AZ600" s="21"/>
      <c r="BC600" s="21"/>
      <c r="BF600" s="21"/>
      <c r="BI600" s="21"/>
      <c r="BL600" s="21"/>
      <c r="BO600" s="21"/>
      <c r="BR600" s="21"/>
    </row>
    <row r="601">
      <c r="L601" s="20"/>
      <c r="M601" s="21"/>
      <c r="P601" s="21"/>
      <c r="S601" s="21"/>
      <c r="V601" s="21"/>
      <c r="Y601" s="21"/>
      <c r="AB601" s="21"/>
      <c r="AE601" s="21"/>
      <c r="AH601" s="21"/>
      <c r="AK601" s="21"/>
      <c r="AN601" s="21"/>
      <c r="AQ601" s="21"/>
      <c r="AT601" s="21"/>
      <c r="AW601" s="21"/>
      <c r="AZ601" s="21"/>
      <c r="BC601" s="21"/>
      <c r="BF601" s="21"/>
      <c r="BI601" s="21"/>
      <c r="BL601" s="21"/>
      <c r="BO601" s="21"/>
      <c r="BR601" s="21"/>
    </row>
    <row r="602">
      <c r="L602" s="20"/>
      <c r="M602" s="21"/>
      <c r="P602" s="21"/>
      <c r="S602" s="21"/>
      <c r="V602" s="21"/>
      <c r="Y602" s="21"/>
      <c r="AB602" s="21"/>
      <c r="AE602" s="21"/>
      <c r="AH602" s="21"/>
      <c r="AK602" s="21"/>
      <c r="AN602" s="21"/>
      <c r="AQ602" s="21"/>
      <c r="AT602" s="21"/>
      <c r="AW602" s="21"/>
      <c r="AZ602" s="21"/>
      <c r="BC602" s="21"/>
      <c r="BF602" s="21"/>
      <c r="BI602" s="21"/>
      <c r="BL602" s="21"/>
      <c r="BO602" s="21"/>
      <c r="BR602" s="21"/>
    </row>
    <row r="603">
      <c r="L603" s="20"/>
      <c r="M603" s="21"/>
      <c r="P603" s="21"/>
      <c r="S603" s="21"/>
      <c r="V603" s="21"/>
      <c r="Y603" s="21"/>
      <c r="AB603" s="21"/>
      <c r="AE603" s="21"/>
      <c r="AH603" s="21"/>
      <c r="AK603" s="21"/>
      <c r="AN603" s="21"/>
      <c r="AQ603" s="21"/>
      <c r="AT603" s="21"/>
      <c r="AW603" s="21"/>
      <c r="AZ603" s="21"/>
      <c r="BC603" s="21"/>
      <c r="BF603" s="21"/>
      <c r="BI603" s="21"/>
      <c r="BL603" s="21"/>
      <c r="BO603" s="21"/>
      <c r="BR603" s="21"/>
    </row>
    <row r="604">
      <c r="L604" s="20"/>
      <c r="M604" s="21"/>
      <c r="P604" s="21"/>
      <c r="S604" s="21"/>
      <c r="V604" s="21"/>
      <c r="Y604" s="21"/>
      <c r="AB604" s="21"/>
      <c r="AE604" s="21"/>
      <c r="AH604" s="21"/>
      <c r="AK604" s="21"/>
      <c r="AN604" s="21"/>
      <c r="AQ604" s="21"/>
      <c r="AT604" s="21"/>
      <c r="AW604" s="21"/>
      <c r="AZ604" s="21"/>
      <c r="BC604" s="21"/>
      <c r="BF604" s="21"/>
      <c r="BI604" s="21"/>
      <c r="BL604" s="21"/>
      <c r="BO604" s="21"/>
      <c r="BR604" s="21"/>
    </row>
    <row r="605">
      <c r="L605" s="20"/>
      <c r="M605" s="21"/>
      <c r="P605" s="21"/>
      <c r="S605" s="21"/>
      <c r="V605" s="21"/>
      <c r="Y605" s="21"/>
      <c r="AB605" s="21"/>
      <c r="AE605" s="21"/>
      <c r="AH605" s="21"/>
      <c r="AK605" s="21"/>
      <c r="AN605" s="21"/>
      <c r="AQ605" s="21"/>
      <c r="AT605" s="21"/>
      <c r="AW605" s="21"/>
      <c r="AZ605" s="21"/>
      <c r="BC605" s="21"/>
      <c r="BF605" s="21"/>
      <c r="BI605" s="21"/>
      <c r="BL605" s="21"/>
      <c r="BO605" s="21"/>
      <c r="BR605" s="21"/>
    </row>
    <row r="606">
      <c r="L606" s="20"/>
      <c r="M606" s="21"/>
      <c r="P606" s="21"/>
      <c r="S606" s="21"/>
      <c r="V606" s="21"/>
      <c r="Y606" s="21"/>
      <c r="AB606" s="21"/>
      <c r="AE606" s="21"/>
      <c r="AH606" s="21"/>
      <c r="AK606" s="21"/>
      <c r="AN606" s="21"/>
      <c r="AQ606" s="21"/>
      <c r="AT606" s="21"/>
      <c r="AW606" s="21"/>
      <c r="AZ606" s="21"/>
      <c r="BC606" s="21"/>
      <c r="BF606" s="21"/>
      <c r="BI606" s="21"/>
      <c r="BL606" s="21"/>
      <c r="BO606" s="21"/>
      <c r="BR606" s="21"/>
    </row>
    <row r="607">
      <c r="L607" s="20"/>
      <c r="M607" s="21"/>
      <c r="P607" s="21"/>
      <c r="S607" s="21"/>
      <c r="V607" s="21"/>
      <c r="Y607" s="21"/>
      <c r="AB607" s="21"/>
      <c r="AE607" s="21"/>
      <c r="AH607" s="21"/>
      <c r="AK607" s="21"/>
      <c r="AN607" s="21"/>
      <c r="AQ607" s="21"/>
      <c r="AT607" s="21"/>
      <c r="AW607" s="21"/>
      <c r="AZ607" s="21"/>
      <c r="BC607" s="21"/>
      <c r="BF607" s="21"/>
      <c r="BI607" s="21"/>
      <c r="BL607" s="21"/>
      <c r="BO607" s="21"/>
      <c r="BR607" s="21"/>
    </row>
    <row r="608">
      <c r="L608" s="20"/>
      <c r="M608" s="21"/>
      <c r="P608" s="21"/>
      <c r="S608" s="21"/>
      <c r="V608" s="21"/>
      <c r="Y608" s="21"/>
      <c r="AB608" s="21"/>
      <c r="AE608" s="21"/>
      <c r="AH608" s="21"/>
      <c r="AK608" s="21"/>
      <c r="AN608" s="21"/>
      <c r="AQ608" s="21"/>
      <c r="AT608" s="21"/>
      <c r="AW608" s="21"/>
      <c r="AZ608" s="21"/>
      <c r="BC608" s="21"/>
      <c r="BF608" s="21"/>
      <c r="BI608" s="21"/>
      <c r="BL608" s="21"/>
      <c r="BO608" s="21"/>
      <c r="BR608" s="21"/>
    </row>
    <row r="609">
      <c r="L609" s="20"/>
      <c r="M609" s="21"/>
      <c r="P609" s="21"/>
      <c r="S609" s="21"/>
      <c r="V609" s="21"/>
      <c r="Y609" s="21"/>
      <c r="AB609" s="21"/>
      <c r="AE609" s="21"/>
      <c r="AH609" s="21"/>
      <c r="AK609" s="21"/>
      <c r="AN609" s="21"/>
      <c r="AQ609" s="21"/>
      <c r="AT609" s="21"/>
      <c r="AW609" s="21"/>
      <c r="AZ609" s="21"/>
      <c r="BC609" s="21"/>
      <c r="BF609" s="21"/>
      <c r="BI609" s="21"/>
      <c r="BL609" s="21"/>
      <c r="BO609" s="21"/>
      <c r="BR609" s="21"/>
    </row>
    <row r="610">
      <c r="L610" s="20"/>
      <c r="M610" s="21"/>
      <c r="P610" s="21"/>
      <c r="S610" s="21"/>
      <c r="V610" s="21"/>
      <c r="Y610" s="21"/>
      <c r="AB610" s="21"/>
      <c r="AE610" s="21"/>
      <c r="AH610" s="21"/>
      <c r="AK610" s="21"/>
      <c r="AN610" s="21"/>
      <c r="AQ610" s="21"/>
      <c r="AT610" s="21"/>
      <c r="AW610" s="21"/>
      <c r="AZ610" s="21"/>
      <c r="BC610" s="21"/>
      <c r="BF610" s="21"/>
      <c r="BI610" s="21"/>
      <c r="BL610" s="21"/>
      <c r="BO610" s="21"/>
      <c r="BR610" s="21"/>
    </row>
    <row r="611">
      <c r="L611" s="20"/>
      <c r="M611" s="21"/>
      <c r="P611" s="21"/>
      <c r="S611" s="21"/>
      <c r="V611" s="21"/>
      <c r="Y611" s="21"/>
      <c r="AB611" s="21"/>
      <c r="AE611" s="21"/>
      <c r="AH611" s="21"/>
      <c r="AK611" s="21"/>
      <c r="AN611" s="21"/>
      <c r="AQ611" s="21"/>
      <c r="AT611" s="21"/>
      <c r="AW611" s="21"/>
      <c r="AZ611" s="21"/>
      <c r="BC611" s="21"/>
      <c r="BF611" s="21"/>
      <c r="BI611" s="21"/>
      <c r="BL611" s="21"/>
      <c r="BO611" s="21"/>
      <c r="BR611" s="21"/>
    </row>
    <row r="612">
      <c r="L612" s="20"/>
      <c r="M612" s="21"/>
      <c r="P612" s="21"/>
      <c r="S612" s="21"/>
      <c r="V612" s="21"/>
      <c r="Y612" s="21"/>
      <c r="AB612" s="21"/>
      <c r="AE612" s="21"/>
      <c r="AH612" s="21"/>
      <c r="AK612" s="21"/>
      <c r="AN612" s="21"/>
      <c r="AQ612" s="21"/>
      <c r="AT612" s="21"/>
      <c r="AW612" s="21"/>
      <c r="AZ612" s="21"/>
      <c r="BC612" s="21"/>
      <c r="BF612" s="21"/>
      <c r="BI612" s="21"/>
      <c r="BL612" s="21"/>
      <c r="BO612" s="21"/>
      <c r="BR612" s="21"/>
    </row>
    <row r="613">
      <c r="L613" s="20"/>
      <c r="M613" s="21"/>
      <c r="P613" s="21"/>
      <c r="S613" s="21"/>
      <c r="V613" s="21"/>
      <c r="Y613" s="21"/>
      <c r="AB613" s="21"/>
      <c r="AE613" s="21"/>
      <c r="AH613" s="21"/>
      <c r="AK613" s="21"/>
      <c r="AN613" s="21"/>
      <c r="AQ613" s="21"/>
      <c r="AT613" s="21"/>
      <c r="AW613" s="21"/>
      <c r="AZ613" s="21"/>
      <c r="BC613" s="21"/>
      <c r="BF613" s="21"/>
      <c r="BI613" s="21"/>
      <c r="BL613" s="21"/>
      <c r="BO613" s="21"/>
      <c r="BR613" s="21"/>
    </row>
    <row r="614">
      <c r="L614" s="20"/>
      <c r="M614" s="21"/>
      <c r="P614" s="21"/>
      <c r="S614" s="21"/>
      <c r="V614" s="21"/>
      <c r="Y614" s="21"/>
      <c r="AB614" s="21"/>
      <c r="AE614" s="21"/>
      <c r="AH614" s="21"/>
      <c r="AK614" s="21"/>
      <c r="AN614" s="21"/>
      <c r="AQ614" s="21"/>
      <c r="AT614" s="21"/>
      <c r="AW614" s="21"/>
      <c r="AZ614" s="21"/>
      <c r="BC614" s="21"/>
      <c r="BF614" s="21"/>
      <c r="BI614" s="21"/>
      <c r="BL614" s="21"/>
      <c r="BO614" s="21"/>
      <c r="BR614" s="21"/>
    </row>
    <row r="615">
      <c r="L615" s="20"/>
      <c r="M615" s="21"/>
      <c r="P615" s="21"/>
      <c r="S615" s="21"/>
      <c r="V615" s="21"/>
      <c r="Y615" s="21"/>
      <c r="AB615" s="21"/>
      <c r="AE615" s="21"/>
      <c r="AH615" s="21"/>
      <c r="AK615" s="21"/>
      <c r="AN615" s="21"/>
      <c r="AQ615" s="21"/>
      <c r="AT615" s="21"/>
      <c r="AW615" s="21"/>
      <c r="AZ615" s="21"/>
      <c r="BC615" s="21"/>
      <c r="BF615" s="21"/>
      <c r="BI615" s="21"/>
      <c r="BL615" s="21"/>
      <c r="BO615" s="21"/>
      <c r="BR615" s="21"/>
    </row>
    <row r="616">
      <c r="L616" s="20"/>
      <c r="M616" s="21"/>
      <c r="P616" s="21"/>
      <c r="S616" s="21"/>
      <c r="V616" s="21"/>
      <c r="Y616" s="21"/>
      <c r="AB616" s="21"/>
      <c r="AE616" s="21"/>
      <c r="AH616" s="21"/>
      <c r="AK616" s="21"/>
      <c r="AN616" s="21"/>
      <c r="AQ616" s="21"/>
      <c r="AT616" s="21"/>
      <c r="AW616" s="21"/>
      <c r="AZ616" s="21"/>
      <c r="BC616" s="21"/>
      <c r="BF616" s="21"/>
      <c r="BI616" s="21"/>
      <c r="BL616" s="21"/>
      <c r="BO616" s="21"/>
      <c r="BR616" s="21"/>
    </row>
    <row r="617">
      <c r="L617" s="20"/>
      <c r="M617" s="21"/>
      <c r="P617" s="21"/>
      <c r="S617" s="21"/>
      <c r="V617" s="21"/>
      <c r="Y617" s="21"/>
      <c r="AB617" s="21"/>
      <c r="AE617" s="21"/>
      <c r="AH617" s="21"/>
      <c r="AK617" s="21"/>
      <c r="AN617" s="21"/>
      <c r="AQ617" s="21"/>
      <c r="AT617" s="21"/>
      <c r="AW617" s="21"/>
      <c r="AZ617" s="21"/>
      <c r="BC617" s="21"/>
      <c r="BF617" s="21"/>
      <c r="BI617" s="21"/>
      <c r="BL617" s="21"/>
      <c r="BO617" s="21"/>
      <c r="BR617" s="21"/>
    </row>
    <row r="618">
      <c r="L618" s="20"/>
      <c r="M618" s="21"/>
      <c r="P618" s="21"/>
      <c r="S618" s="21"/>
      <c r="V618" s="21"/>
      <c r="Y618" s="21"/>
      <c r="AB618" s="21"/>
      <c r="AE618" s="21"/>
      <c r="AH618" s="21"/>
      <c r="AK618" s="21"/>
      <c r="AN618" s="21"/>
      <c r="AQ618" s="21"/>
      <c r="AT618" s="21"/>
      <c r="AW618" s="21"/>
      <c r="AZ618" s="21"/>
      <c r="BC618" s="21"/>
      <c r="BF618" s="21"/>
      <c r="BI618" s="21"/>
      <c r="BL618" s="21"/>
      <c r="BO618" s="21"/>
      <c r="BR618" s="21"/>
    </row>
    <row r="619">
      <c r="L619" s="20"/>
      <c r="M619" s="21"/>
      <c r="P619" s="21"/>
      <c r="S619" s="21"/>
      <c r="V619" s="21"/>
      <c r="Y619" s="21"/>
      <c r="AB619" s="21"/>
      <c r="AE619" s="21"/>
      <c r="AH619" s="21"/>
      <c r="AK619" s="21"/>
      <c r="AN619" s="21"/>
      <c r="AQ619" s="21"/>
      <c r="AT619" s="21"/>
      <c r="AW619" s="21"/>
      <c r="AZ619" s="21"/>
      <c r="BC619" s="21"/>
      <c r="BF619" s="21"/>
      <c r="BI619" s="21"/>
      <c r="BL619" s="21"/>
      <c r="BO619" s="21"/>
      <c r="BR619" s="21"/>
    </row>
    <row r="620">
      <c r="L620" s="20"/>
      <c r="M620" s="21"/>
      <c r="P620" s="21"/>
      <c r="S620" s="21"/>
      <c r="V620" s="21"/>
      <c r="Y620" s="21"/>
      <c r="AB620" s="21"/>
      <c r="AE620" s="21"/>
      <c r="AH620" s="21"/>
      <c r="AK620" s="21"/>
      <c r="AN620" s="21"/>
      <c r="AQ620" s="21"/>
      <c r="AT620" s="21"/>
      <c r="AW620" s="21"/>
      <c r="AZ620" s="21"/>
      <c r="BC620" s="21"/>
      <c r="BF620" s="21"/>
      <c r="BI620" s="21"/>
      <c r="BL620" s="21"/>
      <c r="BO620" s="21"/>
      <c r="BR620" s="21"/>
    </row>
    <row r="621">
      <c r="L621" s="20"/>
      <c r="M621" s="21"/>
      <c r="P621" s="21"/>
      <c r="S621" s="21"/>
      <c r="V621" s="21"/>
      <c r="Y621" s="21"/>
      <c r="AB621" s="21"/>
      <c r="AE621" s="21"/>
      <c r="AH621" s="21"/>
      <c r="AK621" s="21"/>
      <c r="AN621" s="21"/>
      <c r="AQ621" s="21"/>
      <c r="AT621" s="21"/>
      <c r="AW621" s="21"/>
      <c r="AZ621" s="21"/>
      <c r="BC621" s="21"/>
      <c r="BF621" s="21"/>
      <c r="BI621" s="21"/>
      <c r="BL621" s="21"/>
      <c r="BO621" s="21"/>
      <c r="BR621" s="21"/>
    </row>
    <row r="622">
      <c r="L622" s="20"/>
      <c r="M622" s="21"/>
      <c r="P622" s="21"/>
      <c r="S622" s="21"/>
      <c r="V622" s="21"/>
      <c r="Y622" s="21"/>
      <c r="AB622" s="21"/>
      <c r="AE622" s="21"/>
      <c r="AH622" s="21"/>
      <c r="AK622" s="21"/>
      <c r="AN622" s="21"/>
      <c r="AQ622" s="21"/>
      <c r="AT622" s="21"/>
      <c r="AW622" s="21"/>
      <c r="AZ622" s="21"/>
      <c r="BC622" s="21"/>
      <c r="BF622" s="21"/>
      <c r="BI622" s="21"/>
      <c r="BL622" s="21"/>
      <c r="BO622" s="21"/>
      <c r="BR622" s="21"/>
    </row>
    <row r="623">
      <c r="L623" s="20"/>
      <c r="M623" s="21"/>
      <c r="P623" s="21"/>
      <c r="S623" s="21"/>
      <c r="V623" s="21"/>
      <c r="Y623" s="21"/>
      <c r="AB623" s="21"/>
      <c r="AE623" s="21"/>
      <c r="AH623" s="21"/>
      <c r="AK623" s="21"/>
      <c r="AN623" s="21"/>
      <c r="AQ623" s="21"/>
      <c r="AT623" s="21"/>
      <c r="AW623" s="21"/>
      <c r="AZ623" s="21"/>
      <c r="BC623" s="21"/>
      <c r="BF623" s="21"/>
      <c r="BI623" s="21"/>
      <c r="BL623" s="21"/>
      <c r="BO623" s="21"/>
      <c r="BR623" s="21"/>
    </row>
    <row r="624">
      <c r="L624" s="20"/>
      <c r="M624" s="21"/>
      <c r="P624" s="21"/>
      <c r="S624" s="21"/>
      <c r="V624" s="21"/>
      <c r="Y624" s="21"/>
      <c r="AB624" s="21"/>
      <c r="AE624" s="21"/>
      <c r="AH624" s="21"/>
      <c r="AK624" s="21"/>
      <c r="AN624" s="21"/>
      <c r="AQ624" s="21"/>
      <c r="AT624" s="21"/>
      <c r="AW624" s="21"/>
      <c r="AZ624" s="21"/>
      <c r="BC624" s="21"/>
      <c r="BF624" s="21"/>
      <c r="BI624" s="21"/>
      <c r="BL624" s="21"/>
      <c r="BO624" s="21"/>
      <c r="BR624" s="21"/>
    </row>
    <row r="625">
      <c r="L625" s="20"/>
      <c r="M625" s="21"/>
      <c r="P625" s="21"/>
      <c r="S625" s="21"/>
      <c r="V625" s="21"/>
      <c r="Y625" s="21"/>
      <c r="AB625" s="21"/>
      <c r="AE625" s="21"/>
      <c r="AH625" s="21"/>
      <c r="AK625" s="21"/>
      <c r="AN625" s="21"/>
      <c r="AQ625" s="21"/>
      <c r="AT625" s="21"/>
      <c r="AW625" s="21"/>
      <c r="AZ625" s="21"/>
      <c r="BC625" s="21"/>
      <c r="BF625" s="21"/>
      <c r="BI625" s="21"/>
      <c r="BL625" s="21"/>
      <c r="BO625" s="21"/>
      <c r="BR625" s="21"/>
    </row>
    <row r="626">
      <c r="L626" s="20"/>
      <c r="M626" s="21"/>
      <c r="P626" s="21"/>
      <c r="S626" s="21"/>
      <c r="V626" s="21"/>
      <c r="Y626" s="21"/>
      <c r="AB626" s="21"/>
      <c r="AE626" s="21"/>
      <c r="AH626" s="21"/>
      <c r="AK626" s="21"/>
      <c r="AN626" s="21"/>
      <c r="AQ626" s="21"/>
      <c r="AT626" s="21"/>
      <c r="AW626" s="21"/>
      <c r="AZ626" s="21"/>
      <c r="BC626" s="21"/>
      <c r="BF626" s="21"/>
      <c r="BI626" s="21"/>
      <c r="BL626" s="21"/>
      <c r="BO626" s="21"/>
      <c r="BR626" s="21"/>
    </row>
    <row r="627">
      <c r="L627" s="20"/>
      <c r="M627" s="21"/>
      <c r="P627" s="21"/>
      <c r="S627" s="21"/>
      <c r="V627" s="21"/>
      <c r="Y627" s="21"/>
      <c r="AB627" s="21"/>
      <c r="AE627" s="21"/>
      <c r="AH627" s="21"/>
      <c r="AK627" s="21"/>
      <c r="AN627" s="21"/>
      <c r="AQ627" s="21"/>
      <c r="AT627" s="21"/>
      <c r="AW627" s="21"/>
      <c r="AZ627" s="21"/>
      <c r="BC627" s="21"/>
      <c r="BF627" s="21"/>
      <c r="BI627" s="21"/>
      <c r="BL627" s="21"/>
      <c r="BO627" s="21"/>
      <c r="BR627" s="21"/>
    </row>
    <row r="628">
      <c r="L628" s="20"/>
      <c r="M628" s="21"/>
      <c r="P628" s="21"/>
      <c r="S628" s="21"/>
      <c r="V628" s="21"/>
      <c r="Y628" s="21"/>
      <c r="AB628" s="21"/>
      <c r="AE628" s="21"/>
      <c r="AH628" s="21"/>
      <c r="AK628" s="21"/>
      <c r="AN628" s="21"/>
      <c r="AQ628" s="21"/>
      <c r="AT628" s="21"/>
      <c r="AW628" s="21"/>
      <c r="AZ628" s="21"/>
      <c r="BC628" s="21"/>
      <c r="BF628" s="21"/>
      <c r="BI628" s="21"/>
      <c r="BL628" s="21"/>
      <c r="BO628" s="21"/>
      <c r="BR628" s="21"/>
    </row>
    <row r="629">
      <c r="L629" s="20"/>
      <c r="M629" s="21"/>
      <c r="P629" s="21"/>
      <c r="S629" s="21"/>
      <c r="V629" s="21"/>
      <c r="Y629" s="21"/>
      <c r="AB629" s="21"/>
      <c r="AE629" s="21"/>
      <c r="AH629" s="21"/>
      <c r="AK629" s="21"/>
      <c r="AN629" s="21"/>
      <c r="AQ629" s="21"/>
      <c r="AT629" s="21"/>
      <c r="AW629" s="21"/>
      <c r="AZ629" s="21"/>
      <c r="BC629" s="21"/>
      <c r="BF629" s="21"/>
      <c r="BI629" s="21"/>
      <c r="BL629" s="21"/>
      <c r="BO629" s="21"/>
      <c r="BR629" s="21"/>
    </row>
    <row r="630">
      <c r="L630" s="20"/>
      <c r="M630" s="21"/>
      <c r="P630" s="21"/>
      <c r="S630" s="21"/>
      <c r="V630" s="21"/>
      <c r="Y630" s="21"/>
      <c r="AB630" s="21"/>
      <c r="AE630" s="21"/>
      <c r="AH630" s="21"/>
      <c r="AK630" s="21"/>
      <c r="AN630" s="21"/>
      <c r="AQ630" s="21"/>
      <c r="AT630" s="21"/>
      <c r="AW630" s="21"/>
      <c r="AZ630" s="21"/>
      <c r="BC630" s="21"/>
      <c r="BF630" s="21"/>
      <c r="BI630" s="21"/>
      <c r="BL630" s="21"/>
      <c r="BO630" s="21"/>
      <c r="BR630" s="21"/>
    </row>
    <row r="631">
      <c r="L631" s="20"/>
      <c r="M631" s="21"/>
      <c r="P631" s="21"/>
      <c r="S631" s="21"/>
      <c r="V631" s="21"/>
      <c r="Y631" s="21"/>
      <c r="AB631" s="21"/>
      <c r="AE631" s="21"/>
      <c r="AH631" s="21"/>
      <c r="AK631" s="21"/>
      <c r="AN631" s="21"/>
      <c r="AQ631" s="21"/>
      <c r="AT631" s="21"/>
      <c r="AW631" s="21"/>
      <c r="AZ631" s="21"/>
      <c r="BC631" s="21"/>
      <c r="BF631" s="21"/>
      <c r="BI631" s="21"/>
      <c r="BL631" s="21"/>
      <c r="BO631" s="21"/>
      <c r="BR631" s="21"/>
    </row>
    <row r="632">
      <c r="L632" s="20"/>
      <c r="M632" s="21"/>
      <c r="P632" s="21"/>
      <c r="S632" s="21"/>
      <c r="V632" s="21"/>
      <c r="Y632" s="21"/>
      <c r="AB632" s="21"/>
      <c r="AE632" s="21"/>
      <c r="AH632" s="21"/>
      <c r="AK632" s="21"/>
      <c r="AN632" s="21"/>
      <c r="AQ632" s="21"/>
      <c r="AT632" s="21"/>
      <c r="AW632" s="21"/>
      <c r="AZ632" s="21"/>
      <c r="BC632" s="21"/>
      <c r="BF632" s="21"/>
      <c r="BI632" s="21"/>
      <c r="BL632" s="21"/>
      <c r="BO632" s="21"/>
      <c r="BR632" s="21"/>
    </row>
    <row r="633">
      <c r="L633" s="20"/>
      <c r="M633" s="21"/>
      <c r="P633" s="21"/>
      <c r="S633" s="21"/>
      <c r="V633" s="21"/>
      <c r="Y633" s="21"/>
      <c r="AB633" s="21"/>
      <c r="AE633" s="21"/>
      <c r="AH633" s="21"/>
      <c r="AK633" s="21"/>
      <c r="AN633" s="21"/>
      <c r="AQ633" s="21"/>
      <c r="AT633" s="21"/>
      <c r="AW633" s="21"/>
      <c r="AZ633" s="21"/>
      <c r="BC633" s="21"/>
      <c r="BF633" s="21"/>
      <c r="BI633" s="21"/>
      <c r="BL633" s="21"/>
      <c r="BO633" s="21"/>
      <c r="BR633" s="21"/>
    </row>
    <row r="634">
      <c r="L634" s="20"/>
      <c r="M634" s="21"/>
      <c r="P634" s="21"/>
      <c r="S634" s="21"/>
      <c r="V634" s="21"/>
      <c r="Y634" s="21"/>
      <c r="AB634" s="21"/>
      <c r="AE634" s="21"/>
      <c r="AH634" s="21"/>
      <c r="AK634" s="21"/>
      <c r="AN634" s="21"/>
      <c r="AQ634" s="21"/>
      <c r="AT634" s="21"/>
      <c r="AW634" s="21"/>
      <c r="AZ634" s="21"/>
      <c r="BC634" s="21"/>
      <c r="BF634" s="21"/>
      <c r="BI634" s="21"/>
      <c r="BL634" s="21"/>
      <c r="BO634" s="21"/>
      <c r="BR634" s="21"/>
    </row>
    <row r="635">
      <c r="L635" s="20"/>
      <c r="M635" s="21"/>
      <c r="P635" s="21"/>
      <c r="S635" s="21"/>
      <c r="V635" s="21"/>
      <c r="Y635" s="21"/>
      <c r="AB635" s="21"/>
      <c r="AE635" s="21"/>
      <c r="AH635" s="21"/>
      <c r="AK635" s="21"/>
      <c r="AN635" s="21"/>
      <c r="AQ635" s="21"/>
      <c r="AT635" s="21"/>
      <c r="AW635" s="21"/>
      <c r="AZ635" s="21"/>
      <c r="BC635" s="21"/>
      <c r="BF635" s="21"/>
      <c r="BI635" s="21"/>
      <c r="BL635" s="21"/>
      <c r="BO635" s="21"/>
      <c r="BR635" s="21"/>
    </row>
    <row r="636">
      <c r="L636" s="20"/>
      <c r="M636" s="21"/>
      <c r="P636" s="21"/>
      <c r="S636" s="21"/>
      <c r="V636" s="21"/>
      <c r="Y636" s="21"/>
      <c r="AB636" s="21"/>
      <c r="AE636" s="21"/>
      <c r="AH636" s="21"/>
      <c r="AK636" s="21"/>
      <c r="AN636" s="21"/>
      <c r="AQ636" s="21"/>
      <c r="AT636" s="21"/>
      <c r="AW636" s="21"/>
      <c r="AZ636" s="21"/>
      <c r="BC636" s="21"/>
      <c r="BF636" s="21"/>
      <c r="BI636" s="21"/>
      <c r="BL636" s="21"/>
      <c r="BO636" s="21"/>
      <c r="BR636" s="21"/>
    </row>
    <row r="637">
      <c r="L637" s="20"/>
      <c r="M637" s="21"/>
      <c r="P637" s="21"/>
      <c r="S637" s="21"/>
      <c r="V637" s="21"/>
      <c r="Y637" s="21"/>
      <c r="AB637" s="21"/>
      <c r="AE637" s="21"/>
      <c r="AH637" s="21"/>
      <c r="AK637" s="21"/>
      <c r="AN637" s="21"/>
      <c r="AQ637" s="21"/>
      <c r="AT637" s="21"/>
      <c r="AW637" s="21"/>
      <c r="AZ637" s="21"/>
      <c r="BC637" s="21"/>
      <c r="BF637" s="21"/>
      <c r="BI637" s="21"/>
      <c r="BL637" s="21"/>
      <c r="BO637" s="21"/>
      <c r="BR637" s="21"/>
    </row>
    <row r="638">
      <c r="L638" s="20"/>
      <c r="M638" s="21"/>
      <c r="P638" s="21"/>
      <c r="S638" s="21"/>
      <c r="V638" s="21"/>
      <c r="Y638" s="21"/>
      <c r="AB638" s="21"/>
      <c r="AE638" s="21"/>
      <c r="AH638" s="21"/>
      <c r="AK638" s="21"/>
      <c r="AN638" s="21"/>
      <c r="AQ638" s="21"/>
      <c r="AT638" s="21"/>
      <c r="AW638" s="21"/>
      <c r="AZ638" s="21"/>
      <c r="BC638" s="21"/>
      <c r="BF638" s="21"/>
      <c r="BI638" s="21"/>
      <c r="BL638" s="21"/>
      <c r="BO638" s="21"/>
      <c r="BR638" s="21"/>
    </row>
    <row r="639">
      <c r="L639" s="20"/>
      <c r="M639" s="21"/>
      <c r="P639" s="21"/>
      <c r="S639" s="21"/>
      <c r="V639" s="21"/>
      <c r="Y639" s="21"/>
      <c r="AB639" s="21"/>
      <c r="AE639" s="21"/>
      <c r="AH639" s="21"/>
      <c r="AK639" s="21"/>
      <c r="AN639" s="21"/>
      <c r="AQ639" s="21"/>
      <c r="AT639" s="21"/>
      <c r="AW639" s="21"/>
      <c r="AZ639" s="21"/>
      <c r="BC639" s="21"/>
      <c r="BF639" s="21"/>
      <c r="BI639" s="21"/>
      <c r="BL639" s="21"/>
      <c r="BO639" s="21"/>
      <c r="BR639" s="21"/>
    </row>
    <row r="640">
      <c r="L640" s="20"/>
      <c r="M640" s="21"/>
      <c r="P640" s="21"/>
      <c r="S640" s="21"/>
      <c r="V640" s="21"/>
      <c r="Y640" s="21"/>
      <c r="AB640" s="21"/>
      <c r="AE640" s="21"/>
      <c r="AH640" s="21"/>
      <c r="AK640" s="21"/>
      <c r="AN640" s="21"/>
      <c r="AQ640" s="21"/>
      <c r="AT640" s="21"/>
      <c r="AW640" s="21"/>
      <c r="AZ640" s="21"/>
      <c r="BC640" s="21"/>
      <c r="BF640" s="21"/>
      <c r="BI640" s="21"/>
      <c r="BL640" s="21"/>
      <c r="BO640" s="21"/>
      <c r="BR640" s="21"/>
    </row>
    <row r="641">
      <c r="L641" s="20"/>
      <c r="M641" s="21"/>
      <c r="P641" s="21"/>
      <c r="S641" s="21"/>
      <c r="V641" s="21"/>
      <c r="Y641" s="21"/>
      <c r="AB641" s="21"/>
      <c r="AE641" s="21"/>
      <c r="AH641" s="21"/>
      <c r="AK641" s="21"/>
      <c r="AN641" s="21"/>
      <c r="AQ641" s="21"/>
      <c r="AT641" s="21"/>
      <c r="AW641" s="21"/>
      <c r="AZ641" s="21"/>
      <c r="BC641" s="21"/>
      <c r="BF641" s="21"/>
      <c r="BI641" s="21"/>
      <c r="BL641" s="21"/>
      <c r="BO641" s="21"/>
      <c r="BR641" s="21"/>
    </row>
    <row r="642">
      <c r="L642" s="20"/>
      <c r="M642" s="21"/>
      <c r="P642" s="21"/>
      <c r="S642" s="21"/>
      <c r="V642" s="21"/>
      <c r="Y642" s="21"/>
      <c r="AB642" s="21"/>
      <c r="AE642" s="21"/>
      <c r="AH642" s="21"/>
      <c r="AK642" s="21"/>
      <c r="AN642" s="21"/>
      <c r="AQ642" s="21"/>
      <c r="AT642" s="21"/>
      <c r="AW642" s="21"/>
      <c r="AZ642" s="21"/>
      <c r="BC642" s="21"/>
      <c r="BF642" s="21"/>
      <c r="BI642" s="21"/>
      <c r="BL642" s="21"/>
      <c r="BO642" s="21"/>
      <c r="BR642" s="21"/>
    </row>
    <row r="643">
      <c r="L643" s="20"/>
      <c r="M643" s="21"/>
      <c r="P643" s="21"/>
      <c r="S643" s="21"/>
      <c r="V643" s="21"/>
      <c r="Y643" s="21"/>
      <c r="AB643" s="21"/>
      <c r="AE643" s="21"/>
      <c r="AH643" s="21"/>
      <c r="AK643" s="21"/>
      <c r="AN643" s="21"/>
      <c r="AQ643" s="21"/>
      <c r="AT643" s="21"/>
      <c r="AW643" s="21"/>
      <c r="AZ643" s="21"/>
      <c r="BC643" s="21"/>
      <c r="BF643" s="21"/>
      <c r="BI643" s="21"/>
      <c r="BL643" s="21"/>
      <c r="BO643" s="21"/>
      <c r="BR643" s="21"/>
    </row>
    <row r="644">
      <c r="L644" s="20"/>
      <c r="M644" s="21"/>
      <c r="P644" s="21"/>
      <c r="S644" s="21"/>
      <c r="V644" s="21"/>
      <c r="Y644" s="21"/>
      <c r="AB644" s="21"/>
      <c r="AE644" s="21"/>
      <c r="AH644" s="21"/>
      <c r="AK644" s="21"/>
      <c r="AN644" s="21"/>
      <c r="AQ644" s="21"/>
      <c r="AT644" s="21"/>
      <c r="AW644" s="21"/>
      <c r="AZ644" s="21"/>
      <c r="BC644" s="21"/>
      <c r="BF644" s="21"/>
      <c r="BI644" s="21"/>
      <c r="BL644" s="21"/>
      <c r="BO644" s="21"/>
      <c r="BR644" s="21"/>
    </row>
    <row r="645">
      <c r="L645" s="20"/>
      <c r="M645" s="21"/>
      <c r="P645" s="21"/>
      <c r="S645" s="21"/>
      <c r="V645" s="21"/>
      <c r="Y645" s="21"/>
      <c r="AB645" s="21"/>
      <c r="AE645" s="21"/>
      <c r="AH645" s="21"/>
      <c r="AK645" s="21"/>
      <c r="AN645" s="21"/>
      <c r="AQ645" s="21"/>
      <c r="AT645" s="21"/>
      <c r="AW645" s="21"/>
      <c r="AZ645" s="21"/>
      <c r="BC645" s="21"/>
      <c r="BF645" s="21"/>
      <c r="BI645" s="21"/>
      <c r="BL645" s="21"/>
      <c r="BO645" s="21"/>
      <c r="BR645" s="21"/>
    </row>
    <row r="646">
      <c r="L646" s="20"/>
      <c r="M646" s="21"/>
      <c r="P646" s="21"/>
      <c r="S646" s="21"/>
      <c r="V646" s="21"/>
      <c r="Y646" s="21"/>
      <c r="AB646" s="21"/>
      <c r="AE646" s="21"/>
      <c r="AH646" s="21"/>
      <c r="AK646" s="21"/>
      <c r="AN646" s="21"/>
      <c r="AQ646" s="21"/>
      <c r="AT646" s="21"/>
      <c r="AW646" s="21"/>
      <c r="AZ646" s="21"/>
      <c r="BC646" s="21"/>
      <c r="BF646" s="21"/>
      <c r="BI646" s="21"/>
      <c r="BL646" s="21"/>
      <c r="BO646" s="21"/>
      <c r="BR646" s="21"/>
    </row>
    <row r="647">
      <c r="L647" s="20"/>
      <c r="M647" s="21"/>
      <c r="P647" s="21"/>
      <c r="S647" s="21"/>
      <c r="V647" s="21"/>
      <c r="Y647" s="21"/>
      <c r="AB647" s="21"/>
      <c r="AE647" s="21"/>
      <c r="AH647" s="21"/>
      <c r="AK647" s="21"/>
      <c r="AN647" s="21"/>
      <c r="AQ647" s="21"/>
      <c r="AT647" s="21"/>
      <c r="AW647" s="21"/>
      <c r="AZ647" s="21"/>
      <c r="BC647" s="21"/>
      <c r="BF647" s="21"/>
      <c r="BI647" s="21"/>
      <c r="BL647" s="21"/>
      <c r="BO647" s="21"/>
      <c r="BR647" s="21"/>
    </row>
    <row r="648">
      <c r="L648" s="20"/>
      <c r="M648" s="21"/>
      <c r="P648" s="21"/>
      <c r="S648" s="21"/>
      <c r="V648" s="21"/>
      <c r="Y648" s="21"/>
      <c r="AB648" s="21"/>
      <c r="AE648" s="21"/>
      <c r="AH648" s="21"/>
      <c r="AK648" s="21"/>
      <c r="AN648" s="21"/>
      <c r="AQ648" s="21"/>
      <c r="AT648" s="21"/>
      <c r="AW648" s="21"/>
      <c r="AZ648" s="21"/>
      <c r="BC648" s="21"/>
      <c r="BF648" s="21"/>
      <c r="BI648" s="21"/>
      <c r="BL648" s="21"/>
      <c r="BO648" s="21"/>
      <c r="BR648" s="21"/>
    </row>
    <row r="649">
      <c r="L649" s="20"/>
      <c r="M649" s="21"/>
      <c r="P649" s="21"/>
      <c r="S649" s="21"/>
      <c r="V649" s="21"/>
      <c r="Y649" s="21"/>
      <c r="AB649" s="21"/>
      <c r="AE649" s="21"/>
      <c r="AH649" s="21"/>
      <c r="AK649" s="21"/>
      <c r="AN649" s="21"/>
      <c r="AQ649" s="21"/>
      <c r="AT649" s="21"/>
      <c r="AW649" s="21"/>
      <c r="AZ649" s="21"/>
      <c r="BC649" s="21"/>
      <c r="BF649" s="21"/>
      <c r="BI649" s="21"/>
      <c r="BL649" s="21"/>
      <c r="BO649" s="21"/>
      <c r="BR649" s="21"/>
    </row>
    <row r="650">
      <c r="L650" s="20"/>
      <c r="M650" s="21"/>
      <c r="P650" s="21"/>
      <c r="S650" s="21"/>
      <c r="V650" s="21"/>
      <c r="Y650" s="21"/>
      <c r="AB650" s="21"/>
      <c r="AE650" s="21"/>
      <c r="AH650" s="21"/>
      <c r="AK650" s="21"/>
      <c r="AN650" s="21"/>
      <c r="AQ650" s="21"/>
      <c r="AT650" s="21"/>
      <c r="AW650" s="21"/>
      <c r="AZ650" s="21"/>
      <c r="BC650" s="21"/>
      <c r="BF650" s="21"/>
      <c r="BI650" s="21"/>
      <c r="BL650" s="21"/>
      <c r="BO650" s="21"/>
      <c r="BR650" s="21"/>
    </row>
    <row r="651">
      <c r="L651" s="20"/>
      <c r="M651" s="21"/>
      <c r="P651" s="21"/>
      <c r="S651" s="21"/>
      <c r="V651" s="21"/>
      <c r="Y651" s="21"/>
      <c r="AB651" s="21"/>
      <c r="AE651" s="21"/>
      <c r="AH651" s="21"/>
      <c r="AK651" s="21"/>
      <c r="AN651" s="21"/>
      <c r="AQ651" s="21"/>
      <c r="AT651" s="21"/>
      <c r="AW651" s="21"/>
      <c r="AZ651" s="21"/>
      <c r="BC651" s="21"/>
      <c r="BF651" s="21"/>
      <c r="BI651" s="21"/>
      <c r="BL651" s="21"/>
      <c r="BO651" s="21"/>
      <c r="BR651" s="21"/>
    </row>
    <row r="652">
      <c r="L652" s="20"/>
      <c r="M652" s="21"/>
      <c r="P652" s="21"/>
      <c r="S652" s="21"/>
      <c r="V652" s="21"/>
      <c r="Y652" s="21"/>
      <c r="AB652" s="21"/>
      <c r="AE652" s="21"/>
      <c r="AH652" s="21"/>
      <c r="AK652" s="21"/>
      <c r="AN652" s="21"/>
      <c r="AQ652" s="21"/>
      <c r="AT652" s="21"/>
      <c r="AW652" s="21"/>
      <c r="AZ652" s="21"/>
      <c r="BC652" s="21"/>
      <c r="BF652" s="21"/>
      <c r="BI652" s="21"/>
      <c r="BL652" s="21"/>
      <c r="BO652" s="21"/>
      <c r="BR652" s="21"/>
    </row>
    <row r="653">
      <c r="L653" s="20"/>
      <c r="M653" s="21"/>
      <c r="P653" s="21"/>
      <c r="S653" s="21"/>
      <c r="V653" s="21"/>
      <c r="Y653" s="21"/>
      <c r="AB653" s="21"/>
      <c r="AE653" s="21"/>
      <c r="AH653" s="21"/>
      <c r="AK653" s="21"/>
      <c r="AN653" s="21"/>
      <c r="AQ653" s="21"/>
      <c r="AT653" s="21"/>
      <c r="AW653" s="21"/>
      <c r="AZ653" s="21"/>
      <c r="BC653" s="21"/>
      <c r="BF653" s="21"/>
      <c r="BI653" s="21"/>
      <c r="BL653" s="21"/>
      <c r="BO653" s="21"/>
      <c r="BR653" s="21"/>
    </row>
    <row r="654">
      <c r="L654" s="20"/>
      <c r="M654" s="21"/>
      <c r="P654" s="21"/>
      <c r="S654" s="21"/>
      <c r="V654" s="21"/>
      <c r="Y654" s="21"/>
      <c r="AB654" s="21"/>
      <c r="AE654" s="21"/>
      <c r="AH654" s="21"/>
      <c r="AK654" s="21"/>
      <c r="AN654" s="21"/>
      <c r="AQ654" s="21"/>
      <c r="AT654" s="21"/>
      <c r="AW654" s="21"/>
      <c r="AZ654" s="21"/>
      <c r="BC654" s="21"/>
      <c r="BF654" s="21"/>
      <c r="BI654" s="21"/>
      <c r="BL654" s="21"/>
      <c r="BO654" s="21"/>
      <c r="BR654" s="21"/>
    </row>
    <row r="655">
      <c r="L655" s="20"/>
      <c r="M655" s="21"/>
      <c r="P655" s="21"/>
      <c r="S655" s="21"/>
      <c r="V655" s="21"/>
      <c r="Y655" s="21"/>
      <c r="AB655" s="21"/>
      <c r="AE655" s="21"/>
      <c r="AH655" s="21"/>
      <c r="AK655" s="21"/>
      <c r="AN655" s="21"/>
      <c r="AQ655" s="21"/>
      <c r="AT655" s="21"/>
      <c r="AW655" s="21"/>
      <c r="AZ655" s="21"/>
      <c r="BC655" s="21"/>
      <c r="BF655" s="21"/>
      <c r="BI655" s="21"/>
      <c r="BL655" s="21"/>
      <c r="BO655" s="21"/>
      <c r="BR655" s="21"/>
    </row>
    <row r="656">
      <c r="L656" s="20"/>
      <c r="M656" s="21"/>
      <c r="P656" s="21"/>
      <c r="S656" s="21"/>
      <c r="V656" s="21"/>
      <c r="Y656" s="21"/>
      <c r="AB656" s="21"/>
      <c r="AE656" s="21"/>
      <c r="AH656" s="21"/>
      <c r="AK656" s="21"/>
      <c r="AN656" s="21"/>
      <c r="AQ656" s="21"/>
      <c r="AT656" s="21"/>
      <c r="AW656" s="21"/>
      <c r="AZ656" s="21"/>
      <c r="BC656" s="21"/>
      <c r="BF656" s="21"/>
      <c r="BI656" s="21"/>
      <c r="BL656" s="21"/>
      <c r="BO656" s="21"/>
      <c r="BR656" s="21"/>
    </row>
    <row r="657">
      <c r="L657" s="20"/>
      <c r="M657" s="21"/>
      <c r="P657" s="21"/>
      <c r="S657" s="21"/>
      <c r="V657" s="21"/>
      <c r="Y657" s="21"/>
      <c r="AB657" s="21"/>
      <c r="AE657" s="21"/>
      <c r="AH657" s="21"/>
      <c r="AK657" s="21"/>
      <c r="AN657" s="21"/>
      <c r="AQ657" s="21"/>
      <c r="AT657" s="21"/>
      <c r="AW657" s="21"/>
      <c r="AZ657" s="21"/>
      <c r="BC657" s="21"/>
      <c r="BF657" s="21"/>
      <c r="BI657" s="21"/>
      <c r="BL657" s="21"/>
      <c r="BO657" s="21"/>
      <c r="BR657" s="21"/>
    </row>
    <row r="658">
      <c r="L658" s="20"/>
      <c r="M658" s="21"/>
      <c r="P658" s="21"/>
      <c r="S658" s="21"/>
      <c r="V658" s="21"/>
      <c r="Y658" s="21"/>
      <c r="AB658" s="21"/>
      <c r="AE658" s="21"/>
      <c r="AH658" s="21"/>
      <c r="AK658" s="21"/>
      <c r="AN658" s="21"/>
      <c r="AQ658" s="21"/>
      <c r="AT658" s="21"/>
      <c r="AW658" s="21"/>
      <c r="AZ658" s="21"/>
      <c r="BC658" s="21"/>
      <c r="BF658" s="21"/>
      <c r="BI658" s="21"/>
      <c r="BL658" s="21"/>
      <c r="BO658" s="21"/>
      <c r="BR658" s="21"/>
    </row>
    <row r="659">
      <c r="L659" s="20"/>
      <c r="M659" s="21"/>
      <c r="P659" s="21"/>
      <c r="S659" s="21"/>
      <c r="V659" s="21"/>
      <c r="Y659" s="21"/>
      <c r="AB659" s="21"/>
      <c r="AE659" s="21"/>
      <c r="AH659" s="21"/>
      <c r="AK659" s="21"/>
      <c r="AN659" s="21"/>
      <c r="AQ659" s="21"/>
      <c r="AT659" s="21"/>
      <c r="AW659" s="21"/>
      <c r="AZ659" s="21"/>
      <c r="BC659" s="21"/>
      <c r="BF659" s="21"/>
      <c r="BI659" s="21"/>
      <c r="BL659" s="21"/>
      <c r="BO659" s="21"/>
      <c r="BR659" s="21"/>
    </row>
    <row r="660">
      <c r="L660" s="20"/>
      <c r="M660" s="21"/>
      <c r="P660" s="21"/>
      <c r="S660" s="21"/>
      <c r="V660" s="21"/>
      <c r="Y660" s="21"/>
      <c r="AB660" s="21"/>
      <c r="AE660" s="21"/>
      <c r="AH660" s="21"/>
      <c r="AK660" s="21"/>
      <c r="AN660" s="21"/>
      <c r="AQ660" s="21"/>
      <c r="AT660" s="21"/>
      <c r="AW660" s="21"/>
      <c r="AZ660" s="21"/>
      <c r="BC660" s="21"/>
      <c r="BF660" s="21"/>
      <c r="BI660" s="21"/>
      <c r="BL660" s="21"/>
      <c r="BO660" s="21"/>
      <c r="BR660" s="21"/>
    </row>
    <row r="661">
      <c r="L661" s="20"/>
      <c r="M661" s="21"/>
      <c r="P661" s="21"/>
      <c r="S661" s="21"/>
      <c r="V661" s="21"/>
      <c r="Y661" s="21"/>
      <c r="AB661" s="21"/>
      <c r="AE661" s="21"/>
      <c r="AH661" s="21"/>
      <c r="AK661" s="21"/>
      <c r="AN661" s="21"/>
      <c r="AQ661" s="21"/>
      <c r="AT661" s="21"/>
      <c r="AW661" s="21"/>
      <c r="AZ661" s="21"/>
      <c r="BC661" s="21"/>
      <c r="BF661" s="21"/>
      <c r="BI661" s="21"/>
      <c r="BL661" s="21"/>
      <c r="BO661" s="21"/>
      <c r="BR661" s="21"/>
    </row>
    <row r="662">
      <c r="L662" s="20"/>
      <c r="M662" s="21"/>
      <c r="P662" s="21"/>
      <c r="S662" s="21"/>
      <c r="V662" s="21"/>
      <c r="Y662" s="21"/>
      <c r="AB662" s="21"/>
      <c r="AE662" s="21"/>
      <c r="AH662" s="21"/>
      <c r="AK662" s="21"/>
      <c r="AN662" s="21"/>
      <c r="AQ662" s="21"/>
      <c r="AT662" s="21"/>
      <c r="AW662" s="21"/>
      <c r="AZ662" s="21"/>
      <c r="BC662" s="21"/>
      <c r="BF662" s="21"/>
      <c r="BI662" s="21"/>
      <c r="BL662" s="21"/>
      <c r="BO662" s="21"/>
      <c r="BR662" s="21"/>
    </row>
    <row r="663">
      <c r="L663" s="20"/>
      <c r="M663" s="21"/>
      <c r="P663" s="21"/>
      <c r="S663" s="21"/>
      <c r="V663" s="21"/>
      <c r="Y663" s="21"/>
      <c r="AB663" s="21"/>
      <c r="AE663" s="21"/>
      <c r="AH663" s="21"/>
      <c r="AK663" s="21"/>
      <c r="AN663" s="21"/>
      <c r="AQ663" s="21"/>
      <c r="AT663" s="21"/>
      <c r="AW663" s="21"/>
      <c r="AZ663" s="21"/>
      <c r="BC663" s="21"/>
      <c r="BF663" s="21"/>
      <c r="BI663" s="21"/>
      <c r="BL663" s="21"/>
      <c r="BO663" s="21"/>
      <c r="BR663" s="21"/>
    </row>
    <row r="664">
      <c r="L664" s="20"/>
      <c r="M664" s="21"/>
      <c r="P664" s="21"/>
      <c r="S664" s="21"/>
      <c r="V664" s="21"/>
      <c r="Y664" s="21"/>
      <c r="AB664" s="21"/>
      <c r="AE664" s="21"/>
      <c r="AH664" s="21"/>
      <c r="AK664" s="21"/>
      <c r="AN664" s="21"/>
      <c r="AQ664" s="21"/>
      <c r="AT664" s="21"/>
      <c r="AW664" s="21"/>
      <c r="AZ664" s="21"/>
      <c r="BC664" s="21"/>
      <c r="BF664" s="21"/>
      <c r="BI664" s="21"/>
      <c r="BL664" s="21"/>
      <c r="BO664" s="21"/>
      <c r="BR664" s="21"/>
    </row>
    <row r="665">
      <c r="L665" s="20"/>
      <c r="M665" s="21"/>
      <c r="P665" s="21"/>
      <c r="S665" s="21"/>
      <c r="V665" s="21"/>
      <c r="Y665" s="21"/>
      <c r="AB665" s="21"/>
      <c r="AE665" s="21"/>
      <c r="AH665" s="21"/>
      <c r="AK665" s="21"/>
      <c r="AN665" s="21"/>
      <c r="AQ665" s="21"/>
      <c r="AT665" s="21"/>
      <c r="AW665" s="21"/>
      <c r="AZ665" s="21"/>
      <c r="BC665" s="21"/>
      <c r="BF665" s="21"/>
      <c r="BI665" s="21"/>
      <c r="BL665" s="21"/>
      <c r="BO665" s="21"/>
      <c r="BR665" s="21"/>
    </row>
    <row r="666">
      <c r="L666" s="20"/>
      <c r="M666" s="21"/>
      <c r="P666" s="21"/>
      <c r="S666" s="21"/>
      <c r="V666" s="21"/>
      <c r="Y666" s="21"/>
      <c r="AB666" s="21"/>
      <c r="AE666" s="21"/>
      <c r="AH666" s="21"/>
      <c r="AK666" s="21"/>
      <c r="AN666" s="21"/>
      <c r="AQ666" s="21"/>
      <c r="AT666" s="21"/>
      <c r="AW666" s="21"/>
      <c r="AZ666" s="21"/>
      <c r="BC666" s="21"/>
      <c r="BF666" s="21"/>
      <c r="BI666" s="21"/>
      <c r="BL666" s="21"/>
      <c r="BO666" s="21"/>
      <c r="BR666" s="21"/>
    </row>
    <row r="667">
      <c r="L667" s="20"/>
      <c r="M667" s="21"/>
      <c r="P667" s="21"/>
      <c r="S667" s="21"/>
      <c r="V667" s="21"/>
      <c r="Y667" s="21"/>
      <c r="AB667" s="21"/>
      <c r="AE667" s="21"/>
      <c r="AH667" s="21"/>
      <c r="AK667" s="21"/>
      <c r="AN667" s="21"/>
      <c r="AQ667" s="21"/>
      <c r="AT667" s="21"/>
      <c r="AW667" s="21"/>
      <c r="AZ667" s="21"/>
      <c r="BC667" s="21"/>
      <c r="BF667" s="21"/>
      <c r="BI667" s="21"/>
      <c r="BL667" s="21"/>
      <c r="BO667" s="21"/>
      <c r="BR667" s="21"/>
    </row>
    <row r="668">
      <c r="L668" s="20"/>
      <c r="M668" s="21"/>
      <c r="P668" s="21"/>
      <c r="S668" s="21"/>
      <c r="V668" s="21"/>
      <c r="Y668" s="21"/>
      <c r="AB668" s="21"/>
      <c r="AE668" s="21"/>
      <c r="AH668" s="21"/>
      <c r="AK668" s="21"/>
      <c r="AN668" s="21"/>
      <c r="AQ668" s="21"/>
      <c r="AT668" s="21"/>
      <c r="AW668" s="21"/>
      <c r="AZ668" s="21"/>
      <c r="BC668" s="21"/>
      <c r="BF668" s="21"/>
      <c r="BI668" s="21"/>
      <c r="BL668" s="21"/>
      <c r="BO668" s="21"/>
      <c r="BR668" s="21"/>
    </row>
    <row r="669">
      <c r="L669" s="20"/>
      <c r="M669" s="21"/>
      <c r="P669" s="21"/>
      <c r="S669" s="21"/>
      <c r="V669" s="21"/>
      <c r="Y669" s="21"/>
      <c r="AB669" s="21"/>
      <c r="AE669" s="21"/>
      <c r="AH669" s="21"/>
      <c r="AK669" s="21"/>
      <c r="AN669" s="21"/>
      <c r="AQ669" s="21"/>
      <c r="AT669" s="21"/>
      <c r="AW669" s="21"/>
      <c r="AZ669" s="21"/>
      <c r="BC669" s="21"/>
      <c r="BF669" s="21"/>
      <c r="BI669" s="21"/>
      <c r="BL669" s="21"/>
      <c r="BO669" s="21"/>
      <c r="BR669" s="21"/>
    </row>
    <row r="670">
      <c r="L670" s="20"/>
      <c r="M670" s="21"/>
      <c r="P670" s="21"/>
      <c r="S670" s="21"/>
      <c r="V670" s="21"/>
      <c r="Y670" s="21"/>
      <c r="AB670" s="21"/>
      <c r="AE670" s="21"/>
      <c r="AH670" s="21"/>
      <c r="AK670" s="21"/>
      <c r="AN670" s="21"/>
      <c r="AQ670" s="21"/>
      <c r="AT670" s="21"/>
      <c r="AW670" s="21"/>
      <c r="AZ670" s="21"/>
      <c r="BC670" s="21"/>
      <c r="BF670" s="21"/>
      <c r="BI670" s="21"/>
      <c r="BL670" s="21"/>
      <c r="BO670" s="21"/>
      <c r="BR670" s="21"/>
    </row>
    <row r="671">
      <c r="L671" s="20"/>
      <c r="M671" s="21"/>
      <c r="P671" s="21"/>
      <c r="S671" s="21"/>
      <c r="V671" s="21"/>
      <c r="Y671" s="21"/>
      <c r="AB671" s="21"/>
      <c r="AE671" s="21"/>
      <c r="AH671" s="21"/>
      <c r="AK671" s="21"/>
      <c r="AN671" s="21"/>
      <c r="AQ671" s="21"/>
      <c r="AT671" s="21"/>
      <c r="AW671" s="21"/>
      <c r="AZ671" s="21"/>
      <c r="BC671" s="21"/>
      <c r="BF671" s="21"/>
      <c r="BI671" s="21"/>
      <c r="BL671" s="21"/>
      <c r="BO671" s="21"/>
      <c r="BR671" s="21"/>
    </row>
    <row r="672">
      <c r="L672" s="20"/>
      <c r="M672" s="21"/>
      <c r="P672" s="21"/>
      <c r="S672" s="21"/>
      <c r="V672" s="21"/>
      <c r="Y672" s="21"/>
      <c r="AB672" s="21"/>
      <c r="AE672" s="21"/>
      <c r="AH672" s="21"/>
      <c r="AK672" s="21"/>
      <c r="AN672" s="21"/>
      <c r="AQ672" s="21"/>
      <c r="AT672" s="21"/>
      <c r="AW672" s="21"/>
      <c r="AZ672" s="21"/>
      <c r="BC672" s="21"/>
      <c r="BF672" s="21"/>
      <c r="BI672" s="21"/>
      <c r="BL672" s="21"/>
      <c r="BO672" s="21"/>
      <c r="BR672" s="21"/>
    </row>
    <row r="673">
      <c r="L673" s="20"/>
      <c r="M673" s="21"/>
      <c r="P673" s="21"/>
      <c r="S673" s="21"/>
      <c r="V673" s="21"/>
      <c r="Y673" s="21"/>
      <c r="AB673" s="21"/>
      <c r="AE673" s="21"/>
      <c r="AH673" s="21"/>
      <c r="AK673" s="21"/>
      <c r="AN673" s="21"/>
      <c r="AQ673" s="21"/>
      <c r="AT673" s="21"/>
      <c r="AW673" s="21"/>
      <c r="AZ673" s="21"/>
      <c r="BC673" s="21"/>
      <c r="BF673" s="21"/>
      <c r="BI673" s="21"/>
      <c r="BL673" s="21"/>
      <c r="BO673" s="21"/>
      <c r="BR673" s="21"/>
    </row>
    <row r="674">
      <c r="L674" s="20"/>
      <c r="M674" s="21"/>
      <c r="P674" s="21"/>
      <c r="S674" s="21"/>
      <c r="V674" s="21"/>
      <c r="Y674" s="21"/>
      <c r="AB674" s="21"/>
      <c r="AE674" s="21"/>
      <c r="AH674" s="21"/>
      <c r="AK674" s="21"/>
      <c r="AN674" s="21"/>
      <c r="AQ674" s="21"/>
      <c r="AT674" s="21"/>
      <c r="AW674" s="21"/>
      <c r="AZ674" s="21"/>
      <c r="BC674" s="21"/>
      <c r="BF674" s="21"/>
      <c r="BI674" s="21"/>
      <c r="BL674" s="21"/>
      <c r="BO674" s="21"/>
      <c r="BR674" s="21"/>
    </row>
    <row r="675">
      <c r="L675" s="20"/>
      <c r="M675" s="21"/>
      <c r="P675" s="21"/>
      <c r="S675" s="21"/>
      <c r="V675" s="21"/>
      <c r="Y675" s="21"/>
      <c r="AB675" s="21"/>
      <c r="AE675" s="21"/>
      <c r="AH675" s="21"/>
      <c r="AK675" s="21"/>
      <c r="AN675" s="21"/>
      <c r="AQ675" s="21"/>
      <c r="AT675" s="21"/>
      <c r="AW675" s="21"/>
      <c r="AZ675" s="21"/>
      <c r="BC675" s="21"/>
      <c r="BF675" s="21"/>
      <c r="BI675" s="21"/>
      <c r="BL675" s="21"/>
      <c r="BO675" s="21"/>
      <c r="BR675" s="21"/>
    </row>
    <row r="676">
      <c r="L676" s="20"/>
      <c r="M676" s="21"/>
      <c r="P676" s="21"/>
      <c r="S676" s="21"/>
      <c r="V676" s="21"/>
      <c r="Y676" s="21"/>
      <c r="AB676" s="21"/>
      <c r="AE676" s="21"/>
      <c r="AH676" s="21"/>
      <c r="AK676" s="21"/>
      <c r="AN676" s="21"/>
      <c r="AQ676" s="21"/>
      <c r="AT676" s="21"/>
      <c r="AW676" s="21"/>
      <c r="AZ676" s="21"/>
      <c r="BC676" s="21"/>
      <c r="BF676" s="21"/>
      <c r="BI676" s="21"/>
      <c r="BL676" s="21"/>
      <c r="BO676" s="21"/>
      <c r="BR676" s="21"/>
    </row>
    <row r="677">
      <c r="L677" s="20"/>
      <c r="M677" s="21"/>
      <c r="P677" s="21"/>
      <c r="S677" s="21"/>
      <c r="V677" s="21"/>
      <c r="Y677" s="21"/>
      <c r="AB677" s="21"/>
      <c r="AE677" s="21"/>
      <c r="AH677" s="21"/>
      <c r="AK677" s="21"/>
      <c r="AN677" s="21"/>
      <c r="AQ677" s="21"/>
      <c r="AT677" s="21"/>
      <c r="AW677" s="21"/>
      <c r="AZ677" s="21"/>
      <c r="BC677" s="21"/>
      <c r="BF677" s="21"/>
      <c r="BI677" s="21"/>
      <c r="BL677" s="21"/>
      <c r="BO677" s="21"/>
      <c r="BR677" s="21"/>
    </row>
    <row r="678">
      <c r="L678" s="20"/>
      <c r="M678" s="21"/>
      <c r="P678" s="21"/>
      <c r="S678" s="21"/>
      <c r="V678" s="21"/>
      <c r="Y678" s="21"/>
      <c r="AB678" s="21"/>
      <c r="AE678" s="21"/>
      <c r="AH678" s="21"/>
      <c r="AK678" s="21"/>
      <c r="AN678" s="21"/>
      <c r="AQ678" s="21"/>
      <c r="AT678" s="21"/>
      <c r="AW678" s="21"/>
      <c r="AZ678" s="21"/>
      <c r="BC678" s="21"/>
      <c r="BF678" s="21"/>
      <c r="BI678" s="21"/>
      <c r="BL678" s="21"/>
      <c r="BO678" s="21"/>
      <c r="BR678" s="21"/>
    </row>
    <row r="679">
      <c r="L679" s="20"/>
      <c r="M679" s="21"/>
      <c r="P679" s="21"/>
      <c r="S679" s="21"/>
      <c r="V679" s="21"/>
      <c r="Y679" s="21"/>
      <c r="AB679" s="21"/>
      <c r="AE679" s="21"/>
      <c r="AH679" s="21"/>
      <c r="AK679" s="21"/>
      <c r="AN679" s="21"/>
      <c r="AQ679" s="21"/>
      <c r="AT679" s="21"/>
      <c r="AW679" s="21"/>
      <c r="AZ679" s="21"/>
      <c r="BC679" s="21"/>
      <c r="BF679" s="21"/>
      <c r="BI679" s="21"/>
      <c r="BL679" s="21"/>
      <c r="BO679" s="21"/>
      <c r="BR679" s="21"/>
    </row>
    <row r="680">
      <c r="L680" s="20"/>
      <c r="M680" s="21"/>
      <c r="P680" s="21"/>
      <c r="S680" s="21"/>
      <c r="V680" s="21"/>
      <c r="Y680" s="21"/>
      <c r="AB680" s="21"/>
      <c r="AE680" s="21"/>
      <c r="AH680" s="21"/>
      <c r="AK680" s="21"/>
      <c r="AN680" s="21"/>
      <c r="AQ680" s="21"/>
      <c r="AT680" s="21"/>
      <c r="AW680" s="21"/>
      <c r="AZ680" s="21"/>
      <c r="BC680" s="21"/>
      <c r="BF680" s="21"/>
      <c r="BI680" s="21"/>
      <c r="BL680" s="21"/>
      <c r="BO680" s="21"/>
      <c r="BR680" s="21"/>
    </row>
    <row r="681">
      <c r="L681" s="20"/>
      <c r="M681" s="21"/>
      <c r="P681" s="21"/>
      <c r="S681" s="21"/>
      <c r="V681" s="21"/>
      <c r="Y681" s="21"/>
      <c r="AB681" s="21"/>
      <c r="AE681" s="21"/>
      <c r="AH681" s="21"/>
      <c r="AK681" s="21"/>
      <c r="AN681" s="21"/>
      <c r="AQ681" s="21"/>
      <c r="AT681" s="21"/>
      <c r="AW681" s="21"/>
      <c r="AZ681" s="21"/>
      <c r="BC681" s="21"/>
      <c r="BF681" s="21"/>
      <c r="BI681" s="21"/>
      <c r="BL681" s="21"/>
      <c r="BO681" s="21"/>
      <c r="BR681" s="21"/>
    </row>
    <row r="682">
      <c r="L682" s="20"/>
      <c r="M682" s="21"/>
      <c r="P682" s="21"/>
      <c r="S682" s="21"/>
      <c r="V682" s="21"/>
      <c r="Y682" s="21"/>
      <c r="AB682" s="21"/>
      <c r="AE682" s="21"/>
      <c r="AH682" s="21"/>
      <c r="AK682" s="21"/>
      <c r="AN682" s="21"/>
      <c r="AQ682" s="21"/>
      <c r="AT682" s="21"/>
      <c r="AW682" s="21"/>
      <c r="AZ682" s="21"/>
      <c r="BC682" s="21"/>
      <c r="BF682" s="21"/>
      <c r="BI682" s="21"/>
      <c r="BL682" s="21"/>
      <c r="BO682" s="21"/>
      <c r="BR682" s="21"/>
    </row>
    <row r="683">
      <c r="L683" s="20"/>
      <c r="M683" s="21"/>
      <c r="P683" s="21"/>
      <c r="S683" s="21"/>
      <c r="V683" s="21"/>
      <c r="Y683" s="21"/>
      <c r="AB683" s="21"/>
      <c r="AE683" s="21"/>
      <c r="AH683" s="21"/>
      <c r="AK683" s="21"/>
      <c r="AN683" s="21"/>
      <c r="AQ683" s="21"/>
      <c r="AT683" s="21"/>
      <c r="AW683" s="21"/>
      <c r="AZ683" s="21"/>
      <c r="BC683" s="21"/>
      <c r="BF683" s="21"/>
      <c r="BI683" s="21"/>
      <c r="BL683" s="21"/>
      <c r="BO683" s="21"/>
      <c r="BR683" s="21"/>
    </row>
    <row r="684">
      <c r="L684" s="20"/>
      <c r="M684" s="21"/>
      <c r="P684" s="21"/>
      <c r="S684" s="21"/>
      <c r="V684" s="21"/>
      <c r="Y684" s="21"/>
      <c r="AB684" s="21"/>
      <c r="AE684" s="21"/>
      <c r="AH684" s="21"/>
      <c r="AK684" s="21"/>
      <c r="AN684" s="21"/>
      <c r="AQ684" s="21"/>
      <c r="AT684" s="21"/>
      <c r="AW684" s="21"/>
      <c r="AZ684" s="21"/>
      <c r="BC684" s="21"/>
      <c r="BF684" s="21"/>
      <c r="BI684" s="21"/>
      <c r="BL684" s="21"/>
      <c r="BO684" s="21"/>
      <c r="BR684" s="21"/>
    </row>
    <row r="685">
      <c r="L685" s="20"/>
      <c r="M685" s="21"/>
      <c r="P685" s="21"/>
      <c r="S685" s="21"/>
      <c r="V685" s="21"/>
      <c r="Y685" s="21"/>
      <c r="AB685" s="21"/>
      <c r="AE685" s="21"/>
      <c r="AH685" s="21"/>
      <c r="AK685" s="21"/>
      <c r="AN685" s="21"/>
      <c r="AQ685" s="21"/>
      <c r="AT685" s="21"/>
      <c r="AW685" s="21"/>
      <c r="AZ685" s="21"/>
      <c r="BC685" s="21"/>
      <c r="BF685" s="21"/>
      <c r="BI685" s="21"/>
      <c r="BL685" s="21"/>
      <c r="BO685" s="21"/>
      <c r="BR685" s="21"/>
    </row>
    <row r="686">
      <c r="L686" s="20"/>
      <c r="M686" s="21"/>
      <c r="P686" s="21"/>
      <c r="S686" s="21"/>
      <c r="V686" s="21"/>
      <c r="Y686" s="21"/>
      <c r="AB686" s="21"/>
      <c r="AE686" s="21"/>
      <c r="AH686" s="21"/>
      <c r="AK686" s="21"/>
      <c r="AN686" s="21"/>
      <c r="AQ686" s="21"/>
      <c r="AT686" s="21"/>
      <c r="AW686" s="21"/>
      <c r="AZ686" s="21"/>
      <c r="BC686" s="21"/>
      <c r="BF686" s="21"/>
      <c r="BI686" s="21"/>
      <c r="BL686" s="21"/>
      <c r="BO686" s="21"/>
      <c r="BR686" s="21"/>
    </row>
    <row r="687">
      <c r="L687" s="20"/>
      <c r="M687" s="21"/>
      <c r="P687" s="21"/>
      <c r="S687" s="21"/>
      <c r="V687" s="21"/>
      <c r="Y687" s="21"/>
      <c r="AB687" s="21"/>
      <c r="AE687" s="21"/>
      <c r="AH687" s="21"/>
      <c r="AK687" s="21"/>
      <c r="AN687" s="21"/>
      <c r="AQ687" s="21"/>
      <c r="AT687" s="21"/>
      <c r="AW687" s="21"/>
      <c r="AZ687" s="21"/>
      <c r="BC687" s="21"/>
      <c r="BF687" s="21"/>
      <c r="BI687" s="21"/>
      <c r="BL687" s="21"/>
      <c r="BO687" s="21"/>
      <c r="BR687" s="21"/>
    </row>
    <row r="688">
      <c r="L688" s="20"/>
      <c r="M688" s="21"/>
      <c r="P688" s="21"/>
      <c r="S688" s="21"/>
      <c r="V688" s="21"/>
      <c r="Y688" s="21"/>
      <c r="AB688" s="21"/>
      <c r="AE688" s="21"/>
      <c r="AH688" s="21"/>
      <c r="AK688" s="21"/>
      <c r="AN688" s="21"/>
      <c r="AQ688" s="21"/>
      <c r="AT688" s="21"/>
      <c r="AW688" s="21"/>
      <c r="AZ688" s="21"/>
      <c r="BC688" s="21"/>
      <c r="BF688" s="21"/>
      <c r="BI688" s="21"/>
      <c r="BL688" s="21"/>
      <c r="BO688" s="21"/>
      <c r="BR688" s="21"/>
    </row>
    <row r="689">
      <c r="L689" s="20"/>
      <c r="M689" s="21"/>
      <c r="P689" s="21"/>
      <c r="S689" s="21"/>
      <c r="V689" s="21"/>
      <c r="Y689" s="21"/>
      <c r="AB689" s="21"/>
      <c r="AE689" s="21"/>
      <c r="AH689" s="21"/>
      <c r="AK689" s="21"/>
      <c r="AN689" s="21"/>
      <c r="AQ689" s="21"/>
      <c r="AT689" s="21"/>
      <c r="AW689" s="21"/>
      <c r="AZ689" s="21"/>
      <c r="BC689" s="21"/>
      <c r="BF689" s="21"/>
      <c r="BI689" s="21"/>
      <c r="BL689" s="21"/>
      <c r="BO689" s="21"/>
      <c r="BR689" s="21"/>
    </row>
    <row r="690">
      <c r="L690" s="20"/>
      <c r="M690" s="21"/>
      <c r="P690" s="21"/>
      <c r="S690" s="21"/>
      <c r="V690" s="21"/>
      <c r="Y690" s="21"/>
      <c r="AB690" s="21"/>
      <c r="AE690" s="21"/>
      <c r="AH690" s="21"/>
      <c r="AK690" s="21"/>
      <c r="AN690" s="21"/>
      <c r="AQ690" s="21"/>
      <c r="AT690" s="21"/>
      <c r="AW690" s="21"/>
      <c r="AZ690" s="21"/>
      <c r="BC690" s="21"/>
      <c r="BF690" s="21"/>
      <c r="BI690" s="21"/>
      <c r="BL690" s="21"/>
      <c r="BO690" s="21"/>
      <c r="BR690" s="21"/>
    </row>
    <row r="691">
      <c r="L691" s="20"/>
      <c r="M691" s="21"/>
      <c r="P691" s="21"/>
      <c r="S691" s="21"/>
      <c r="V691" s="21"/>
      <c r="Y691" s="21"/>
      <c r="AB691" s="21"/>
      <c r="AE691" s="21"/>
      <c r="AH691" s="21"/>
      <c r="AK691" s="21"/>
      <c r="AN691" s="21"/>
      <c r="AQ691" s="21"/>
      <c r="AT691" s="21"/>
      <c r="AW691" s="21"/>
      <c r="AZ691" s="21"/>
      <c r="BC691" s="21"/>
      <c r="BF691" s="21"/>
      <c r="BI691" s="21"/>
      <c r="BL691" s="21"/>
      <c r="BO691" s="21"/>
      <c r="BR691" s="21"/>
    </row>
    <row r="692">
      <c r="L692" s="20"/>
      <c r="M692" s="21"/>
      <c r="P692" s="21"/>
      <c r="S692" s="21"/>
      <c r="V692" s="21"/>
      <c r="Y692" s="21"/>
      <c r="AB692" s="21"/>
      <c r="AE692" s="21"/>
      <c r="AH692" s="21"/>
      <c r="AK692" s="21"/>
      <c r="AN692" s="21"/>
      <c r="AQ692" s="21"/>
      <c r="AT692" s="21"/>
      <c r="AW692" s="21"/>
      <c r="AZ692" s="21"/>
      <c r="BC692" s="21"/>
      <c r="BF692" s="21"/>
      <c r="BI692" s="21"/>
      <c r="BL692" s="21"/>
      <c r="BO692" s="21"/>
      <c r="BR692" s="21"/>
    </row>
    <row r="693">
      <c r="L693" s="20"/>
      <c r="M693" s="21"/>
      <c r="P693" s="21"/>
      <c r="S693" s="21"/>
      <c r="V693" s="21"/>
      <c r="Y693" s="21"/>
      <c r="AB693" s="21"/>
      <c r="AE693" s="21"/>
      <c r="AH693" s="21"/>
      <c r="AK693" s="21"/>
      <c r="AN693" s="21"/>
      <c r="AQ693" s="21"/>
      <c r="AT693" s="21"/>
      <c r="AW693" s="21"/>
      <c r="AZ693" s="21"/>
      <c r="BC693" s="21"/>
      <c r="BF693" s="21"/>
      <c r="BI693" s="21"/>
      <c r="BL693" s="21"/>
      <c r="BO693" s="21"/>
      <c r="BR693" s="21"/>
    </row>
    <row r="694">
      <c r="L694" s="20"/>
      <c r="M694" s="21"/>
      <c r="P694" s="21"/>
      <c r="S694" s="21"/>
      <c r="V694" s="21"/>
      <c r="Y694" s="21"/>
      <c r="AB694" s="21"/>
      <c r="AE694" s="21"/>
      <c r="AH694" s="21"/>
      <c r="AK694" s="21"/>
      <c r="AN694" s="21"/>
      <c r="AQ694" s="21"/>
      <c r="AT694" s="21"/>
      <c r="AW694" s="21"/>
      <c r="AZ694" s="21"/>
      <c r="BC694" s="21"/>
      <c r="BF694" s="21"/>
      <c r="BI694" s="21"/>
      <c r="BL694" s="21"/>
      <c r="BO694" s="21"/>
      <c r="BR694" s="21"/>
    </row>
    <row r="695">
      <c r="L695" s="20"/>
      <c r="M695" s="21"/>
      <c r="P695" s="21"/>
      <c r="S695" s="21"/>
      <c r="V695" s="21"/>
      <c r="Y695" s="21"/>
      <c r="AB695" s="21"/>
      <c r="AE695" s="21"/>
      <c r="AH695" s="21"/>
      <c r="AK695" s="21"/>
      <c r="AN695" s="21"/>
      <c r="AQ695" s="21"/>
      <c r="AT695" s="21"/>
      <c r="AW695" s="21"/>
      <c r="AZ695" s="21"/>
      <c r="BC695" s="21"/>
      <c r="BF695" s="21"/>
      <c r="BI695" s="21"/>
      <c r="BL695" s="21"/>
      <c r="BO695" s="21"/>
      <c r="BR695" s="21"/>
    </row>
    <row r="696">
      <c r="L696" s="20"/>
      <c r="M696" s="21"/>
      <c r="P696" s="21"/>
      <c r="S696" s="21"/>
      <c r="V696" s="21"/>
      <c r="Y696" s="21"/>
      <c r="AB696" s="21"/>
      <c r="AE696" s="21"/>
      <c r="AH696" s="21"/>
      <c r="AK696" s="21"/>
      <c r="AN696" s="21"/>
      <c r="AQ696" s="21"/>
      <c r="AT696" s="21"/>
      <c r="AW696" s="21"/>
      <c r="AZ696" s="21"/>
      <c r="BC696" s="21"/>
      <c r="BF696" s="21"/>
      <c r="BI696" s="21"/>
      <c r="BL696" s="21"/>
      <c r="BO696" s="21"/>
      <c r="BR696" s="21"/>
    </row>
    <row r="697">
      <c r="L697" s="20"/>
      <c r="M697" s="21"/>
      <c r="P697" s="21"/>
      <c r="S697" s="21"/>
      <c r="V697" s="21"/>
      <c r="Y697" s="21"/>
      <c r="AB697" s="21"/>
      <c r="AE697" s="21"/>
      <c r="AH697" s="21"/>
      <c r="AK697" s="21"/>
      <c r="AN697" s="21"/>
      <c r="AQ697" s="21"/>
      <c r="AT697" s="21"/>
      <c r="AW697" s="21"/>
      <c r="AZ697" s="21"/>
      <c r="BC697" s="21"/>
      <c r="BF697" s="21"/>
      <c r="BI697" s="21"/>
      <c r="BL697" s="21"/>
      <c r="BO697" s="21"/>
      <c r="BR697" s="21"/>
    </row>
    <row r="698">
      <c r="L698" s="20"/>
      <c r="M698" s="21"/>
      <c r="P698" s="21"/>
      <c r="S698" s="21"/>
      <c r="V698" s="21"/>
      <c r="Y698" s="21"/>
      <c r="AB698" s="21"/>
      <c r="AE698" s="21"/>
      <c r="AH698" s="21"/>
      <c r="AK698" s="21"/>
      <c r="AN698" s="21"/>
      <c r="AQ698" s="21"/>
      <c r="AT698" s="21"/>
      <c r="AW698" s="21"/>
      <c r="AZ698" s="21"/>
      <c r="BC698" s="21"/>
      <c r="BF698" s="21"/>
      <c r="BI698" s="21"/>
      <c r="BL698" s="21"/>
      <c r="BO698" s="21"/>
      <c r="BR698" s="21"/>
    </row>
    <row r="699">
      <c r="L699" s="20"/>
      <c r="M699" s="21"/>
      <c r="P699" s="21"/>
      <c r="S699" s="21"/>
      <c r="V699" s="21"/>
      <c r="Y699" s="21"/>
      <c r="AB699" s="21"/>
      <c r="AE699" s="21"/>
      <c r="AH699" s="21"/>
      <c r="AK699" s="21"/>
      <c r="AN699" s="21"/>
      <c r="AQ699" s="21"/>
      <c r="AT699" s="21"/>
      <c r="AW699" s="21"/>
      <c r="AZ699" s="21"/>
      <c r="BC699" s="21"/>
      <c r="BF699" s="21"/>
      <c r="BI699" s="21"/>
      <c r="BL699" s="21"/>
      <c r="BO699" s="21"/>
      <c r="BR699" s="21"/>
    </row>
    <row r="700">
      <c r="L700" s="20"/>
      <c r="M700" s="21"/>
      <c r="P700" s="21"/>
      <c r="S700" s="21"/>
      <c r="V700" s="21"/>
      <c r="Y700" s="21"/>
      <c r="AB700" s="21"/>
      <c r="AE700" s="21"/>
      <c r="AH700" s="21"/>
      <c r="AK700" s="21"/>
      <c r="AN700" s="21"/>
      <c r="AQ700" s="21"/>
      <c r="AT700" s="21"/>
      <c r="AW700" s="21"/>
      <c r="AZ700" s="21"/>
      <c r="BC700" s="21"/>
      <c r="BF700" s="21"/>
      <c r="BI700" s="21"/>
      <c r="BL700" s="21"/>
      <c r="BO700" s="21"/>
      <c r="BR700" s="21"/>
    </row>
    <row r="701">
      <c r="L701" s="20"/>
      <c r="M701" s="21"/>
      <c r="P701" s="21"/>
      <c r="S701" s="21"/>
      <c r="V701" s="21"/>
      <c r="Y701" s="21"/>
      <c r="AB701" s="21"/>
      <c r="AE701" s="21"/>
      <c r="AH701" s="21"/>
      <c r="AK701" s="21"/>
      <c r="AN701" s="21"/>
      <c r="AQ701" s="21"/>
      <c r="AT701" s="21"/>
      <c r="AW701" s="21"/>
      <c r="AZ701" s="21"/>
      <c r="BC701" s="21"/>
      <c r="BF701" s="21"/>
      <c r="BI701" s="21"/>
      <c r="BL701" s="21"/>
      <c r="BO701" s="21"/>
      <c r="BR701" s="21"/>
    </row>
    <row r="702">
      <c r="L702" s="20"/>
      <c r="M702" s="21"/>
      <c r="P702" s="21"/>
      <c r="S702" s="21"/>
      <c r="V702" s="21"/>
      <c r="Y702" s="21"/>
      <c r="AB702" s="21"/>
      <c r="AE702" s="21"/>
      <c r="AH702" s="21"/>
      <c r="AK702" s="21"/>
      <c r="AN702" s="21"/>
      <c r="AQ702" s="21"/>
      <c r="AT702" s="21"/>
      <c r="AW702" s="21"/>
      <c r="AZ702" s="21"/>
      <c r="BC702" s="21"/>
      <c r="BF702" s="21"/>
      <c r="BI702" s="21"/>
      <c r="BL702" s="21"/>
      <c r="BO702" s="21"/>
      <c r="BR702" s="21"/>
    </row>
    <row r="703">
      <c r="L703" s="20"/>
      <c r="M703" s="21"/>
      <c r="P703" s="21"/>
      <c r="S703" s="21"/>
      <c r="V703" s="21"/>
      <c r="Y703" s="21"/>
      <c r="AB703" s="21"/>
      <c r="AE703" s="21"/>
      <c r="AH703" s="21"/>
      <c r="AK703" s="21"/>
      <c r="AN703" s="21"/>
      <c r="AQ703" s="21"/>
      <c r="AT703" s="21"/>
      <c r="AW703" s="21"/>
      <c r="AZ703" s="21"/>
      <c r="BC703" s="21"/>
      <c r="BF703" s="21"/>
      <c r="BI703" s="21"/>
      <c r="BL703" s="21"/>
      <c r="BO703" s="21"/>
      <c r="BR703" s="21"/>
    </row>
    <row r="704">
      <c r="L704" s="20"/>
      <c r="M704" s="21"/>
      <c r="P704" s="21"/>
      <c r="S704" s="21"/>
      <c r="V704" s="21"/>
      <c r="Y704" s="21"/>
      <c r="AB704" s="21"/>
      <c r="AE704" s="21"/>
      <c r="AH704" s="21"/>
      <c r="AK704" s="21"/>
      <c r="AN704" s="21"/>
      <c r="AQ704" s="21"/>
      <c r="AT704" s="21"/>
      <c r="AW704" s="21"/>
      <c r="AZ704" s="21"/>
      <c r="BC704" s="21"/>
      <c r="BF704" s="21"/>
      <c r="BI704" s="21"/>
      <c r="BL704" s="21"/>
      <c r="BO704" s="21"/>
      <c r="BR704" s="21"/>
    </row>
    <row r="705">
      <c r="L705" s="20"/>
      <c r="M705" s="21"/>
      <c r="P705" s="21"/>
      <c r="S705" s="21"/>
      <c r="V705" s="21"/>
      <c r="Y705" s="21"/>
      <c r="AB705" s="21"/>
      <c r="AE705" s="21"/>
      <c r="AH705" s="21"/>
      <c r="AK705" s="21"/>
      <c r="AN705" s="21"/>
      <c r="AQ705" s="21"/>
      <c r="AT705" s="21"/>
      <c r="AW705" s="21"/>
      <c r="AZ705" s="21"/>
      <c r="BC705" s="21"/>
      <c r="BF705" s="21"/>
      <c r="BI705" s="21"/>
      <c r="BL705" s="21"/>
      <c r="BO705" s="21"/>
      <c r="BR705" s="21"/>
    </row>
    <row r="706">
      <c r="L706" s="20"/>
      <c r="M706" s="21"/>
      <c r="P706" s="21"/>
      <c r="S706" s="21"/>
      <c r="V706" s="21"/>
      <c r="Y706" s="21"/>
      <c r="AB706" s="21"/>
      <c r="AE706" s="21"/>
      <c r="AH706" s="21"/>
      <c r="AK706" s="21"/>
      <c r="AN706" s="21"/>
      <c r="AQ706" s="21"/>
      <c r="AT706" s="21"/>
      <c r="AW706" s="21"/>
      <c r="AZ706" s="21"/>
      <c r="BC706" s="21"/>
      <c r="BF706" s="21"/>
      <c r="BI706" s="21"/>
      <c r="BL706" s="21"/>
      <c r="BO706" s="21"/>
      <c r="BR706" s="21"/>
    </row>
    <row r="707">
      <c r="L707" s="20"/>
      <c r="M707" s="21"/>
      <c r="P707" s="21"/>
      <c r="S707" s="21"/>
      <c r="V707" s="21"/>
      <c r="Y707" s="21"/>
      <c r="AB707" s="21"/>
      <c r="AE707" s="21"/>
      <c r="AH707" s="21"/>
      <c r="AK707" s="21"/>
      <c r="AN707" s="21"/>
      <c r="AQ707" s="21"/>
      <c r="AT707" s="21"/>
      <c r="AW707" s="21"/>
      <c r="AZ707" s="21"/>
      <c r="BC707" s="21"/>
      <c r="BF707" s="21"/>
      <c r="BI707" s="21"/>
      <c r="BL707" s="21"/>
      <c r="BO707" s="21"/>
      <c r="BR707" s="21"/>
    </row>
    <row r="708">
      <c r="L708" s="20"/>
      <c r="M708" s="21"/>
      <c r="P708" s="21"/>
      <c r="S708" s="21"/>
      <c r="V708" s="21"/>
      <c r="Y708" s="21"/>
      <c r="AB708" s="21"/>
      <c r="AE708" s="21"/>
      <c r="AH708" s="21"/>
      <c r="AK708" s="21"/>
      <c r="AN708" s="21"/>
      <c r="AQ708" s="21"/>
      <c r="AT708" s="21"/>
      <c r="AW708" s="21"/>
      <c r="AZ708" s="21"/>
      <c r="BC708" s="21"/>
      <c r="BF708" s="21"/>
      <c r="BI708" s="21"/>
      <c r="BL708" s="21"/>
      <c r="BO708" s="21"/>
      <c r="BR708" s="21"/>
    </row>
    <row r="709">
      <c r="L709" s="20"/>
      <c r="M709" s="21"/>
      <c r="P709" s="21"/>
      <c r="S709" s="21"/>
      <c r="V709" s="21"/>
      <c r="Y709" s="21"/>
      <c r="AB709" s="21"/>
      <c r="AE709" s="21"/>
      <c r="AH709" s="21"/>
      <c r="AK709" s="21"/>
      <c r="AN709" s="21"/>
      <c r="AQ709" s="21"/>
      <c r="AT709" s="21"/>
      <c r="AW709" s="21"/>
      <c r="AZ709" s="21"/>
      <c r="BC709" s="21"/>
      <c r="BF709" s="21"/>
      <c r="BI709" s="21"/>
      <c r="BL709" s="21"/>
      <c r="BO709" s="21"/>
      <c r="BR709" s="21"/>
    </row>
    <row r="710">
      <c r="L710" s="20"/>
      <c r="M710" s="21"/>
      <c r="P710" s="21"/>
      <c r="S710" s="21"/>
      <c r="V710" s="21"/>
      <c r="Y710" s="21"/>
      <c r="AB710" s="21"/>
      <c r="AE710" s="21"/>
      <c r="AH710" s="21"/>
      <c r="AK710" s="21"/>
      <c r="AN710" s="21"/>
      <c r="AQ710" s="21"/>
      <c r="AT710" s="21"/>
      <c r="AW710" s="21"/>
      <c r="AZ710" s="21"/>
      <c r="BC710" s="21"/>
      <c r="BF710" s="21"/>
      <c r="BI710" s="21"/>
      <c r="BL710" s="21"/>
      <c r="BO710" s="21"/>
      <c r="BR710" s="21"/>
    </row>
    <row r="711">
      <c r="L711" s="20"/>
      <c r="M711" s="21"/>
      <c r="P711" s="21"/>
      <c r="S711" s="21"/>
      <c r="V711" s="21"/>
      <c r="Y711" s="21"/>
      <c r="AB711" s="21"/>
      <c r="AE711" s="21"/>
      <c r="AH711" s="21"/>
      <c r="AK711" s="21"/>
      <c r="AN711" s="21"/>
      <c r="AQ711" s="21"/>
      <c r="AT711" s="21"/>
      <c r="AW711" s="21"/>
      <c r="AZ711" s="21"/>
      <c r="BC711" s="21"/>
      <c r="BF711" s="21"/>
      <c r="BI711" s="21"/>
      <c r="BL711" s="21"/>
      <c r="BO711" s="21"/>
      <c r="BR711" s="21"/>
    </row>
    <row r="712">
      <c r="L712" s="20"/>
      <c r="M712" s="21"/>
      <c r="P712" s="21"/>
      <c r="S712" s="21"/>
      <c r="V712" s="21"/>
      <c r="Y712" s="21"/>
      <c r="AB712" s="21"/>
      <c r="AE712" s="21"/>
      <c r="AH712" s="21"/>
      <c r="AK712" s="21"/>
      <c r="AN712" s="21"/>
      <c r="AQ712" s="21"/>
      <c r="AT712" s="21"/>
      <c r="AW712" s="21"/>
      <c r="AZ712" s="21"/>
      <c r="BC712" s="21"/>
      <c r="BF712" s="21"/>
      <c r="BI712" s="21"/>
      <c r="BL712" s="21"/>
      <c r="BO712" s="21"/>
      <c r="BR712" s="21"/>
    </row>
    <row r="713">
      <c r="L713" s="20"/>
      <c r="M713" s="21"/>
      <c r="P713" s="21"/>
      <c r="S713" s="21"/>
      <c r="V713" s="21"/>
      <c r="Y713" s="21"/>
      <c r="AB713" s="21"/>
      <c r="AE713" s="21"/>
      <c r="AH713" s="21"/>
      <c r="AK713" s="21"/>
      <c r="AN713" s="21"/>
      <c r="AQ713" s="21"/>
      <c r="AT713" s="21"/>
      <c r="AW713" s="21"/>
      <c r="AZ713" s="21"/>
      <c r="BC713" s="21"/>
      <c r="BF713" s="21"/>
      <c r="BI713" s="21"/>
      <c r="BL713" s="21"/>
      <c r="BO713" s="21"/>
      <c r="BR713" s="21"/>
    </row>
    <row r="714">
      <c r="L714" s="20"/>
      <c r="M714" s="21"/>
      <c r="P714" s="21"/>
      <c r="S714" s="21"/>
      <c r="V714" s="21"/>
      <c r="Y714" s="21"/>
      <c r="AB714" s="21"/>
      <c r="AE714" s="21"/>
      <c r="AH714" s="21"/>
      <c r="AK714" s="21"/>
      <c r="AN714" s="21"/>
      <c r="AQ714" s="21"/>
      <c r="AT714" s="21"/>
      <c r="AW714" s="21"/>
      <c r="AZ714" s="21"/>
      <c r="BC714" s="21"/>
      <c r="BF714" s="21"/>
      <c r="BI714" s="21"/>
      <c r="BL714" s="21"/>
      <c r="BO714" s="21"/>
      <c r="BR714" s="21"/>
    </row>
    <row r="715">
      <c r="L715" s="20"/>
      <c r="M715" s="21"/>
      <c r="P715" s="21"/>
      <c r="S715" s="21"/>
      <c r="V715" s="21"/>
      <c r="Y715" s="21"/>
      <c r="AB715" s="21"/>
      <c r="AE715" s="21"/>
      <c r="AH715" s="21"/>
      <c r="AK715" s="21"/>
      <c r="AN715" s="21"/>
      <c r="AQ715" s="21"/>
      <c r="AT715" s="21"/>
      <c r="AW715" s="21"/>
      <c r="AZ715" s="21"/>
      <c r="BC715" s="21"/>
      <c r="BF715" s="21"/>
      <c r="BI715" s="21"/>
      <c r="BL715" s="21"/>
      <c r="BO715" s="21"/>
      <c r="BR715" s="21"/>
    </row>
    <row r="716">
      <c r="L716" s="20"/>
      <c r="M716" s="21"/>
      <c r="P716" s="21"/>
      <c r="S716" s="21"/>
      <c r="V716" s="21"/>
      <c r="Y716" s="21"/>
      <c r="AB716" s="21"/>
      <c r="AE716" s="21"/>
      <c r="AH716" s="21"/>
      <c r="AK716" s="21"/>
      <c r="AN716" s="21"/>
      <c r="AQ716" s="21"/>
      <c r="AT716" s="21"/>
      <c r="AW716" s="21"/>
      <c r="AZ716" s="21"/>
      <c r="BC716" s="21"/>
      <c r="BF716" s="21"/>
      <c r="BI716" s="21"/>
      <c r="BL716" s="21"/>
      <c r="BO716" s="21"/>
      <c r="BR716" s="21"/>
    </row>
    <row r="717">
      <c r="L717" s="20"/>
      <c r="M717" s="21"/>
      <c r="P717" s="21"/>
      <c r="S717" s="21"/>
      <c r="V717" s="21"/>
      <c r="Y717" s="21"/>
      <c r="AB717" s="21"/>
      <c r="AE717" s="21"/>
      <c r="AH717" s="21"/>
      <c r="AK717" s="21"/>
      <c r="AN717" s="21"/>
      <c r="AQ717" s="21"/>
      <c r="AT717" s="21"/>
      <c r="AW717" s="21"/>
      <c r="AZ717" s="21"/>
      <c r="BC717" s="21"/>
      <c r="BF717" s="21"/>
      <c r="BI717" s="21"/>
      <c r="BL717" s="21"/>
      <c r="BO717" s="21"/>
      <c r="BR717" s="21"/>
    </row>
    <row r="718">
      <c r="L718" s="20"/>
      <c r="M718" s="21"/>
      <c r="P718" s="21"/>
      <c r="S718" s="21"/>
      <c r="V718" s="21"/>
      <c r="Y718" s="21"/>
      <c r="AB718" s="21"/>
      <c r="AE718" s="21"/>
      <c r="AH718" s="21"/>
      <c r="AK718" s="21"/>
      <c r="AN718" s="21"/>
      <c r="AQ718" s="21"/>
      <c r="AT718" s="21"/>
      <c r="AW718" s="21"/>
      <c r="AZ718" s="21"/>
      <c r="BC718" s="21"/>
      <c r="BF718" s="21"/>
      <c r="BI718" s="21"/>
      <c r="BL718" s="21"/>
      <c r="BO718" s="21"/>
      <c r="BR718" s="21"/>
    </row>
    <row r="719">
      <c r="L719" s="20"/>
      <c r="M719" s="21"/>
      <c r="P719" s="21"/>
      <c r="S719" s="21"/>
      <c r="V719" s="21"/>
      <c r="Y719" s="21"/>
      <c r="AB719" s="21"/>
      <c r="AE719" s="21"/>
      <c r="AH719" s="21"/>
      <c r="AK719" s="21"/>
      <c r="AN719" s="21"/>
      <c r="AQ719" s="21"/>
      <c r="AT719" s="21"/>
      <c r="AW719" s="21"/>
      <c r="AZ719" s="21"/>
      <c r="BC719" s="21"/>
      <c r="BF719" s="21"/>
      <c r="BI719" s="21"/>
      <c r="BL719" s="21"/>
      <c r="BO719" s="21"/>
      <c r="BR719" s="21"/>
    </row>
    <row r="720">
      <c r="L720" s="20"/>
      <c r="M720" s="21"/>
      <c r="P720" s="21"/>
      <c r="S720" s="21"/>
      <c r="V720" s="21"/>
      <c r="Y720" s="21"/>
      <c r="AB720" s="21"/>
      <c r="AE720" s="21"/>
      <c r="AH720" s="21"/>
      <c r="AK720" s="21"/>
      <c r="AN720" s="21"/>
      <c r="AQ720" s="21"/>
      <c r="AT720" s="21"/>
      <c r="AW720" s="21"/>
      <c r="AZ720" s="21"/>
      <c r="BC720" s="21"/>
      <c r="BF720" s="21"/>
      <c r="BI720" s="21"/>
      <c r="BL720" s="21"/>
      <c r="BO720" s="21"/>
      <c r="BR720" s="21"/>
    </row>
    <row r="721">
      <c r="L721" s="20"/>
      <c r="M721" s="21"/>
      <c r="P721" s="21"/>
      <c r="S721" s="21"/>
      <c r="V721" s="21"/>
      <c r="Y721" s="21"/>
      <c r="AB721" s="21"/>
      <c r="AE721" s="21"/>
      <c r="AH721" s="21"/>
      <c r="AK721" s="21"/>
      <c r="AN721" s="21"/>
      <c r="AQ721" s="21"/>
      <c r="AT721" s="21"/>
      <c r="AW721" s="21"/>
      <c r="AZ721" s="21"/>
      <c r="BC721" s="21"/>
      <c r="BF721" s="21"/>
      <c r="BI721" s="21"/>
      <c r="BL721" s="21"/>
      <c r="BO721" s="21"/>
      <c r="BR721" s="21"/>
    </row>
    <row r="722">
      <c r="L722" s="20"/>
      <c r="M722" s="21"/>
      <c r="P722" s="21"/>
      <c r="S722" s="21"/>
      <c r="V722" s="21"/>
      <c r="Y722" s="21"/>
      <c r="AB722" s="21"/>
      <c r="AE722" s="21"/>
      <c r="AH722" s="21"/>
      <c r="AK722" s="21"/>
      <c r="AN722" s="21"/>
      <c r="AQ722" s="21"/>
      <c r="AT722" s="21"/>
      <c r="AW722" s="21"/>
      <c r="AZ722" s="21"/>
      <c r="BC722" s="21"/>
      <c r="BF722" s="21"/>
      <c r="BI722" s="21"/>
      <c r="BL722" s="21"/>
      <c r="BO722" s="21"/>
      <c r="BR722" s="21"/>
    </row>
    <row r="723">
      <c r="L723" s="20"/>
      <c r="M723" s="21"/>
      <c r="P723" s="21"/>
      <c r="S723" s="21"/>
      <c r="V723" s="21"/>
      <c r="Y723" s="21"/>
      <c r="AB723" s="21"/>
      <c r="AE723" s="21"/>
      <c r="AH723" s="21"/>
      <c r="AK723" s="21"/>
      <c r="AN723" s="21"/>
      <c r="AQ723" s="21"/>
      <c r="AT723" s="21"/>
      <c r="AW723" s="21"/>
      <c r="AZ723" s="21"/>
      <c r="BC723" s="21"/>
      <c r="BF723" s="21"/>
      <c r="BI723" s="21"/>
      <c r="BL723" s="21"/>
      <c r="BO723" s="21"/>
      <c r="BR723" s="21"/>
    </row>
    <row r="724">
      <c r="L724" s="20"/>
      <c r="M724" s="21"/>
      <c r="P724" s="21"/>
      <c r="S724" s="21"/>
      <c r="V724" s="21"/>
      <c r="Y724" s="21"/>
      <c r="AB724" s="21"/>
      <c r="AE724" s="21"/>
      <c r="AH724" s="21"/>
      <c r="AK724" s="21"/>
      <c r="AN724" s="21"/>
      <c r="AQ724" s="21"/>
      <c r="AT724" s="21"/>
      <c r="AW724" s="21"/>
      <c r="AZ724" s="21"/>
      <c r="BC724" s="21"/>
      <c r="BF724" s="21"/>
      <c r="BI724" s="21"/>
      <c r="BL724" s="21"/>
      <c r="BO724" s="21"/>
      <c r="BR724" s="21"/>
    </row>
    <row r="725">
      <c r="L725" s="20"/>
      <c r="M725" s="21"/>
      <c r="P725" s="21"/>
      <c r="S725" s="21"/>
      <c r="V725" s="21"/>
      <c r="Y725" s="21"/>
      <c r="AB725" s="21"/>
      <c r="AE725" s="21"/>
      <c r="AH725" s="21"/>
      <c r="AK725" s="21"/>
      <c r="AN725" s="21"/>
      <c r="AQ725" s="21"/>
      <c r="AT725" s="21"/>
      <c r="AW725" s="21"/>
      <c r="AZ725" s="21"/>
      <c r="BC725" s="21"/>
      <c r="BF725" s="21"/>
      <c r="BI725" s="21"/>
      <c r="BL725" s="21"/>
      <c r="BO725" s="21"/>
      <c r="BR725" s="21"/>
    </row>
    <row r="726">
      <c r="L726" s="20"/>
      <c r="M726" s="21"/>
      <c r="P726" s="21"/>
      <c r="S726" s="21"/>
      <c r="V726" s="21"/>
      <c r="Y726" s="21"/>
      <c r="AB726" s="21"/>
      <c r="AE726" s="21"/>
      <c r="AH726" s="21"/>
      <c r="AK726" s="21"/>
      <c r="AN726" s="21"/>
      <c r="AQ726" s="21"/>
      <c r="AT726" s="21"/>
      <c r="AW726" s="21"/>
      <c r="AZ726" s="21"/>
      <c r="BC726" s="21"/>
      <c r="BF726" s="21"/>
      <c r="BI726" s="21"/>
      <c r="BL726" s="21"/>
      <c r="BO726" s="21"/>
      <c r="BR726" s="21"/>
    </row>
    <row r="727">
      <c r="L727" s="20"/>
      <c r="M727" s="21"/>
      <c r="P727" s="21"/>
      <c r="S727" s="21"/>
      <c r="V727" s="21"/>
      <c r="Y727" s="21"/>
      <c r="AB727" s="21"/>
      <c r="AE727" s="21"/>
      <c r="AH727" s="21"/>
      <c r="AK727" s="21"/>
      <c r="AN727" s="21"/>
      <c r="AQ727" s="21"/>
      <c r="AT727" s="21"/>
      <c r="AW727" s="21"/>
      <c r="AZ727" s="21"/>
      <c r="BC727" s="21"/>
      <c r="BF727" s="21"/>
      <c r="BI727" s="21"/>
      <c r="BL727" s="21"/>
      <c r="BO727" s="21"/>
      <c r="BR727" s="21"/>
    </row>
    <row r="728">
      <c r="L728" s="20"/>
      <c r="M728" s="21"/>
      <c r="P728" s="21"/>
      <c r="S728" s="21"/>
      <c r="V728" s="21"/>
      <c r="Y728" s="21"/>
      <c r="AB728" s="21"/>
      <c r="AE728" s="21"/>
      <c r="AH728" s="21"/>
      <c r="AK728" s="21"/>
      <c r="AN728" s="21"/>
      <c r="AQ728" s="21"/>
      <c r="AT728" s="21"/>
      <c r="AW728" s="21"/>
      <c r="AZ728" s="21"/>
      <c r="BC728" s="21"/>
      <c r="BF728" s="21"/>
      <c r="BI728" s="21"/>
      <c r="BL728" s="21"/>
      <c r="BO728" s="21"/>
      <c r="BR728" s="21"/>
    </row>
    <row r="729">
      <c r="L729" s="20"/>
      <c r="M729" s="21"/>
      <c r="P729" s="21"/>
      <c r="S729" s="21"/>
      <c r="V729" s="21"/>
      <c r="Y729" s="21"/>
      <c r="AB729" s="21"/>
      <c r="AE729" s="21"/>
      <c r="AH729" s="21"/>
      <c r="AK729" s="21"/>
      <c r="AN729" s="21"/>
      <c r="AQ729" s="21"/>
      <c r="AT729" s="21"/>
      <c r="AW729" s="21"/>
      <c r="AZ729" s="21"/>
      <c r="BC729" s="21"/>
      <c r="BF729" s="21"/>
      <c r="BI729" s="21"/>
      <c r="BL729" s="21"/>
      <c r="BO729" s="21"/>
      <c r="BR729" s="21"/>
    </row>
    <row r="730">
      <c r="L730" s="20"/>
      <c r="M730" s="21"/>
      <c r="P730" s="21"/>
      <c r="S730" s="21"/>
      <c r="V730" s="21"/>
      <c r="Y730" s="21"/>
      <c r="AB730" s="21"/>
      <c r="AE730" s="21"/>
      <c r="AH730" s="21"/>
      <c r="AK730" s="21"/>
      <c r="AN730" s="21"/>
      <c r="AQ730" s="21"/>
      <c r="AT730" s="21"/>
      <c r="AW730" s="21"/>
      <c r="AZ730" s="21"/>
      <c r="BC730" s="21"/>
      <c r="BF730" s="21"/>
      <c r="BI730" s="21"/>
      <c r="BL730" s="21"/>
      <c r="BO730" s="21"/>
      <c r="BR730" s="21"/>
    </row>
    <row r="731">
      <c r="L731" s="20"/>
      <c r="M731" s="21"/>
      <c r="P731" s="21"/>
      <c r="S731" s="21"/>
      <c r="V731" s="21"/>
      <c r="Y731" s="21"/>
      <c r="AB731" s="21"/>
      <c r="AE731" s="21"/>
      <c r="AH731" s="21"/>
      <c r="AK731" s="21"/>
      <c r="AN731" s="21"/>
      <c r="AQ731" s="21"/>
      <c r="AT731" s="21"/>
      <c r="AW731" s="21"/>
      <c r="AZ731" s="21"/>
      <c r="BC731" s="21"/>
      <c r="BF731" s="21"/>
      <c r="BI731" s="21"/>
      <c r="BL731" s="21"/>
      <c r="BO731" s="21"/>
      <c r="BR731" s="21"/>
    </row>
    <row r="732">
      <c r="L732" s="20"/>
      <c r="M732" s="21"/>
      <c r="P732" s="21"/>
      <c r="S732" s="21"/>
      <c r="V732" s="21"/>
      <c r="Y732" s="21"/>
      <c r="AB732" s="21"/>
      <c r="AE732" s="21"/>
      <c r="AH732" s="21"/>
      <c r="AK732" s="21"/>
      <c r="AN732" s="21"/>
      <c r="AQ732" s="21"/>
      <c r="AT732" s="21"/>
      <c r="AW732" s="21"/>
      <c r="AZ732" s="21"/>
      <c r="BC732" s="21"/>
      <c r="BF732" s="21"/>
      <c r="BI732" s="21"/>
      <c r="BL732" s="21"/>
      <c r="BO732" s="21"/>
      <c r="BR732" s="21"/>
    </row>
    <row r="733">
      <c r="L733" s="20"/>
      <c r="M733" s="21"/>
      <c r="P733" s="21"/>
      <c r="S733" s="21"/>
      <c r="V733" s="21"/>
      <c r="Y733" s="21"/>
      <c r="AB733" s="21"/>
      <c r="AE733" s="21"/>
      <c r="AH733" s="21"/>
      <c r="AK733" s="21"/>
      <c r="AN733" s="21"/>
      <c r="AQ733" s="21"/>
      <c r="AT733" s="21"/>
      <c r="AW733" s="21"/>
      <c r="AZ733" s="21"/>
      <c r="BC733" s="21"/>
      <c r="BF733" s="21"/>
      <c r="BI733" s="21"/>
      <c r="BL733" s="21"/>
      <c r="BO733" s="21"/>
      <c r="BR733" s="21"/>
    </row>
    <row r="734">
      <c r="L734" s="20"/>
      <c r="M734" s="21"/>
      <c r="P734" s="21"/>
      <c r="S734" s="21"/>
      <c r="V734" s="21"/>
      <c r="Y734" s="21"/>
      <c r="AB734" s="21"/>
      <c r="AE734" s="21"/>
      <c r="AH734" s="21"/>
      <c r="AK734" s="21"/>
      <c r="AN734" s="21"/>
      <c r="AQ734" s="21"/>
      <c r="AT734" s="21"/>
      <c r="AW734" s="21"/>
      <c r="AZ734" s="21"/>
      <c r="BC734" s="21"/>
      <c r="BF734" s="21"/>
      <c r="BI734" s="21"/>
      <c r="BL734" s="21"/>
      <c r="BO734" s="21"/>
      <c r="BR734" s="21"/>
    </row>
    <row r="735">
      <c r="L735" s="20"/>
      <c r="M735" s="21"/>
      <c r="P735" s="21"/>
      <c r="S735" s="21"/>
      <c r="V735" s="21"/>
      <c r="Y735" s="21"/>
      <c r="AB735" s="21"/>
      <c r="AE735" s="21"/>
      <c r="AH735" s="21"/>
      <c r="AK735" s="21"/>
      <c r="AN735" s="21"/>
      <c r="AQ735" s="21"/>
      <c r="AT735" s="21"/>
      <c r="AW735" s="21"/>
      <c r="AZ735" s="21"/>
      <c r="BC735" s="21"/>
      <c r="BF735" s="21"/>
      <c r="BI735" s="21"/>
      <c r="BL735" s="21"/>
      <c r="BO735" s="21"/>
      <c r="BR735" s="21"/>
    </row>
    <row r="736">
      <c r="L736" s="20"/>
      <c r="M736" s="21"/>
      <c r="P736" s="21"/>
      <c r="S736" s="21"/>
      <c r="V736" s="21"/>
      <c r="Y736" s="21"/>
      <c r="AB736" s="21"/>
      <c r="AE736" s="21"/>
      <c r="AH736" s="21"/>
      <c r="AK736" s="21"/>
      <c r="AN736" s="21"/>
      <c r="AQ736" s="21"/>
      <c r="AT736" s="21"/>
      <c r="AW736" s="21"/>
      <c r="AZ736" s="21"/>
      <c r="BC736" s="21"/>
      <c r="BF736" s="21"/>
      <c r="BI736" s="21"/>
      <c r="BL736" s="21"/>
      <c r="BO736" s="21"/>
      <c r="BR736" s="21"/>
    </row>
    <row r="737">
      <c r="L737" s="20"/>
      <c r="M737" s="21"/>
      <c r="P737" s="21"/>
      <c r="S737" s="21"/>
      <c r="V737" s="21"/>
      <c r="Y737" s="21"/>
      <c r="AB737" s="21"/>
      <c r="AE737" s="21"/>
      <c r="AH737" s="21"/>
      <c r="AK737" s="21"/>
      <c r="AN737" s="21"/>
      <c r="AQ737" s="21"/>
      <c r="AT737" s="21"/>
      <c r="AW737" s="21"/>
      <c r="AZ737" s="21"/>
      <c r="BC737" s="21"/>
      <c r="BF737" s="21"/>
      <c r="BI737" s="21"/>
      <c r="BL737" s="21"/>
      <c r="BO737" s="21"/>
      <c r="BR737" s="21"/>
    </row>
    <row r="738">
      <c r="L738" s="20"/>
      <c r="M738" s="21"/>
      <c r="P738" s="21"/>
      <c r="S738" s="21"/>
      <c r="V738" s="21"/>
      <c r="Y738" s="21"/>
      <c r="AB738" s="21"/>
      <c r="AE738" s="21"/>
      <c r="AH738" s="21"/>
      <c r="AK738" s="21"/>
      <c r="AN738" s="21"/>
      <c r="AQ738" s="21"/>
      <c r="AT738" s="21"/>
      <c r="AW738" s="21"/>
      <c r="AZ738" s="21"/>
      <c r="BC738" s="21"/>
      <c r="BF738" s="21"/>
      <c r="BI738" s="21"/>
      <c r="BL738" s="21"/>
      <c r="BO738" s="21"/>
      <c r="BR738" s="21"/>
    </row>
    <row r="739">
      <c r="L739" s="20"/>
      <c r="M739" s="21"/>
      <c r="P739" s="21"/>
      <c r="S739" s="21"/>
      <c r="V739" s="21"/>
      <c r="Y739" s="21"/>
      <c r="AB739" s="21"/>
      <c r="AE739" s="21"/>
      <c r="AH739" s="21"/>
      <c r="AK739" s="21"/>
      <c r="AN739" s="21"/>
      <c r="AQ739" s="21"/>
      <c r="AT739" s="21"/>
      <c r="AW739" s="21"/>
      <c r="AZ739" s="21"/>
      <c r="BC739" s="21"/>
      <c r="BF739" s="21"/>
      <c r="BI739" s="21"/>
      <c r="BL739" s="21"/>
      <c r="BO739" s="21"/>
      <c r="BR739" s="21"/>
    </row>
    <row r="740">
      <c r="L740" s="20"/>
      <c r="M740" s="21"/>
      <c r="P740" s="21"/>
      <c r="S740" s="21"/>
      <c r="V740" s="21"/>
      <c r="Y740" s="21"/>
      <c r="AB740" s="21"/>
      <c r="AE740" s="21"/>
      <c r="AH740" s="21"/>
      <c r="AK740" s="21"/>
      <c r="AN740" s="21"/>
      <c r="AQ740" s="21"/>
      <c r="AT740" s="21"/>
      <c r="AW740" s="21"/>
      <c r="AZ740" s="21"/>
      <c r="BC740" s="21"/>
      <c r="BF740" s="21"/>
      <c r="BI740" s="21"/>
      <c r="BL740" s="21"/>
      <c r="BO740" s="21"/>
      <c r="BR740" s="21"/>
    </row>
    <row r="741">
      <c r="L741" s="20"/>
      <c r="M741" s="21"/>
      <c r="P741" s="21"/>
      <c r="S741" s="21"/>
      <c r="V741" s="21"/>
      <c r="Y741" s="21"/>
      <c r="AB741" s="21"/>
      <c r="AE741" s="21"/>
      <c r="AH741" s="21"/>
      <c r="AK741" s="21"/>
      <c r="AN741" s="21"/>
      <c r="AQ741" s="21"/>
      <c r="AT741" s="21"/>
      <c r="AW741" s="21"/>
      <c r="AZ741" s="21"/>
      <c r="BC741" s="21"/>
      <c r="BF741" s="21"/>
      <c r="BI741" s="21"/>
      <c r="BL741" s="21"/>
      <c r="BO741" s="21"/>
      <c r="BR741" s="21"/>
    </row>
    <row r="742">
      <c r="L742" s="20"/>
      <c r="M742" s="21"/>
      <c r="P742" s="21"/>
      <c r="S742" s="21"/>
      <c r="V742" s="21"/>
      <c r="Y742" s="21"/>
      <c r="AB742" s="21"/>
      <c r="AE742" s="21"/>
      <c r="AH742" s="21"/>
      <c r="AK742" s="21"/>
      <c r="AN742" s="21"/>
      <c r="AQ742" s="21"/>
      <c r="AT742" s="21"/>
      <c r="AW742" s="21"/>
      <c r="AZ742" s="21"/>
      <c r="BC742" s="21"/>
      <c r="BF742" s="21"/>
      <c r="BI742" s="21"/>
      <c r="BL742" s="21"/>
      <c r="BO742" s="21"/>
      <c r="BR742" s="21"/>
    </row>
    <row r="743">
      <c r="L743" s="20"/>
      <c r="M743" s="21"/>
      <c r="P743" s="21"/>
      <c r="S743" s="21"/>
      <c r="V743" s="21"/>
      <c r="Y743" s="21"/>
      <c r="AB743" s="21"/>
      <c r="AE743" s="21"/>
      <c r="AH743" s="21"/>
      <c r="AK743" s="21"/>
      <c r="AN743" s="21"/>
      <c r="AQ743" s="21"/>
      <c r="AT743" s="21"/>
      <c r="AW743" s="21"/>
      <c r="AZ743" s="21"/>
      <c r="BC743" s="21"/>
      <c r="BF743" s="21"/>
      <c r="BI743" s="21"/>
      <c r="BL743" s="21"/>
      <c r="BO743" s="21"/>
      <c r="BR743" s="21"/>
    </row>
    <row r="744">
      <c r="L744" s="20"/>
      <c r="M744" s="21"/>
      <c r="P744" s="21"/>
      <c r="S744" s="21"/>
      <c r="V744" s="21"/>
      <c r="Y744" s="21"/>
      <c r="AB744" s="21"/>
      <c r="AE744" s="21"/>
      <c r="AH744" s="21"/>
      <c r="AK744" s="21"/>
      <c r="AN744" s="21"/>
      <c r="AQ744" s="21"/>
      <c r="AT744" s="21"/>
      <c r="AW744" s="21"/>
      <c r="AZ744" s="21"/>
      <c r="BC744" s="21"/>
      <c r="BF744" s="21"/>
      <c r="BI744" s="21"/>
      <c r="BL744" s="21"/>
      <c r="BO744" s="21"/>
      <c r="BR744" s="21"/>
    </row>
    <row r="745">
      <c r="L745" s="20"/>
      <c r="M745" s="21"/>
      <c r="P745" s="21"/>
      <c r="S745" s="21"/>
      <c r="V745" s="21"/>
      <c r="Y745" s="21"/>
      <c r="AB745" s="21"/>
      <c r="AE745" s="21"/>
      <c r="AH745" s="21"/>
      <c r="AK745" s="21"/>
      <c r="AN745" s="21"/>
      <c r="AQ745" s="21"/>
      <c r="AT745" s="21"/>
      <c r="AW745" s="21"/>
      <c r="AZ745" s="21"/>
      <c r="BC745" s="21"/>
      <c r="BF745" s="21"/>
      <c r="BI745" s="21"/>
      <c r="BL745" s="21"/>
      <c r="BO745" s="21"/>
      <c r="BR745" s="21"/>
    </row>
    <row r="746">
      <c r="L746" s="20"/>
      <c r="M746" s="21"/>
      <c r="P746" s="21"/>
      <c r="S746" s="21"/>
      <c r="V746" s="21"/>
      <c r="Y746" s="21"/>
      <c r="AB746" s="21"/>
      <c r="AE746" s="21"/>
      <c r="AH746" s="21"/>
      <c r="AK746" s="21"/>
      <c r="AN746" s="21"/>
      <c r="AQ746" s="21"/>
      <c r="AT746" s="21"/>
      <c r="AW746" s="21"/>
      <c r="AZ746" s="21"/>
      <c r="BC746" s="21"/>
      <c r="BF746" s="21"/>
      <c r="BI746" s="21"/>
      <c r="BL746" s="21"/>
      <c r="BO746" s="21"/>
      <c r="BR746" s="21"/>
    </row>
    <row r="747">
      <c r="L747" s="20"/>
      <c r="M747" s="21"/>
      <c r="P747" s="21"/>
      <c r="S747" s="21"/>
      <c r="V747" s="21"/>
      <c r="Y747" s="21"/>
      <c r="AB747" s="21"/>
      <c r="AE747" s="21"/>
      <c r="AH747" s="21"/>
      <c r="AK747" s="21"/>
      <c r="AN747" s="21"/>
      <c r="AQ747" s="21"/>
      <c r="AT747" s="21"/>
      <c r="AW747" s="21"/>
      <c r="AZ747" s="21"/>
      <c r="BC747" s="21"/>
      <c r="BF747" s="21"/>
      <c r="BI747" s="21"/>
      <c r="BL747" s="21"/>
      <c r="BO747" s="21"/>
      <c r="BR747" s="21"/>
    </row>
    <row r="748">
      <c r="L748" s="20"/>
      <c r="M748" s="21"/>
      <c r="P748" s="21"/>
      <c r="S748" s="21"/>
      <c r="V748" s="21"/>
      <c r="Y748" s="21"/>
      <c r="AB748" s="21"/>
      <c r="AE748" s="21"/>
      <c r="AH748" s="21"/>
      <c r="AK748" s="21"/>
      <c r="AN748" s="21"/>
      <c r="AQ748" s="21"/>
      <c r="AT748" s="21"/>
      <c r="AW748" s="21"/>
      <c r="AZ748" s="21"/>
      <c r="BC748" s="21"/>
      <c r="BF748" s="21"/>
      <c r="BI748" s="21"/>
      <c r="BL748" s="21"/>
      <c r="BO748" s="21"/>
      <c r="BR748" s="21"/>
    </row>
    <row r="749">
      <c r="L749" s="20"/>
      <c r="M749" s="21"/>
      <c r="P749" s="21"/>
      <c r="S749" s="21"/>
      <c r="V749" s="21"/>
      <c r="Y749" s="21"/>
      <c r="AB749" s="21"/>
      <c r="AE749" s="21"/>
      <c r="AH749" s="21"/>
      <c r="AK749" s="21"/>
      <c r="AN749" s="21"/>
      <c r="AQ749" s="21"/>
      <c r="AT749" s="21"/>
      <c r="AW749" s="21"/>
      <c r="AZ749" s="21"/>
      <c r="BC749" s="21"/>
      <c r="BF749" s="21"/>
      <c r="BI749" s="21"/>
      <c r="BL749" s="21"/>
      <c r="BO749" s="21"/>
      <c r="BR749" s="21"/>
    </row>
    <row r="750">
      <c r="L750" s="20"/>
      <c r="M750" s="21"/>
      <c r="P750" s="21"/>
      <c r="S750" s="21"/>
      <c r="V750" s="21"/>
      <c r="Y750" s="21"/>
      <c r="AB750" s="21"/>
      <c r="AE750" s="21"/>
      <c r="AH750" s="21"/>
      <c r="AK750" s="21"/>
      <c r="AN750" s="21"/>
      <c r="AQ750" s="21"/>
      <c r="AT750" s="21"/>
      <c r="AW750" s="21"/>
      <c r="AZ750" s="21"/>
      <c r="BC750" s="21"/>
      <c r="BF750" s="21"/>
      <c r="BI750" s="21"/>
      <c r="BL750" s="21"/>
      <c r="BO750" s="21"/>
      <c r="BR750" s="21"/>
    </row>
    <row r="751">
      <c r="L751" s="20"/>
      <c r="M751" s="21"/>
      <c r="P751" s="21"/>
      <c r="S751" s="21"/>
      <c r="V751" s="21"/>
      <c r="Y751" s="21"/>
      <c r="AB751" s="21"/>
      <c r="AE751" s="21"/>
      <c r="AH751" s="21"/>
      <c r="AK751" s="21"/>
      <c r="AN751" s="21"/>
      <c r="AQ751" s="21"/>
      <c r="AT751" s="21"/>
      <c r="AW751" s="21"/>
      <c r="AZ751" s="21"/>
      <c r="BC751" s="21"/>
      <c r="BF751" s="21"/>
      <c r="BI751" s="21"/>
      <c r="BL751" s="21"/>
      <c r="BO751" s="21"/>
      <c r="BR751" s="21"/>
    </row>
    <row r="752">
      <c r="L752" s="20"/>
      <c r="M752" s="21"/>
      <c r="P752" s="21"/>
      <c r="S752" s="21"/>
      <c r="V752" s="21"/>
      <c r="Y752" s="21"/>
      <c r="AB752" s="21"/>
      <c r="AE752" s="21"/>
      <c r="AH752" s="21"/>
      <c r="AK752" s="21"/>
      <c r="AN752" s="21"/>
      <c r="AQ752" s="21"/>
      <c r="AT752" s="21"/>
      <c r="AW752" s="21"/>
      <c r="AZ752" s="21"/>
      <c r="BC752" s="21"/>
      <c r="BF752" s="21"/>
      <c r="BI752" s="21"/>
      <c r="BL752" s="21"/>
      <c r="BO752" s="21"/>
      <c r="BR752" s="21"/>
    </row>
    <row r="753">
      <c r="L753" s="20"/>
      <c r="M753" s="21"/>
      <c r="P753" s="21"/>
      <c r="S753" s="21"/>
      <c r="V753" s="21"/>
      <c r="Y753" s="21"/>
      <c r="AB753" s="21"/>
      <c r="AE753" s="21"/>
      <c r="AH753" s="21"/>
      <c r="AK753" s="21"/>
      <c r="AN753" s="21"/>
      <c r="AQ753" s="21"/>
      <c r="AT753" s="21"/>
      <c r="AW753" s="21"/>
      <c r="AZ753" s="21"/>
      <c r="BC753" s="21"/>
      <c r="BF753" s="21"/>
      <c r="BI753" s="21"/>
      <c r="BL753" s="21"/>
      <c r="BO753" s="21"/>
      <c r="BR753" s="21"/>
    </row>
    <row r="754">
      <c r="L754" s="20"/>
      <c r="M754" s="21"/>
      <c r="P754" s="21"/>
      <c r="S754" s="21"/>
      <c r="V754" s="21"/>
      <c r="Y754" s="21"/>
      <c r="AB754" s="21"/>
      <c r="AE754" s="21"/>
      <c r="AH754" s="21"/>
      <c r="AK754" s="21"/>
      <c r="AN754" s="21"/>
      <c r="AQ754" s="21"/>
      <c r="AT754" s="21"/>
      <c r="AW754" s="21"/>
      <c r="AZ754" s="21"/>
      <c r="BC754" s="21"/>
      <c r="BF754" s="21"/>
      <c r="BI754" s="21"/>
      <c r="BL754" s="21"/>
      <c r="BO754" s="21"/>
      <c r="BR754" s="21"/>
    </row>
    <row r="755">
      <c r="L755" s="20"/>
      <c r="M755" s="21"/>
      <c r="P755" s="21"/>
      <c r="S755" s="21"/>
      <c r="V755" s="21"/>
      <c r="Y755" s="21"/>
      <c r="AB755" s="21"/>
      <c r="AE755" s="21"/>
      <c r="AH755" s="21"/>
      <c r="AK755" s="21"/>
      <c r="AN755" s="21"/>
      <c r="AQ755" s="21"/>
      <c r="AT755" s="21"/>
      <c r="AW755" s="21"/>
      <c r="AZ755" s="21"/>
      <c r="BC755" s="21"/>
      <c r="BF755" s="21"/>
      <c r="BI755" s="21"/>
      <c r="BL755" s="21"/>
      <c r="BO755" s="21"/>
      <c r="BR755" s="21"/>
    </row>
    <row r="756">
      <c r="L756" s="20"/>
      <c r="M756" s="21"/>
      <c r="P756" s="21"/>
      <c r="S756" s="21"/>
      <c r="V756" s="21"/>
      <c r="Y756" s="21"/>
      <c r="AB756" s="21"/>
      <c r="AE756" s="21"/>
      <c r="AH756" s="21"/>
      <c r="AK756" s="21"/>
      <c r="AN756" s="21"/>
      <c r="AQ756" s="21"/>
      <c r="AT756" s="21"/>
      <c r="AW756" s="21"/>
      <c r="AZ756" s="21"/>
      <c r="BC756" s="21"/>
      <c r="BF756" s="21"/>
      <c r="BI756" s="21"/>
      <c r="BL756" s="21"/>
      <c r="BO756" s="21"/>
      <c r="BR756" s="21"/>
    </row>
    <row r="757">
      <c r="L757" s="20"/>
      <c r="M757" s="21"/>
      <c r="P757" s="21"/>
      <c r="S757" s="21"/>
      <c r="V757" s="21"/>
      <c r="Y757" s="21"/>
      <c r="AB757" s="21"/>
      <c r="AE757" s="21"/>
      <c r="AH757" s="21"/>
      <c r="AK757" s="21"/>
      <c r="AN757" s="21"/>
      <c r="AQ757" s="21"/>
      <c r="AT757" s="21"/>
      <c r="AW757" s="21"/>
      <c r="AZ757" s="21"/>
      <c r="BC757" s="21"/>
      <c r="BF757" s="21"/>
      <c r="BI757" s="21"/>
      <c r="BL757" s="21"/>
      <c r="BO757" s="21"/>
      <c r="BR757" s="21"/>
    </row>
    <row r="758">
      <c r="L758" s="20"/>
      <c r="M758" s="21"/>
      <c r="P758" s="21"/>
      <c r="S758" s="21"/>
      <c r="V758" s="21"/>
      <c r="Y758" s="21"/>
      <c r="AB758" s="21"/>
      <c r="AE758" s="21"/>
      <c r="AH758" s="21"/>
      <c r="AK758" s="21"/>
      <c r="AN758" s="21"/>
      <c r="AQ758" s="21"/>
      <c r="AT758" s="21"/>
      <c r="AW758" s="21"/>
      <c r="AZ758" s="21"/>
      <c r="BC758" s="21"/>
      <c r="BF758" s="21"/>
      <c r="BI758" s="21"/>
      <c r="BL758" s="21"/>
      <c r="BO758" s="21"/>
      <c r="BR758" s="21"/>
    </row>
    <row r="759">
      <c r="L759" s="20"/>
      <c r="M759" s="21"/>
      <c r="P759" s="21"/>
      <c r="S759" s="21"/>
      <c r="V759" s="21"/>
      <c r="Y759" s="21"/>
      <c r="AB759" s="21"/>
      <c r="AE759" s="21"/>
      <c r="AH759" s="21"/>
      <c r="AK759" s="21"/>
      <c r="AN759" s="21"/>
      <c r="AQ759" s="21"/>
      <c r="AT759" s="21"/>
      <c r="AW759" s="21"/>
      <c r="AZ759" s="21"/>
      <c r="BC759" s="21"/>
      <c r="BF759" s="21"/>
      <c r="BI759" s="21"/>
      <c r="BL759" s="21"/>
      <c r="BO759" s="21"/>
      <c r="BR759" s="21"/>
    </row>
    <row r="760">
      <c r="L760" s="20"/>
      <c r="M760" s="21"/>
      <c r="P760" s="21"/>
      <c r="S760" s="21"/>
      <c r="V760" s="21"/>
      <c r="Y760" s="21"/>
      <c r="AB760" s="21"/>
      <c r="AE760" s="21"/>
      <c r="AH760" s="21"/>
      <c r="AK760" s="21"/>
      <c r="AN760" s="21"/>
      <c r="AQ760" s="21"/>
      <c r="AT760" s="21"/>
      <c r="AW760" s="21"/>
      <c r="AZ760" s="21"/>
      <c r="BC760" s="21"/>
      <c r="BF760" s="21"/>
      <c r="BI760" s="21"/>
      <c r="BL760" s="21"/>
      <c r="BO760" s="21"/>
      <c r="BR760" s="21"/>
    </row>
    <row r="761">
      <c r="L761" s="20"/>
      <c r="M761" s="21"/>
      <c r="P761" s="21"/>
      <c r="S761" s="21"/>
      <c r="V761" s="21"/>
      <c r="Y761" s="21"/>
      <c r="AB761" s="21"/>
      <c r="AE761" s="21"/>
      <c r="AH761" s="21"/>
      <c r="AK761" s="21"/>
      <c r="AN761" s="21"/>
      <c r="AQ761" s="21"/>
      <c r="AT761" s="21"/>
      <c r="AW761" s="21"/>
      <c r="AZ761" s="21"/>
      <c r="BC761" s="21"/>
      <c r="BF761" s="21"/>
      <c r="BI761" s="21"/>
      <c r="BL761" s="21"/>
      <c r="BO761" s="21"/>
      <c r="BR761" s="21"/>
    </row>
    <row r="762">
      <c r="L762" s="20"/>
      <c r="M762" s="21"/>
      <c r="P762" s="21"/>
      <c r="S762" s="21"/>
      <c r="V762" s="21"/>
      <c r="Y762" s="21"/>
      <c r="AB762" s="21"/>
      <c r="AE762" s="21"/>
      <c r="AH762" s="21"/>
      <c r="AK762" s="21"/>
      <c r="AN762" s="21"/>
      <c r="AQ762" s="21"/>
      <c r="AT762" s="21"/>
      <c r="AW762" s="21"/>
      <c r="AZ762" s="21"/>
      <c r="BC762" s="21"/>
      <c r="BF762" s="21"/>
      <c r="BI762" s="21"/>
      <c r="BL762" s="21"/>
      <c r="BO762" s="21"/>
      <c r="BR762" s="21"/>
    </row>
    <row r="763">
      <c r="L763" s="20"/>
      <c r="M763" s="21"/>
      <c r="P763" s="21"/>
      <c r="S763" s="21"/>
      <c r="V763" s="21"/>
      <c r="Y763" s="21"/>
      <c r="AB763" s="21"/>
      <c r="AE763" s="21"/>
      <c r="AH763" s="21"/>
      <c r="AK763" s="21"/>
      <c r="AN763" s="21"/>
      <c r="AQ763" s="21"/>
      <c r="AT763" s="21"/>
      <c r="AW763" s="21"/>
      <c r="AZ763" s="21"/>
      <c r="BC763" s="21"/>
      <c r="BF763" s="21"/>
      <c r="BI763" s="21"/>
      <c r="BL763" s="21"/>
      <c r="BO763" s="21"/>
      <c r="BR763" s="21"/>
    </row>
    <row r="764">
      <c r="L764" s="20"/>
      <c r="M764" s="21"/>
      <c r="P764" s="21"/>
      <c r="S764" s="21"/>
      <c r="V764" s="21"/>
      <c r="Y764" s="21"/>
      <c r="AB764" s="21"/>
      <c r="AE764" s="21"/>
      <c r="AH764" s="21"/>
      <c r="AK764" s="21"/>
      <c r="AN764" s="21"/>
      <c r="AQ764" s="21"/>
      <c r="AT764" s="21"/>
      <c r="AW764" s="21"/>
      <c r="AZ764" s="21"/>
      <c r="BC764" s="21"/>
      <c r="BF764" s="21"/>
      <c r="BI764" s="21"/>
      <c r="BL764" s="21"/>
      <c r="BO764" s="21"/>
      <c r="BR764" s="21"/>
    </row>
    <row r="765">
      <c r="L765" s="20"/>
      <c r="M765" s="21"/>
      <c r="P765" s="21"/>
      <c r="S765" s="21"/>
      <c r="V765" s="21"/>
      <c r="Y765" s="21"/>
      <c r="AB765" s="21"/>
      <c r="AE765" s="21"/>
      <c r="AH765" s="21"/>
      <c r="AK765" s="21"/>
      <c r="AN765" s="21"/>
      <c r="AQ765" s="21"/>
      <c r="AT765" s="21"/>
      <c r="AW765" s="21"/>
      <c r="AZ765" s="21"/>
      <c r="BC765" s="21"/>
      <c r="BF765" s="21"/>
      <c r="BI765" s="21"/>
      <c r="BL765" s="21"/>
      <c r="BO765" s="21"/>
      <c r="BR765" s="21"/>
    </row>
    <row r="766">
      <c r="L766" s="20"/>
      <c r="M766" s="21"/>
      <c r="P766" s="21"/>
      <c r="S766" s="21"/>
      <c r="V766" s="21"/>
      <c r="Y766" s="21"/>
      <c r="AB766" s="21"/>
      <c r="AE766" s="21"/>
      <c r="AH766" s="21"/>
      <c r="AK766" s="21"/>
      <c r="AN766" s="21"/>
      <c r="AQ766" s="21"/>
      <c r="AT766" s="21"/>
      <c r="AW766" s="21"/>
      <c r="AZ766" s="21"/>
      <c r="BC766" s="21"/>
      <c r="BF766" s="21"/>
      <c r="BI766" s="21"/>
      <c r="BL766" s="21"/>
      <c r="BO766" s="21"/>
      <c r="BR766" s="21"/>
    </row>
    <row r="767">
      <c r="L767" s="20"/>
      <c r="M767" s="21"/>
      <c r="P767" s="21"/>
      <c r="S767" s="21"/>
      <c r="V767" s="21"/>
      <c r="Y767" s="21"/>
      <c r="AB767" s="21"/>
      <c r="AE767" s="21"/>
      <c r="AH767" s="21"/>
      <c r="AK767" s="21"/>
      <c r="AN767" s="21"/>
      <c r="AQ767" s="21"/>
      <c r="AT767" s="21"/>
      <c r="AW767" s="21"/>
      <c r="AZ767" s="21"/>
      <c r="BC767" s="21"/>
      <c r="BF767" s="21"/>
      <c r="BI767" s="21"/>
      <c r="BL767" s="21"/>
      <c r="BO767" s="21"/>
      <c r="BR767" s="21"/>
    </row>
    <row r="768">
      <c r="L768" s="20"/>
      <c r="M768" s="21"/>
      <c r="P768" s="21"/>
      <c r="S768" s="21"/>
      <c r="V768" s="21"/>
      <c r="Y768" s="21"/>
      <c r="AB768" s="21"/>
      <c r="AE768" s="21"/>
      <c r="AH768" s="21"/>
      <c r="AK768" s="21"/>
      <c r="AN768" s="21"/>
      <c r="AQ768" s="21"/>
      <c r="AT768" s="21"/>
      <c r="AW768" s="21"/>
      <c r="AZ768" s="21"/>
      <c r="BC768" s="21"/>
      <c r="BF768" s="21"/>
      <c r="BI768" s="21"/>
      <c r="BL768" s="21"/>
      <c r="BO768" s="21"/>
      <c r="BR768" s="21"/>
    </row>
    <row r="769">
      <c r="L769" s="20"/>
      <c r="M769" s="21"/>
      <c r="P769" s="21"/>
      <c r="S769" s="21"/>
      <c r="V769" s="21"/>
      <c r="Y769" s="21"/>
      <c r="AB769" s="21"/>
      <c r="AE769" s="21"/>
      <c r="AH769" s="21"/>
      <c r="AK769" s="21"/>
      <c r="AN769" s="21"/>
      <c r="AQ769" s="21"/>
      <c r="AT769" s="21"/>
      <c r="AW769" s="21"/>
      <c r="AZ769" s="21"/>
      <c r="BC769" s="21"/>
      <c r="BF769" s="21"/>
      <c r="BI769" s="21"/>
      <c r="BL769" s="21"/>
      <c r="BO769" s="21"/>
      <c r="BR769" s="21"/>
    </row>
    <row r="770">
      <c r="L770" s="20"/>
      <c r="M770" s="21"/>
      <c r="P770" s="21"/>
      <c r="S770" s="21"/>
      <c r="V770" s="21"/>
      <c r="Y770" s="21"/>
      <c r="AB770" s="21"/>
      <c r="AE770" s="21"/>
      <c r="AH770" s="21"/>
      <c r="AK770" s="21"/>
      <c r="AN770" s="21"/>
      <c r="AQ770" s="21"/>
      <c r="AT770" s="21"/>
      <c r="AW770" s="21"/>
      <c r="AZ770" s="21"/>
      <c r="BC770" s="21"/>
      <c r="BF770" s="21"/>
      <c r="BI770" s="21"/>
      <c r="BL770" s="21"/>
      <c r="BO770" s="21"/>
      <c r="BR770" s="21"/>
    </row>
    <row r="771">
      <c r="L771" s="20"/>
      <c r="M771" s="21"/>
      <c r="P771" s="21"/>
      <c r="S771" s="21"/>
      <c r="V771" s="21"/>
      <c r="Y771" s="21"/>
      <c r="AB771" s="21"/>
      <c r="AE771" s="21"/>
      <c r="AH771" s="21"/>
      <c r="AK771" s="21"/>
      <c r="AN771" s="21"/>
      <c r="AQ771" s="21"/>
      <c r="AT771" s="21"/>
      <c r="AW771" s="21"/>
      <c r="AZ771" s="21"/>
      <c r="BC771" s="21"/>
      <c r="BF771" s="21"/>
      <c r="BI771" s="21"/>
      <c r="BL771" s="21"/>
      <c r="BO771" s="21"/>
      <c r="BR771" s="21"/>
    </row>
    <row r="772">
      <c r="L772" s="20"/>
      <c r="M772" s="21"/>
      <c r="P772" s="21"/>
      <c r="S772" s="21"/>
      <c r="V772" s="21"/>
      <c r="Y772" s="21"/>
      <c r="AB772" s="21"/>
      <c r="AE772" s="21"/>
      <c r="AH772" s="21"/>
      <c r="AK772" s="21"/>
      <c r="AN772" s="21"/>
      <c r="AQ772" s="21"/>
      <c r="AT772" s="21"/>
      <c r="AW772" s="21"/>
      <c r="AZ772" s="21"/>
      <c r="BC772" s="21"/>
      <c r="BF772" s="21"/>
      <c r="BI772" s="21"/>
      <c r="BL772" s="21"/>
      <c r="BO772" s="21"/>
      <c r="BR772" s="21"/>
    </row>
    <row r="773">
      <c r="L773" s="20"/>
      <c r="M773" s="21"/>
      <c r="P773" s="21"/>
      <c r="S773" s="21"/>
      <c r="V773" s="21"/>
      <c r="Y773" s="21"/>
      <c r="AB773" s="21"/>
      <c r="AE773" s="21"/>
      <c r="AH773" s="21"/>
      <c r="AK773" s="21"/>
      <c r="AN773" s="21"/>
      <c r="AQ773" s="21"/>
      <c r="AT773" s="21"/>
      <c r="AW773" s="21"/>
      <c r="AZ773" s="21"/>
      <c r="BC773" s="21"/>
      <c r="BF773" s="21"/>
      <c r="BI773" s="21"/>
      <c r="BL773" s="21"/>
      <c r="BO773" s="21"/>
      <c r="BR773" s="21"/>
    </row>
    <row r="774">
      <c r="L774" s="20"/>
      <c r="M774" s="21"/>
      <c r="P774" s="21"/>
      <c r="S774" s="21"/>
      <c r="V774" s="21"/>
      <c r="Y774" s="21"/>
      <c r="AB774" s="21"/>
      <c r="AE774" s="21"/>
      <c r="AH774" s="21"/>
      <c r="AK774" s="21"/>
      <c r="AN774" s="21"/>
      <c r="AQ774" s="21"/>
      <c r="AT774" s="21"/>
      <c r="AW774" s="21"/>
      <c r="AZ774" s="21"/>
      <c r="BC774" s="21"/>
      <c r="BF774" s="21"/>
      <c r="BI774" s="21"/>
      <c r="BL774" s="21"/>
      <c r="BO774" s="21"/>
      <c r="BR774" s="21"/>
    </row>
    <row r="775">
      <c r="L775" s="20"/>
      <c r="M775" s="21"/>
      <c r="P775" s="21"/>
      <c r="S775" s="21"/>
      <c r="V775" s="21"/>
      <c r="Y775" s="21"/>
      <c r="AB775" s="21"/>
      <c r="AE775" s="21"/>
      <c r="AH775" s="21"/>
      <c r="AK775" s="21"/>
      <c r="AN775" s="21"/>
      <c r="AQ775" s="21"/>
      <c r="AT775" s="21"/>
      <c r="AW775" s="21"/>
      <c r="AZ775" s="21"/>
      <c r="BC775" s="21"/>
      <c r="BF775" s="21"/>
      <c r="BI775" s="21"/>
      <c r="BL775" s="21"/>
      <c r="BO775" s="21"/>
      <c r="BR775" s="21"/>
    </row>
    <row r="776">
      <c r="L776" s="20"/>
      <c r="M776" s="21"/>
      <c r="P776" s="21"/>
      <c r="S776" s="21"/>
      <c r="V776" s="21"/>
      <c r="Y776" s="21"/>
      <c r="AB776" s="21"/>
      <c r="AE776" s="21"/>
      <c r="AH776" s="21"/>
      <c r="AK776" s="21"/>
      <c r="AN776" s="21"/>
      <c r="AQ776" s="21"/>
      <c r="AT776" s="21"/>
      <c r="AW776" s="21"/>
      <c r="AZ776" s="21"/>
      <c r="BC776" s="21"/>
      <c r="BF776" s="21"/>
      <c r="BI776" s="21"/>
      <c r="BL776" s="21"/>
      <c r="BO776" s="21"/>
      <c r="BR776" s="21"/>
    </row>
    <row r="777">
      <c r="L777" s="20"/>
      <c r="M777" s="21"/>
      <c r="P777" s="21"/>
      <c r="S777" s="21"/>
      <c r="V777" s="21"/>
      <c r="Y777" s="21"/>
      <c r="AB777" s="21"/>
      <c r="AE777" s="21"/>
      <c r="AH777" s="21"/>
      <c r="AK777" s="21"/>
      <c r="AN777" s="21"/>
      <c r="AQ777" s="21"/>
      <c r="AT777" s="21"/>
      <c r="AW777" s="21"/>
      <c r="AZ777" s="21"/>
      <c r="BC777" s="21"/>
      <c r="BF777" s="21"/>
      <c r="BI777" s="21"/>
      <c r="BL777" s="21"/>
      <c r="BO777" s="21"/>
      <c r="BR777" s="21"/>
    </row>
    <row r="778">
      <c r="L778" s="20"/>
      <c r="M778" s="21"/>
      <c r="P778" s="21"/>
      <c r="S778" s="21"/>
      <c r="V778" s="21"/>
      <c r="Y778" s="21"/>
      <c r="AB778" s="21"/>
      <c r="AE778" s="21"/>
      <c r="AH778" s="21"/>
      <c r="AK778" s="21"/>
      <c r="AN778" s="21"/>
      <c r="AQ778" s="21"/>
      <c r="AT778" s="21"/>
      <c r="AW778" s="21"/>
      <c r="AZ778" s="21"/>
      <c r="BC778" s="21"/>
      <c r="BF778" s="21"/>
      <c r="BI778" s="21"/>
      <c r="BL778" s="21"/>
      <c r="BO778" s="21"/>
      <c r="BR778" s="21"/>
    </row>
    <row r="779">
      <c r="L779" s="20"/>
      <c r="M779" s="21"/>
      <c r="P779" s="21"/>
      <c r="S779" s="21"/>
      <c r="V779" s="21"/>
      <c r="Y779" s="21"/>
      <c r="AB779" s="21"/>
      <c r="AE779" s="21"/>
      <c r="AH779" s="21"/>
      <c r="AK779" s="21"/>
      <c r="AN779" s="21"/>
      <c r="AQ779" s="21"/>
      <c r="AT779" s="21"/>
      <c r="AW779" s="21"/>
      <c r="AZ779" s="21"/>
      <c r="BC779" s="21"/>
      <c r="BF779" s="21"/>
      <c r="BI779" s="21"/>
      <c r="BL779" s="21"/>
      <c r="BO779" s="21"/>
      <c r="BR779" s="21"/>
    </row>
    <row r="780">
      <c r="L780" s="20"/>
      <c r="M780" s="21"/>
      <c r="P780" s="21"/>
      <c r="S780" s="21"/>
      <c r="V780" s="21"/>
      <c r="Y780" s="21"/>
      <c r="AB780" s="21"/>
      <c r="AE780" s="21"/>
      <c r="AH780" s="21"/>
      <c r="AK780" s="21"/>
      <c r="AN780" s="21"/>
      <c r="AQ780" s="21"/>
      <c r="AT780" s="21"/>
      <c r="AW780" s="21"/>
      <c r="AZ780" s="21"/>
      <c r="BC780" s="21"/>
      <c r="BF780" s="21"/>
      <c r="BI780" s="21"/>
      <c r="BL780" s="21"/>
      <c r="BO780" s="21"/>
      <c r="BR780" s="21"/>
    </row>
    <row r="781">
      <c r="L781" s="20"/>
      <c r="M781" s="21"/>
      <c r="P781" s="21"/>
      <c r="S781" s="21"/>
      <c r="V781" s="21"/>
      <c r="Y781" s="21"/>
      <c r="AB781" s="21"/>
      <c r="AE781" s="21"/>
      <c r="AH781" s="21"/>
      <c r="AK781" s="21"/>
      <c r="AN781" s="21"/>
      <c r="AQ781" s="21"/>
      <c r="AT781" s="21"/>
      <c r="AW781" s="21"/>
      <c r="AZ781" s="21"/>
      <c r="BC781" s="21"/>
      <c r="BF781" s="21"/>
      <c r="BI781" s="21"/>
      <c r="BL781" s="21"/>
      <c r="BO781" s="21"/>
      <c r="BR781" s="21"/>
    </row>
    <row r="782">
      <c r="L782" s="20"/>
      <c r="M782" s="21"/>
      <c r="P782" s="21"/>
      <c r="S782" s="21"/>
      <c r="V782" s="21"/>
      <c r="Y782" s="21"/>
      <c r="AB782" s="21"/>
      <c r="AE782" s="21"/>
      <c r="AH782" s="21"/>
      <c r="AK782" s="21"/>
      <c r="AN782" s="21"/>
      <c r="AQ782" s="21"/>
      <c r="AT782" s="21"/>
      <c r="AW782" s="21"/>
      <c r="AZ782" s="21"/>
      <c r="BC782" s="21"/>
      <c r="BF782" s="21"/>
      <c r="BI782" s="21"/>
      <c r="BL782" s="21"/>
      <c r="BO782" s="21"/>
      <c r="BR782" s="21"/>
    </row>
    <row r="783">
      <c r="L783" s="20"/>
      <c r="M783" s="21"/>
      <c r="P783" s="21"/>
      <c r="S783" s="21"/>
      <c r="V783" s="21"/>
      <c r="Y783" s="21"/>
      <c r="AB783" s="21"/>
      <c r="AE783" s="21"/>
      <c r="AH783" s="21"/>
      <c r="AK783" s="21"/>
      <c r="AN783" s="21"/>
      <c r="AQ783" s="21"/>
      <c r="AT783" s="21"/>
      <c r="AW783" s="21"/>
      <c r="AZ783" s="21"/>
      <c r="BC783" s="21"/>
      <c r="BF783" s="21"/>
      <c r="BI783" s="21"/>
      <c r="BL783" s="21"/>
      <c r="BO783" s="21"/>
      <c r="BR783" s="21"/>
    </row>
    <row r="784">
      <c r="L784" s="20"/>
      <c r="M784" s="21"/>
      <c r="P784" s="21"/>
      <c r="S784" s="21"/>
      <c r="V784" s="21"/>
      <c r="Y784" s="21"/>
      <c r="AB784" s="21"/>
      <c r="AE784" s="21"/>
      <c r="AH784" s="21"/>
      <c r="AK784" s="21"/>
      <c r="AN784" s="21"/>
      <c r="AQ784" s="21"/>
      <c r="AT784" s="21"/>
      <c r="AW784" s="21"/>
      <c r="AZ784" s="21"/>
      <c r="BC784" s="21"/>
      <c r="BF784" s="21"/>
      <c r="BI784" s="21"/>
      <c r="BL784" s="21"/>
      <c r="BO784" s="21"/>
      <c r="BR784" s="21"/>
    </row>
    <row r="785">
      <c r="L785" s="20"/>
      <c r="M785" s="21"/>
      <c r="P785" s="21"/>
      <c r="S785" s="21"/>
      <c r="V785" s="21"/>
      <c r="Y785" s="21"/>
      <c r="AB785" s="21"/>
      <c r="AE785" s="21"/>
      <c r="AH785" s="21"/>
      <c r="AK785" s="21"/>
      <c r="AN785" s="21"/>
      <c r="AQ785" s="21"/>
      <c r="AT785" s="21"/>
      <c r="AW785" s="21"/>
      <c r="AZ785" s="21"/>
      <c r="BC785" s="21"/>
      <c r="BF785" s="21"/>
      <c r="BI785" s="21"/>
      <c r="BL785" s="21"/>
      <c r="BO785" s="21"/>
      <c r="BR785" s="21"/>
    </row>
    <row r="786">
      <c r="L786" s="20"/>
      <c r="M786" s="21"/>
      <c r="P786" s="21"/>
      <c r="S786" s="21"/>
      <c r="V786" s="21"/>
      <c r="Y786" s="21"/>
      <c r="AB786" s="21"/>
      <c r="AE786" s="21"/>
      <c r="AH786" s="21"/>
      <c r="AK786" s="21"/>
      <c r="AN786" s="21"/>
      <c r="AQ786" s="21"/>
      <c r="AT786" s="21"/>
      <c r="AW786" s="21"/>
      <c r="AZ786" s="21"/>
      <c r="BC786" s="21"/>
      <c r="BF786" s="21"/>
      <c r="BI786" s="21"/>
      <c r="BL786" s="21"/>
      <c r="BO786" s="21"/>
      <c r="BR786" s="21"/>
    </row>
    <row r="787">
      <c r="L787" s="20"/>
      <c r="M787" s="21"/>
      <c r="P787" s="21"/>
      <c r="S787" s="21"/>
      <c r="V787" s="21"/>
      <c r="Y787" s="21"/>
      <c r="AB787" s="21"/>
      <c r="AE787" s="21"/>
      <c r="AH787" s="21"/>
      <c r="AK787" s="21"/>
      <c r="AN787" s="21"/>
      <c r="AQ787" s="21"/>
      <c r="AT787" s="21"/>
      <c r="AW787" s="21"/>
      <c r="AZ787" s="21"/>
      <c r="BC787" s="21"/>
      <c r="BF787" s="21"/>
      <c r="BI787" s="21"/>
      <c r="BL787" s="21"/>
      <c r="BO787" s="21"/>
      <c r="BR787" s="21"/>
    </row>
    <row r="788">
      <c r="L788" s="20"/>
      <c r="M788" s="21"/>
      <c r="P788" s="21"/>
      <c r="S788" s="21"/>
      <c r="V788" s="21"/>
      <c r="Y788" s="21"/>
      <c r="AB788" s="21"/>
      <c r="AE788" s="21"/>
      <c r="AH788" s="21"/>
      <c r="AK788" s="21"/>
      <c r="AN788" s="21"/>
      <c r="AQ788" s="21"/>
      <c r="AT788" s="21"/>
      <c r="AW788" s="21"/>
      <c r="AZ788" s="21"/>
      <c r="BC788" s="21"/>
      <c r="BF788" s="21"/>
      <c r="BI788" s="21"/>
      <c r="BL788" s="21"/>
      <c r="BO788" s="21"/>
      <c r="BR788" s="21"/>
    </row>
    <row r="789">
      <c r="L789" s="20"/>
      <c r="M789" s="21"/>
      <c r="P789" s="21"/>
      <c r="S789" s="21"/>
      <c r="V789" s="21"/>
      <c r="Y789" s="21"/>
      <c r="AB789" s="21"/>
      <c r="AE789" s="21"/>
      <c r="AH789" s="21"/>
      <c r="AK789" s="21"/>
      <c r="AN789" s="21"/>
      <c r="AQ789" s="21"/>
      <c r="AT789" s="21"/>
      <c r="AW789" s="21"/>
      <c r="AZ789" s="21"/>
      <c r="BC789" s="21"/>
      <c r="BF789" s="21"/>
      <c r="BI789" s="21"/>
      <c r="BL789" s="21"/>
      <c r="BO789" s="21"/>
      <c r="BR789" s="21"/>
    </row>
    <row r="790">
      <c r="L790" s="20"/>
      <c r="M790" s="21"/>
      <c r="P790" s="21"/>
      <c r="S790" s="21"/>
      <c r="V790" s="21"/>
      <c r="Y790" s="21"/>
      <c r="AB790" s="21"/>
      <c r="AE790" s="21"/>
      <c r="AH790" s="21"/>
      <c r="AK790" s="21"/>
      <c r="AN790" s="21"/>
      <c r="AQ790" s="21"/>
      <c r="AT790" s="21"/>
      <c r="AW790" s="21"/>
      <c r="AZ790" s="21"/>
      <c r="BC790" s="21"/>
      <c r="BF790" s="21"/>
      <c r="BI790" s="21"/>
      <c r="BL790" s="21"/>
      <c r="BO790" s="21"/>
      <c r="BR790" s="21"/>
    </row>
    <row r="791">
      <c r="L791" s="20"/>
      <c r="M791" s="21"/>
      <c r="P791" s="21"/>
      <c r="S791" s="21"/>
      <c r="V791" s="21"/>
      <c r="Y791" s="21"/>
      <c r="AB791" s="21"/>
      <c r="AE791" s="21"/>
      <c r="AH791" s="21"/>
      <c r="AK791" s="21"/>
      <c r="AN791" s="21"/>
      <c r="AQ791" s="21"/>
      <c r="AT791" s="21"/>
      <c r="AW791" s="21"/>
      <c r="AZ791" s="21"/>
      <c r="BC791" s="21"/>
      <c r="BF791" s="21"/>
      <c r="BI791" s="21"/>
      <c r="BL791" s="21"/>
      <c r="BO791" s="21"/>
      <c r="BR791" s="21"/>
    </row>
    <row r="792">
      <c r="L792" s="20"/>
      <c r="M792" s="21"/>
      <c r="P792" s="21"/>
      <c r="S792" s="21"/>
      <c r="V792" s="21"/>
      <c r="Y792" s="21"/>
      <c r="AB792" s="21"/>
      <c r="AE792" s="21"/>
      <c r="AH792" s="21"/>
      <c r="AK792" s="21"/>
      <c r="AN792" s="21"/>
      <c r="AQ792" s="21"/>
      <c r="AT792" s="21"/>
      <c r="AW792" s="21"/>
      <c r="AZ792" s="21"/>
      <c r="BC792" s="21"/>
      <c r="BF792" s="21"/>
      <c r="BI792" s="21"/>
      <c r="BL792" s="21"/>
      <c r="BO792" s="21"/>
      <c r="BR792" s="21"/>
    </row>
    <row r="793">
      <c r="L793" s="20"/>
      <c r="M793" s="21"/>
      <c r="P793" s="21"/>
      <c r="S793" s="21"/>
      <c r="V793" s="21"/>
      <c r="Y793" s="21"/>
      <c r="AB793" s="21"/>
      <c r="AE793" s="21"/>
      <c r="AH793" s="21"/>
      <c r="AK793" s="21"/>
      <c r="AN793" s="21"/>
      <c r="AQ793" s="21"/>
      <c r="AT793" s="21"/>
      <c r="AW793" s="21"/>
      <c r="AZ793" s="21"/>
      <c r="BC793" s="21"/>
      <c r="BF793" s="21"/>
      <c r="BI793" s="21"/>
      <c r="BL793" s="21"/>
      <c r="BO793" s="21"/>
      <c r="BR793" s="21"/>
    </row>
    <row r="794">
      <c r="L794" s="20"/>
      <c r="M794" s="21"/>
      <c r="P794" s="21"/>
      <c r="S794" s="21"/>
      <c r="V794" s="21"/>
      <c r="Y794" s="21"/>
      <c r="AB794" s="21"/>
      <c r="AE794" s="21"/>
      <c r="AH794" s="21"/>
      <c r="AK794" s="21"/>
      <c r="AN794" s="21"/>
      <c r="AQ794" s="21"/>
      <c r="AT794" s="21"/>
      <c r="AW794" s="21"/>
      <c r="AZ794" s="21"/>
      <c r="BC794" s="21"/>
      <c r="BF794" s="21"/>
      <c r="BI794" s="21"/>
      <c r="BL794" s="21"/>
      <c r="BO794" s="21"/>
      <c r="BR794" s="21"/>
    </row>
    <row r="795">
      <c r="L795" s="20"/>
      <c r="M795" s="21"/>
      <c r="P795" s="21"/>
      <c r="S795" s="21"/>
      <c r="V795" s="21"/>
      <c r="Y795" s="21"/>
      <c r="AB795" s="21"/>
      <c r="AE795" s="21"/>
      <c r="AH795" s="21"/>
      <c r="AK795" s="21"/>
      <c r="AN795" s="21"/>
      <c r="AQ795" s="21"/>
      <c r="AT795" s="21"/>
      <c r="AW795" s="21"/>
      <c r="AZ795" s="21"/>
      <c r="BC795" s="21"/>
      <c r="BF795" s="21"/>
      <c r="BI795" s="21"/>
      <c r="BL795" s="21"/>
      <c r="BO795" s="21"/>
      <c r="BR795" s="21"/>
    </row>
    <row r="796">
      <c r="L796" s="20"/>
      <c r="M796" s="21"/>
      <c r="P796" s="21"/>
      <c r="S796" s="21"/>
      <c r="V796" s="21"/>
      <c r="Y796" s="21"/>
      <c r="AB796" s="21"/>
      <c r="AE796" s="21"/>
      <c r="AH796" s="21"/>
      <c r="AK796" s="21"/>
      <c r="AN796" s="21"/>
      <c r="AQ796" s="21"/>
      <c r="AT796" s="21"/>
      <c r="AW796" s="21"/>
      <c r="AZ796" s="21"/>
      <c r="BC796" s="21"/>
      <c r="BF796" s="21"/>
      <c r="BI796" s="21"/>
      <c r="BL796" s="21"/>
      <c r="BO796" s="21"/>
      <c r="BR796" s="21"/>
    </row>
    <row r="797">
      <c r="L797" s="20"/>
      <c r="M797" s="21"/>
      <c r="P797" s="21"/>
      <c r="S797" s="21"/>
      <c r="V797" s="21"/>
      <c r="Y797" s="21"/>
      <c r="AB797" s="21"/>
      <c r="AE797" s="21"/>
      <c r="AH797" s="21"/>
      <c r="AK797" s="21"/>
      <c r="AN797" s="21"/>
      <c r="AQ797" s="21"/>
      <c r="AT797" s="21"/>
      <c r="AW797" s="21"/>
      <c r="AZ797" s="21"/>
      <c r="BC797" s="21"/>
      <c r="BF797" s="21"/>
      <c r="BI797" s="21"/>
      <c r="BL797" s="21"/>
      <c r="BO797" s="21"/>
      <c r="BR797" s="21"/>
    </row>
    <row r="798">
      <c r="L798" s="20"/>
      <c r="M798" s="21"/>
      <c r="P798" s="21"/>
      <c r="S798" s="21"/>
      <c r="V798" s="21"/>
      <c r="Y798" s="21"/>
      <c r="AB798" s="21"/>
      <c r="AE798" s="21"/>
      <c r="AH798" s="21"/>
      <c r="AK798" s="21"/>
      <c r="AN798" s="21"/>
      <c r="AQ798" s="21"/>
      <c r="AT798" s="21"/>
      <c r="AW798" s="21"/>
      <c r="AZ798" s="21"/>
      <c r="BC798" s="21"/>
      <c r="BF798" s="21"/>
      <c r="BI798" s="21"/>
      <c r="BL798" s="21"/>
      <c r="BO798" s="21"/>
      <c r="BR798" s="21"/>
    </row>
    <row r="799">
      <c r="L799" s="20"/>
      <c r="M799" s="21"/>
      <c r="P799" s="21"/>
      <c r="S799" s="21"/>
      <c r="V799" s="21"/>
      <c r="Y799" s="21"/>
      <c r="AB799" s="21"/>
      <c r="AE799" s="21"/>
      <c r="AH799" s="21"/>
      <c r="AK799" s="21"/>
      <c r="AN799" s="21"/>
      <c r="AQ799" s="21"/>
      <c r="AT799" s="21"/>
      <c r="AW799" s="21"/>
      <c r="AZ799" s="21"/>
      <c r="BC799" s="21"/>
      <c r="BF799" s="21"/>
      <c r="BI799" s="21"/>
      <c r="BL799" s="21"/>
      <c r="BO799" s="21"/>
      <c r="BR799" s="21"/>
    </row>
    <row r="800">
      <c r="L800" s="20"/>
      <c r="M800" s="21"/>
      <c r="P800" s="21"/>
      <c r="S800" s="21"/>
      <c r="V800" s="21"/>
      <c r="Y800" s="21"/>
      <c r="AB800" s="21"/>
      <c r="AE800" s="21"/>
      <c r="AH800" s="21"/>
      <c r="AK800" s="21"/>
      <c r="AN800" s="21"/>
      <c r="AQ800" s="21"/>
      <c r="AT800" s="21"/>
      <c r="AW800" s="21"/>
      <c r="AZ800" s="21"/>
      <c r="BC800" s="21"/>
      <c r="BF800" s="21"/>
      <c r="BI800" s="21"/>
      <c r="BL800" s="21"/>
      <c r="BO800" s="21"/>
      <c r="BR800" s="21"/>
    </row>
    <row r="801">
      <c r="L801" s="20"/>
      <c r="M801" s="21"/>
      <c r="P801" s="21"/>
      <c r="S801" s="21"/>
      <c r="V801" s="21"/>
      <c r="Y801" s="21"/>
      <c r="AB801" s="21"/>
      <c r="AE801" s="21"/>
      <c r="AH801" s="21"/>
      <c r="AK801" s="21"/>
      <c r="AN801" s="21"/>
      <c r="AQ801" s="21"/>
      <c r="AT801" s="21"/>
      <c r="AW801" s="21"/>
      <c r="AZ801" s="21"/>
      <c r="BC801" s="21"/>
      <c r="BF801" s="21"/>
      <c r="BI801" s="21"/>
      <c r="BL801" s="21"/>
      <c r="BO801" s="21"/>
      <c r="BR801" s="21"/>
    </row>
    <row r="802">
      <c r="L802" s="20"/>
      <c r="M802" s="21"/>
      <c r="P802" s="21"/>
      <c r="S802" s="21"/>
      <c r="V802" s="21"/>
      <c r="Y802" s="21"/>
      <c r="AB802" s="21"/>
      <c r="AE802" s="21"/>
      <c r="AH802" s="21"/>
      <c r="AK802" s="21"/>
      <c r="AN802" s="21"/>
      <c r="AQ802" s="21"/>
      <c r="AT802" s="21"/>
      <c r="AW802" s="21"/>
      <c r="AZ802" s="21"/>
      <c r="BC802" s="21"/>
      <c r="BF802" s="21"/>
      <c r="BI802" s="21"/>
      <c r="BL802" s="21"/>
      <c r="BO802" s="21"/>
      <c r="BR802" s="21"/>
    </row>
    <row r="803">
      <c r="L803" s="20"/>
      <c r="M803" s="21"/>
      <c r="P803" s="21"/>
      <c r="S803" s="21"/>
      <c r="V803" s="21"/>
      <c r="Y803" s="21"/>
      <c r="AB803" s="21"/>
      <c r="AE803" s="21"/>
      <c r="AH803" s="21"/>
      <c r="AK803" s="21"/>
      <c r="AN803" s="21"/>
      <c r="AQ803" s="21"/>
      <c r="AT803" s="21"/>
      <c r="AW803" s="21"/>
      <c r="AZ803" s="21"/>
      <c r="BC803" s="21"/>
      <c r="BF803" s="21"/>
      <c r="BI803" s="21"/>
      <c r="BL803" s="21"/>
      <c r="BO803" s="21"/>
      <c r="BR803" s="21"/>
    </row>
    <row r="804">
      <c r="L804" s="20"/>
      <c r="M804" s="21"/>
      <c r="P804" s="21"/>
      <c r="S804" s="21"/>
      <c r="V804" s="21"/>
      <c r="Y804" s="21"/>
      <c r="AB804" s="21"/>
      <c r="AE804" s="21"/>
      <c r="AH804" s="21"/>
      <c r="AK804" s="21"/>
      <c r="AN804" s="21"/>
      <c r="AQ804" s="21"/>
      <c r="AT804" s="21"/>
      <c r="AW804" s="21"/>
      <c r="AZ804" s="21"/>
      <c r="BC804" s="21"/>
      <c r="BF804" s="21"/>
      <c r="BI804" s="21"/>
      <c r="BL804" s="21"/>
      <c r="BO804" s="21"/>
      <c r="BR804" s="21"/>
    </row>
    <row r="805">
      <c r="L805" s="20"/>
      <c r="M805" s="21"/>
      <c r="P805" s="21"/>
      <c r="S805" s="21"/>
      <c r="V805" s="21"/>
      <c r="Y805" s="21"/>
      <c r="AB805" s="21"/>
      <c r="AE805" s="21"/>
      <c r="AH805" s="21"/>
      <c r="AK805" s="21"/>
      <c r="AN805" s="21"/>
      <c r="AQ805" s="21"/>
      <c r="AT805" s="21"/>
      <c r="AW805" s="21"/>
      <c r="AZ805" s="21"/>
      <c r="BC805" s="21"/>
      <c r="BF805" s="21"/>
      <c r="BI805" s="21"/>
      <c r="BL805" s="21"/>
      <c r="BO805" s="21"/>
      <c r="BR805" s="21"/>
    </row>
    <row r="806">
      <c r="L806" s="20"/>
      <c r="M806" s="21"/>
      <c r="P806" s="21"/>
      <c r="S806" s="21"/>
      <c r="V806" s="21"/>
      <c r="Y806" s="21"/>
      <c r="AB806" s="21"/>
      <c r="AE806" s="21"/>
      <c r="AH806" s="21"/>
      <c r="AK806" s="21"/>
      <c r="AN806" s="21"/>
      <c r="AQ806" s="21"/>
      <c r="AT806" s="21"/>
      <c r="AW806" s="21"/>
      <c r="AZ806" s="21"/>
      <c r="BC806" s="21"/>
      <c r="BF806" s="21"/>
      <c r="BI806" s="21"/>
      <c r="BL806" s="21"/>
      <c r="BO806" s="21"/>
      <c r="BR806" s="21"/>
    </row>
    <row r="807">
      <c r="L807" s="20"/>
      <c r="M807" s="21"/>
      <c r="P807" s="21"/>
      <c r="S807" s="21"/>
      <c r="V807" s="21"/>
      <c r="Y807" s="21"/>
      <c r="AB807" s="21"/>
      <c r="AE807" s="21"/>
      <c r="AH807" s="21"/>
      <c r="AK807" s="21"/>
      <c r="AN807" s="21"/>
      <c r="AQ807" s="21"/>
      <c r="AT807" s="21"/>
      <c r="AW807" s="21"/>
      <c r="AZ807" s="21"/>
      <c r="BC807" s="21"/>
      <c r="BF807" s="21"/>
      <c r="BI807" s="21"/>
      <c r="BL807" s="21"/>
      <c r="BO807" s="21"/>
      <c r="BR807" s="21"/>
    </row>
    <row r="808">
      <c r="L808" s="20"/>
      <c r="M808" s="21"/>
      <c r="P808" s="21"/>
      <c r="S808" s="21"/>
      <c r="V808" s="21"/>
      <c r="Y808" s="21"/>
      <c r="AB808" s="21"/>
      <c r="AE808" s="21"/>
      <c r="AH808" s="21"/>
      <c r="AK808" s="21"/>
      <c r="AN808" s="21"/>
      <c r="AQ808" s="21"/>
      <c r="AT808" s="21"/>
      <c r="AW808" s="21"/>
      <c r="AZ808" s="21"/>
      <c r="BC808" s="21"/>
      <c r="BF808" s="21"/>
      <c r="BI808" s="21"/>
      <c r="BL808" s="21"/>
      <c r="BO808" s="21"/>
      <c r="BR808" s="21"/>
    </row>
    <row r="809">
      <c r="L809" s="20"/>
      <c r="M809" s="21"/>
      <c r="P809" s="21"/>
      <c r="S809" s="21"/>
      <c r="V809" s="21"/>
      <c r="Y809" s="21"/>
      <c r="AB809" s="21"/>
      <c r="AE809" s="21"/>
      <c r="AH809" s="21"/>
      <c r="AK809" s="21"/>
      <c r="AN809" s="21"/>
      <c r="AQ809" s="21"/>
      <c r="AT809" s="21"/>
      <c r="AW809" s="21"/>
      <c r="AZ809" s="21"/>
      <c r="BC809" s="21"/>
      <c r="BF809" s="21"/>
      <c r="BI809" s="21"/>
      <c r="BL809" s="21"/>
      <c r="BO809" s="21"/>
      <c r="BR809" s="21"/>
    </row>
    <row r="810">
      <c r="L810" s="20"/>
      <c r="M810" s="21"/>
      <c r="P810" s="21"/>
      <c r="S810" s="21"/>
      <c r="V810" s="21"/>
      <c r="Y810" s="21"/>
      <c r="AB810" s="21"/>
      <c r="AE810" s="21"/>
      <c r="AH810" s="21"/>
      <c r="AK810" s="21"/>
      <c r="AN810" s="21"/>
      <c r="AQ810" s="21"/>
      <c r="AT810" s="21"/>
      <c r="AW810" s="21"/>
      <c r="AZ810" s="21"/>
      <c r="BC810" s="21"/>
      <c r="BF810" s="21"/>
      <c r="BI810" s="21"/>
      <c r="BL810" s="21"/>
      <c r="BO810" s="21"/>
      <c r="BR810" s="21"/>
    </row>
    <row r="811">
      <c r="L811" s="20"/>
      <c r="M811" s="21"/>
      <c r="P811" s="21"/>
      <c r="S811" s="21"/>
      <c r="V811" s="21"/>
      <c r="Y811" s="21"/>
      <c r="AB811" s="21"/>
      <c r="AE811" s="21"/>
      <c r="AH811" s="21"/>
      <c r="AK811" s="21"/>
      <c r="AN811" s="21"/>
      <c r="AQ811" s="21"/>
      <c r="AT811" s="21"/>
      <c r="AW811" s="21"/>
      <c r="AZ811" s="21"/>
      <c r="BC811" s="21"/>
      <c r="BF811" s="21"/>
      <c r="BI811" s="21"/>
      <c r="BL811" s="21"/>
      <c r="BO811" s="21"/>
      <c r="BR811" s="21"/>
    </row>
    <row r="812">
      <c r="L812" s="20"/>
      <c r="M812" s="21"/>
      <c r="P812" s="21"/>
      <c r="S812" s="21"/>
      <c r="V812" s="21"/>
      <c r="Y812" s="21"/>
      <c r="AB812" s="21"/>
      <c r="AE812" s="21"/>
      <c r="AH812" s="21"/>
      <c r="AK812" s="21"/>
      <c r="AN812" s="21"/>
      <c r="AQ812" s="21"/>
      <c r="AT812" s="21"/>
      <c r="AW812" s="21"/>
      <c r="AZ812" s="21"/>
      <c r="BC812" s="21"/>
      <c r="BF812" s="21"/>
      <c r="BI812" s="21"/>
      <c r="BL812" s="21"/>
      <c r="BO812" s="21"/>
      <c r="BR812" s="21"/>
    </row>
    <row r="813">
      <c r="L813" s="20"/>
      <c r="M813" s="21"/>
      <c r="P813" s="21"/>
      <c r="S813" s="21"/>
      <c r="V813" s="21"/>
      <c r="Y813" s="21"/>
      <c r="AB813" s="21"/>
      <c r="AE813" s="21"/>
      <c r="AH813" s="21"/>
      <c r="AK813" s="21"/>
      <c r="AN813" s="21"/>
      <c r="AQ813" s="21"/>
      <c r="AT813" s="21"/>
      <c r="AW813" s="21"/>
      <c r="AZ813" s="21"/>
      <c r="BC813" s="21"/>
      <c r="BF813" s="21"/>
      <c r="BI813" s="21"/>
      <c r="BL813" s="21"/>
      <c r="BO813" s="21"/>
      <c r="BR813" s="21"/>
    </row>
    <row r="814">
      <c r="L814" s="20"/>
      <c r="M814" s="21"/>
      <c r="P814" s="21"/>
      <c r="S814" s="21"/>
      <c r="V814" s="21"/>
      <c r="Y814" s="21"/>
      <c r="AB814" s="21"/>
      <c r="AE814" s="21"/>
      <c r="AH814" s="21"/>
      <c r="AK814" s="21"/>
      <c r="AN814" s="21"/>
      <c r="AQ814" s="21"/>
      <c r="AT814" s="21"/>
      <c r="AW814" s="21"/>
      <c r="AZ814" s="21"/>
      <c r="BC814" s="21"/>
      <c r="BF814" s="21"/>
      <c r="BI814" s="21"/>
      <c r="BL814" s="21"/>
      <c r="BO814" s="21"/>
      <c r="BR814" s="21"/>
    </row>
    <row r="815">
      <c r="L815" s="20"/>
      <c r="M815" s="21"/>
      <c r="P815" s="21"/>
      <c r="S815" s="21"/>
      <c r="V815" s="21"/>
      <c r="Y815" s="21"/>
      <c r="AB815" s="21"/>
      <c r="AE815" s="21"/>
      <c r="AH815" s="21"/>
      <c r="AK815" s="21"/>
      <c r="AN815" s="21"/>
      <c r="AQ815" s="21"/>
      <c r="AT815" s="21"/>
      <c r="AW815" s="21"/>
      <c r="AZ815" s="21"/>
      <c r="BC815" s="21"/>
      <c r="BF815" s="21"/>
      <c r="BI815" s="21"/>
      <c r="BL815" s="21"/>
      <c r="BO815" s="21"/>
      <c r="BR815" s="21"/>
    </row>
    <row r="816">
      <c r="L816" s="20"/>
      <c r="M816" s="21"/>
      <c r="P816" s="21"/>
      <c r="S816" s="21"/>
      <c r="V816" s="21"/>
      <c r="Y816" s="21"/>
      <c r="AB816" s="21"/>
      <c r="AE816" s="21"/>
      <c r="AH816" s="21"/>
      <c r="AK816" s="21"/>
      <c r="AN816" s="21"/>
      <c r="AQ816" s="21"/>
      <c r="AT816" s="21"/>
      <c r="AW816" s="21"/>
      <c r="AZ816" s="21"/>
      <c r="BC816" s="21"/>
      <c r="BF816" s="21"/>
      <c r="BI816" s="21"/>
      <c r="BL816" s="21"/>
      <c r="BO816" s="21"/>
      <c r="BR816" s="21"/>
    </row>
    <row r="817">
      <c r="L817" s="20"/>
      <c r="M817" s="21"/>
      <c r="P817" s="21"/>
      <c r="S817" s="21"/>
      <c r="V817" s="21"/>
      <c r="Y817" s="21"/>
      <c r="AB817" s="21"/>
      <c r="AE817" s="21"/>
      <c r="AH817" s="21"/>
      <c r="AK817" s="21"/>
      <c r="AN817" s="21"/>
      <c r="AQ817" s="21"/>
      <c r="AT817" s="21"/>
      <c r="AW817" s="21"/>
      <c r="AZ817" s="21"/>
      <c r="BC817" s="21"/>
      <c r="BF817" s="21"/>
      <c r="BI817" s="21"/>
      <c r="BL817" s="21"/>
      <c r="BO817" s="21"/>
      <c r="BR817" s="21"/>
    </row>
    <row r="818">
      <c r="L818" s="20"/>
      <c r="M818" s="21"/>
      <c r="P818" s="21"/>
      <c r="S818" s="21"/>
      <c r="V818" s="21"/>
      <c r="Y818" s="21"/>
      <c r="AB818" s="21"/>
      <c r="AE818" s="21"/>
      <c r="AH818" s="21"/>
      <c r="AK818" s="21"/>
      <c r="AN818" s="21"/>
      <c r="AQ818" s="21"/>
      <c r="AT818" s="21"/>
      <c r="AW818" s="21"/>
      <c r="AZ818" s="21"/>
      <c r="BC818" s="21"/>
      <c r="BF818" s="21"/>
      <c r="BI818" s="21"/>
      <c r="BL818" s="21"/>
      <c r="BO818" s="21"/>
      <c r="BR818" s="21"/>
    </row>
    <row r="819">
      <c r="L819" s="20"/>
      <c r="M819" s="21"/>
      <c r="P819" s="21"/>
      <c r="S819" s="21"/>
      <c r="V819" s="21"/>
      <c r="Y819" s="21"/>
      <c r="AB819" s="21"/>
      <c r="AE819" s="21"/>
      <c r="AH819" s="21"/>
      <c r="AK819" s="21"/>
      <c r="AN819" s="21"/>
      <c r="AQ819" s="21"/>
      <c r="AT819" s="21"/>
      <c r="AW819" s="21"/>
      <c r="AZ819" s="21"/>
      <c r="BC819" s="21"/>
      <c r="BF819" s="21"/>
      <c r="BI819" s="21"/>
      <c r="BL819" s="21"/>
      <c r="BO819" s="21"/>
      <c r="BR819" s="21"/>
    </row>
    <row r="820">
      <c r="L820" s="20"/>
      <c r="M820" s="21"/>
      <c r="P820" s="21"/>
      <c r="S820" s="21"/>
      <c r="V820" s="21"/>
      <c r="Y820" s="21"/>
      <c r="AB820" s="21"/>
      <c r="AE820" s="21"/>
      <c r="AH820" s="21"/>
      <c r="AK820" s="21"/>
      <c r="AN820" s="21"/>
      <c r="AQ820" s="21"/>
      <c r="AT820" s="21"/>
      <c r="AW820" s="21"/>
      <c r="AZ820" s="21"/>
      <c r="BC820" s="21"/>
      <c r="BF820" s="21"/>
      <c r="BI820" s="21"/>
      <c r="BL820" s="21"/>
      <c r="BO820" s="21"/>
      <c r="BR820" s="21"/>
    </row>
    <row r="821">
      <c r="L821" s="20"/>
      <c r="M821" s="21"/>
      <c r="P821" s="21"/>
      <c r="S821" s="21"/>
      <c r="V821" s="21"/>
      <c r="Y821" s="21"/>
      <c r="AB821" s="21"/>
      <c r="AE821" s="21"/>
      <c r="AH821" s="21"/>
      <c r="AK821" s="21"/>
      <c r="AN821" s="21"/>
      <c r="AQ821" s="21"/>
      <c r="AT821" s="21"/>
      <c r="AW821" s="21"/>
      <c r="AZ821" s="21"/>
      <c r="BC821" s="21"/>
      <c r="BF821" s="21"/>
      <c r="BI821" s="21"/>
      <c r="BL821" s="21"/>
      <c r="BO821" s="21"/>
      <c r="BR821" s="21"/>
    </row>
    <row r="822">
      <c r="L822" s="20"/>
      <c r="M822" s="21"/>
      <c r="P822" s="21"/>
      <c r="S822" s="21"/>
      <c r="V822" s="21"/>
      <c r="Y822" s="21"/>
      <c r="AB822" s="21"/>
      <c r="AE822" s="21"/>
      <c r="AH822" s="21"/>
      <c r="AK822" s="21"/>
      <c r="AN822" s="21"/>
      <c r="AQ822" s="21"/>
      <c r="AT822" s="21"/>
      <c r="AW822" s="21"/>
      <c r="AZ822" s="21"/>
      <c r="BC822" s="21"/>
      <c r="BF822" s="21"/>
      <c r="BI822" s="21"/>
      <c r="BL822" s="21"/>
      <c r="BO822" s="21"/>
      <c r="BR822" s="21"/>
    </row>
    <row r="823">
      <c r="L823" s="20"/>
      <c r="M823" s="21"/>
      <c r="P823" s="21"/>
      <c r="S823" s="21"/>
      <c r="V823" s="21"/>
      <c r="Y823" s="21"/>
      <c r="AB823" s="21"/>
      <c r="AE823" s="21"/>
      <c r="AH823" s="21"/>
      <c r="AK823" s="21"/>
      <c r="AN823" s="21"/>
      <c r="AQ823" s="21"/>
      <c r="AT823" s="21"/>
      <c r="AW823" s="21"/>
      <c r="AZ823" s="21"/>
      <c r="BC823" s="21"/>
      <c r="BF823" s="21"/>
      <c r="BI823" s="21"/>
      <c r="BL823" s="21"/>
      <c r="BO823" s="21"/>
      <c r="BR823" s="21"/>
    </row>
    <row r="824">
      <c r="L824" s="20"/>
      <c r="M824" s="21"/>
      <c r="P824" s="21"/>
      <c r="S824" s="21"/>
      <c r="V824" s="21"/>
      <c r="Y824" s="21"/>
      <c r="AB824" s="21"/>
      <c r="AE824" s="21"/>
      <c r="AH824" s="21"/>
      <c r="AK824" s="21"/>
      <c r="AN824" s="21"/>
      <c r="AQ824" s="21"/>
      <c r="AT824" s="21"/>
      <c r="AW824" s="21"/>
      <c r="AZ824" s="21"/>
      <c r="BC824" s="21"/>
      <c r="BF824" s="21"/>
      <c r="BI824" s="21"/>
      <c r="BL824" s="21"/>
      <c r="BO824" s="21"/>
      <c r="BR824" s="21"/>
    </row>
    <row r="825">
      <c r="L825" s="20"/>
      <c r="M825" s="21"/>
      <c r="P825" s="21"/>
      <c r="S825" s="21"/>
      <c r="V825" s="21"/>
      <c r="Y825" s="21"/>
      <c r="AB825" s="21"/>
      <c r="AE825" s="21"/>
      <c r="AH825" s="21"/>
      <c r="AK825" s="21"/>
      <c r="AN825" s="21"/>
      <c r="AQ825" s="21"/>
      <c r="AT825" s="21"/>
      <c r="AW825" s="21"/>
      <c r="AZ825" s="21"/>
      <c r="BC825" s="21"/>
      <c r="BF825" s="21"/>
      <c r="BI825" s="21"/>
      <c r="BL825" s="21"/>
      <c r="BO825" s="21"/>
      <c r="BR825" s="21"/>
    </row>
    <row r="826">
      <c r="L826" s="20"/>
      <c r="M826" s="21"/>
      <c r="P826" s="21"/>
      <c r="S826" s="21"/>
      <c r="V826" s="21"/>
      <c r="Y826" s="21"/>
      <c r="AB826" s="21"/>
      <c r="AE826" s="21"/>
      <c r="AH826" s="21"/>
      <c r="AK826" s="21"/>
      <c r="AN826" s="21"/>
      <c r="AQ826" s="21"/>
      <c r="AT826" s="21"/>
      <c r="AW826" s="21"/>
      <c r="AZ826" s="21"/>
      <c r="BC826" s="21"/>
      <c r="BF826" s="21"/>
      <c r="BI826" s="21"/>
      <c r="BL826" s="21"/>
      <c r="BO826" s="21"/>
      <c r="BR826" s="21"/>
    </row>
    <row r="827">
      <c r="L827" s="20"/>
      <c r="M827" s="21"/>
      <c r="P827" s="21"/>
      <c r="S827" s="21"/>
      <c r="V827" s="21"/>
      <c r="Y827" s="21"/>
      <c r="AB827" s="21"/>
      <c r="AE827" s="21"/>
      <c r="AH827" s="21"/>
      <c r="AK827" s="21"/>
      <c r="AN827" s="21"/>
      <c r="AQ827" s="21"/>
      <c r="AT827" s="21"/>
      <c r="AW827" s="21"/>
      <c r="AZ827" s="21"/>
      <c r="BC827" s="21"/>
      <c r="BF827" s="21"/>
      <c r="BI827" s="21"/>
      <c r="BL827" s="21"/>
      <c r="BO827" s="21"/>
      <c r="BR827" s="21"/>
    </row>
    <row r="828">
      <c r="L828" s="20"/>
      <c r="M828" s="21"/>
      <c r="P828" s="21"/>
      <c r="S828" s="21"/>
      <c r="V828" s="21"/>
      <c r="Y828" s="21"/>
      <c r="AB828" s="21"/>
      <c r="AE828" s="21"/>
      <c r="AH828" s="21"/>
      <c r="AK828" s="21"/>
      <c r="AN828" s="21"/>
      <c r="AQ828" s="21"/>
      <c r="AT828" s="21"/>
      <c r="AW828" s="21"/>
      <c r="AZ828" s="21"/>
      <c r="BC828" s="21"/>
      <c r="BF828" s="21"/>
      <c r="BI828" s="21"/>
      <c r="BL828" s="21"/>
      <c r="BO828" s="21"/>
      <c r="BR828" s="21"/>
    </row>
    <row r="829">
      <c r="L829" s="20"/>
      <c r="M829" s="21"/>
      <c r="P829" s="21"/>
      <c r="S829" s="21"/>
      <c r="V829" s="21"/>
      <c r="Y829" s="21"/>
      <c r="AB829" s="21"/>
      <c r="AE829" s="21"/>
      <c r="AH829" s="21"/>
      <c r="AK829" s="21"/>
      <c r="AN829" s="21"/>
      <c r="AQ829" s="21"/>
      <c r="AT829" s="21"/>
      <c r="AW829" s="21"/>
      <c r="AZ829" s="21"/>
      <c r="BC829" s="21"/>
      <c r="BF829" s="21"/>
      <c r="BI829" s="21"/>
      <c r="BL829" s="21"/>
      <c r="BO829" s="21"/>
      <c r="BR829" s="21"/>
    </row>
    <row r="830">
      <c r="L830" s="20"/>
      <c r="M830" s="21"/>
      <c r="P830" s="21"/>
      <c r="S830" s="21"/>
      <c r="V830" s="21"/>
      <c r="Y830" s="21"/>
      <c r="AB830" s="21"/>
      <c r="AE830" s="21"/>
      <c r="AH830" s="21"/>
      <c r="AK830" s="21"/>
      <c r="AN830" s="21"/>
      <c r="AQ830" s="21"/>
      <c r="AT830" s="21"/>
      <c r="AW830" s="21"/>
      <c r="AZ830" s="21"/>
      <c r="BC830" s="21"/>
      <c r="BF830" s="21"/>
      <c r="BI830" s="21"/>
      <c r="BL830" s="21"/>
      <c r="BO830" s="21"/>
      <c r="BR830" s="21"/>
    </row>
    <row r="831">
      <c r="L831" s="20"/>
      <c r="M831" s="21"/>
      <c r="P831" s="21"/>
      <c r="S831" s="21"/>
      <c r="V831" s="21"/>
      <c r="Y831" s="21"/>
      <c r="AB831" s="21"/>
      <c r="AE831" s="21"/>
      <c r="AH831" s="21"/>
      <c r="AK831" s="21"/>
      <c r="AN831" s="21"/>
      <c r="AQ831" s="21"/>
      <c r="AT831" s="21"/>
      <c r="AW831" s="21"/>
      <c r="AZ831" s="21"/>
      <c r="BC831" s="21"/>
      <c r="BF831" s="21"/>
      <c r="BI831" s="21"/>
      <c r="BL831" s="21"/>
      <c r="BO831" s="21"/>
      <c r="BR831" s="21"/>
    </row>
    <row r="832">
      <c r="L832" s="20"/>
      <c r="M832" s="21"/>
      <c r="P832" s="21"/>
      <c r="S832" s="21"/>
      <c r="V832" s="21"/>
      <c r="Y832" s="21"/>
      <c r="AB832" s="21"/>
      <c r="AE832" s="21"/>
      <c r="AH832" s="21"/>
      <c r="AK832" s="21"/>
      <c r="AN832" s="21"/>
      <c r="AQ832" s="21"/>
      <c r="AT832" s="21"/>
      <c r="AW832" s="21"/>
      <c r="AZ832" s="21"/>
      <c r="BC832" s="21"/>
      <c r="BF832" s="21"/>
      <c r="BI832" s="21"/>
      <c r="BL832" s="21"/>
      <c r="BO832" s="21"/>
      <c r="BR832" s="21"/>
    </row>
    <row r="833">
      <c r="L833" s="20"/>
      <c r="M833" s="21"/>
      <c r="P833" s="21"/>
      <c r="S833" s="21"/>
      <c r="V833" s="21"/>
      <c r="Y833" s="21"/>
      <c r="AB833" s="21"/>
      <c r="AE833" s="21"/>
      <c r="AH833" s="21"/>
      <c r="AK833" s="21"/>
      <c r="AN833" s="21"/>
      <c r="AQ833" s="21"/>
      <c r="AT833" s="21"/>
      <c r="AW833" s="21"/>
      <c r="AZ833" s="21"/>
      <c r="BC833" s="21"/>
      <c r="BF833" s="21"/>
      <c r="BI833" s="21"/>
      <c r="BL833" s="21"/>
      <c r="BO833" s="21"/>
      <c r="BR833" s="21"/>
    </row>
    <row r="834">
      <c r="L834" s="20"/>
      <c r="M834" s="21"/>
      <c r="P834" s="21"/>
      <c r="S834" s="21"/>
      <c r="V834" s="21"/>
      <c r="Y834" s="21"/>
      <c r="AB834" s="21"/>
      <c r="AE834" s="21"/>
      <c r="AH834" s="21"/>
      <c r="AK834" s="21"/>
      <c r="AN834" s="21"/>
      <c r="AQ834" s="21"/>
      <c r="AT834" s="21"/>
      <c r="AW834" s="21"/>
      <c r="AZ834" s="21"/>
      <c r="BC834" s="21"/>
      <c r="BF834" s="21"/>
      <c r="BI834" s="21"/>
      <c r="BL834" s="21"/>
      <c r="BO834" s="21"/>
      <c r="BR834" s="21"/>
    </row>
    <row r="835">
      <c r="L835" s="20"/>
      <c r="M835" s="21"/>
      <c r="P835" s="21"/>
      <c r="S835" s="21"/>
      <c r="V835" s="21"/>
      <c r="Y835" s="21"/>
      <c r="AB835" s="21"/>
      <c r="AE835" s="21"/>
      <c r="AH835" s="21"/>
      <c r="AK835" s="21"/>
      <c r="AN835" s="21"/>
      <c r="AQ835" s="21"/>
      <c r="AT835" s="21"/>
      <c r="AW835" s="21"/>
      <c r="AZ835" s="21"/>
      <c r="BC835" s="21"/>
      <c r="BF835" s="21"/>
      <c r="BI835" s="21"/>
      <c r="BL835" s="21"/>
      <c r="BO835" s="21"/>
      <c r="BR835" s="21"/>
    </row>
    <row r="836">
      <c r="L836" s="20"/>
      <c r="M836" s="21"/>
      <c r="P836" s="21"/>
      <c r="S836" s="21"/>
      <c r="V836" s="21"/>
      <c r="Y836" s="21"/>
      <c r="AB836" s="21"/>
      <c r="AE836" s="21"/>
      <c r="AH836" s="21"/>
      <c r="AK836" s="21"/>
      <c r="AN836" s="21"/>
      <c r="AQ836" s="21"/>
      <c r="AT836" s="21"/>
      <c r="AW836" s="21"/>
      <c r="AZ836" s="21"/>
      <c r="BC836" s="21"/>
      <c r="BF836" s="21"/>
      <c r="BI836" s="21"/>
      <c r="BL836" s="21"/>
      <c r="BO836" s="21"/>
      <c r="BR836" s="21"/>
    </row>
    <row r="837">
      <c r="L837" s="20"/>
      <c r="M837" s="21"/>
      <c r="P837" s="21"/>
      <c r="S837" s="21"/>
      <c r="V837" s="21"/>
      <c r="Y837" s="21"/>
      <c r="AB837" s="21"/>
      <c r="AE837" s="21"/>
      <c r="AH837" s="21"/>
      <c r="AK837" s="21"/>
      <c r="AN837" s="21"/>
      <c r="AQ837" s="21"/>
      <c r="AT837" s="21"/>
      <c r="AW837" s="21"/>
      <c r="AZ837" s="21"/>
      <c r="BC837" s="21"/>
      <c r="BF837" s="21"/>
      <c r="BI837" s="21"/>
      <c r="BL837" s="21"/>
      <c r="BO837" s="21"/>
      <c r="BR837" s="21"/>
    </row>
    <row r="838">
      <c r="L838" s="20"/>
      <c r="M838" s="21"/>
      <c r="P838" s="21"/>
      <c r="S838" s="21"/>
      <c r="V838" s="21"/>
      <c r="Y838" s="21"/>
      <c r="AB838" s="21"/>
      <c r="AE838" s="21"/>
      <c r="AH838" s="21"/>
      <c r="AK838" s="21"/>
      <c r="AN838" s="21"/>
      <c r="AQ838" s="21"/>
      <c r="AT838" s="21"/>
      <c r="AW838" s="21"/>
      <c r="AZ838" s="21"/>
      <c r="BC838" s="21"/>
      <c r="BF838" s="21"/>
      <c r="BI838" s="21"/>
      <c r="BL838" s="21"/>
      <c r="BO838" s="21"/>
      <c r="BR838" s="21"/>
    </row>
    <row r="839">
      <c r="L839" s="20"/>
      <c r="M839" s="21"/>
      <c r="P839" s="21"/>
      <c r="S839" s="21"/>
      <c r="V839" s="21"/>
      <c r="Y839" s="21"/>
      <c r="AB839" s="21"/>
      <c r="AE839" s="21"/>
      <c r="AH839" s="21"/>
      <c r="AK839" s="21"/>
      <c r="AN839" s="21"/>
      <c r="AQ839" s="21"/>
      <c r="AT839" s="21"/>
      <c r="AW839" s="21"/>
      <c r="AZ839" s="21"/>
      <c r="BC839" s="21"/>
      <c r="BF839" s="21"/>
      <c r="BI839" s="21"/>
      <c r="BL839" s="21"/>
      <c r="BO839" s="21"/>
      <c r="BR839" s="21"/>
    </row>
    <row r="840">
      <c r="L840" s="20"/>
      <c r="M840" s="21"/>
      <c r="P840" s="21"/>
      <c r="S840" s="21"/>
      <c r="V840" s="21"/>
      <c r="Y840" s="21"/>
      <c r="AB840" s="21"/>
      <c r="AE840" s="21"/>
      <c r="AH840" s="21"/>
      <c r="AK840" s="21"/>
      <c r="AN840" s="21"/>
      <c r="AQ840" s="21"/>
      <c r="AT840" s="21"/>
      <c r="AW840" s="21"/>
      <c r="AZ840" s="21"/>
      <c r="BC840" s="21"/>
      <c r="BF840" s="21"/>
      <c r="BI840" s="21"/>
      <c r="BL840" s="21"/>
      <c r="BO840" s="21"/>
      <c r="BR840" s="21"/>
    </row>
    <row r="841">
      <c r="L841" s="20"/>
      <c r="M841" s="21"/>
      <c r="P841" s="21"/>
      <c r="S841" s="21"/>
      <c r="V841" s="21"/>
      <c r="Y841" s="21"/>
      <c r="AB841" s="21"/>
      <c r="AE841" s="21"/>
      <c r="AH841" s="21"/>
      <c r="AK841" s="21"/>
      <c r="AN841" s="21"/>
      <c r="AQ841" s="21"/>
      <c r="AT841" s="21"/>
      <c r="AW841" s="21"/>
      <c r="AZ841" s="21"/>
      <c r="BC841" s="21"/>
      <c r="BF841" s="21"/>
      <c r="BI841" s="21"/>
      <c r="BL841" s="21"/>
      <c r="BO841" s="21"/>
      <c r="BR841" s="21"/>
    </row>
    <row r="842">
      <c r="L842" s="20"/>
      <c r="M842" s="21"/>
      <c r="P842" s="21"/>
      <c r="S842" s="21"/>
      <c r="V842" s="21"/>
      <c r="Y842" s="21"/>
      <c r="AB842" s="21"/>
      <c r="AE842" s="21"/>
      <c r="AH842" s="21"/>
      <c r="AK842" s="21"/>
      <c r="AN842" s="21"/>
      <c r="AQ842" s="21"/>
      <c r="AT842" s="21"/>
      <c r="AW842" s="21"/>
      <c r="AZ842" s="21"/>
      <c r="BC842" s="21"/>
      <c r="BF842" s="21"/>
      <c r="BI842" s="21"/>
      <c r="BL842" s="21"/>
      <c r="BO842" s="21"/>
      <c r="BR842" s="21"/>
    </row>
    <row r="843">
      <c r="L843" s="20"/>
      <c r="M843" s="21"/>
      <c r="P843" s="21"/>
      <c r="S843" s="21"/>
      <c r="V843" s="21"/>
      <c r="Y843" s="21"/>
      <c r="AB843" s="21"/>
      <c r="AE843" s="21"/>
      <c r="AH843" s="21"/>
      <c r="AK843" s="21"/>
      <c r="AN843" s="21"/>
      <c r="AQ843" s="21"/>
      <c r="AT843" s="21"/>
      <c r="AW843" s="21"/>
      <c r="AZ843" s="21"/>
      <c r="BC843" s="21"/>
      <c r="BF843" s="21"/>
      <c r="BI843" s="21"/>
      <c r="BL843" s="21"/>
      <c r="BO843" s="21"/>
      <c r="BR843" s="21"/>
    </row>
    <row r="844">
      <c r="L844" s="20"/>
      <c r="M844" s="21"/>
      <c r="P844" s="21"/>
      <c r="S844" s="21"/>
      <c r="V844" s="21"/>
      <c r="Y844" s="21"/>
      <c r="AB844" s="21"/>
      <c r="AE844" s="21"/>
      <c r="AH844" s="21"/>
      <c r="AK844" s="21"/>
      <c r="AN844" s="21"/>
      <c r="AQ844" s="21"/>
      <c r="AT844" s="21"/>
      <c r="AW844" s="21"/>
      <c r="AZ844" s="21"/>
      <c r="BC844" s="21"/>
      <c r="BF844" s="21"/>
      <c r="BI844" s="21"/>
      <c r="BL844" s="21"/>
      <c r="BO844" s="21"/>
      <c r="BR844" s="21"/>
    </row>
    <row r="845">
      <c r="L845" s="20"/>
      <c r="M845" s="21"/>
      <c r="P845" s="21"/>
      <c r="S845" s="21"/>
      <c r="V845" s="21"/>
      <c r="Y845" s="21"/>
      <c r="AB845" s="21"/>
      <c r="AE845" s="21"/>
      <c r="AH845" s="21"/>
      <c r="AK845" s="21"/>
      <c r="AN845" s="21"/>
      <c r="AQ845" s="21"/>
      <c r="AT845" s="21"/>
      <c r="AW845" s="21"/>
      <c r="AZ845" s="21"/>
      <c r="BC845" s="21"/>
      <c r="BF845" s="21"/>
      <c r="BI845" s="21"/>
      <c r="BL845" s="21"/>
      <c r="BO845" s="21"/>
      <c r="BR845" s="21"/>
    </row>
    <row r="846">
      <c r="L846" s="20"/>
      <c r="M846" s="21"/>
      <c r="P846" s="21"/>
      <c r="S846" s="21"/>
      <c r="V846" s="21"/>
      <c r="Y846" s="21"/>
      <c r="AB846" s="21"/>
      <c r="AE846" s="21"/>
      <c r="AH846" s="21"/>
      <c r="AK846" s="21"/>
      <c r="AN846" s="21"/>
      <c r="AQ846" s="21"/>
      <c r="AT846" s="21"/>
      <c r="AW846" s="21"/>
      <c r="AZ846" s="21"/>
      <c r="BC846" s="21"/>
      <c r="BF846" s="21"/>
      <c r="BI846" s="21"/>
      <c r="BL846" s="21"/>
      <c r="BO846" s="21"/>
      <c r="BR846" s="21"/>
    </row>
    <row r="847">
      <c r="L847" s="20"/>
      <c r="M847" s="21"/>
      <c r="P847" s="21"/>
      <c r="S847" s="21"/>
      <c r="V847" s="21"/>
      <c r="Y847" s="21"/>
      <c r="AB847" s="21"/>
      <c r="AE847" s="21"/>
      <c r="AH847" s="21"/>
      <c r="AK847" s="21"/>
      <c r="AN847" s="21"/>
      <c r="AQ847" s="21"/>
      <c r="AT847" s="21"/>
      <c r="AW847" s="21"/>
      <c r="AZ847" s="21"/>
      <c r="BC847" s="21"/>
      <c r="BF847" s="21"/>
      <c r="BI847" s="21"/>
      <c r="BL847" s="21"/>
      <c r="BO847" s="21"/>
      <c r="BR847" s="21"/>
    </row>
    <row r="848">
      <c r="L848" s="20"/>
      <c r="M848" s="21"/>
      <c r="P848" s="21"/>
      <c r="S848" s="21"/>
      <c r="V848" s="21"/>
      <c r="Y848" s="21"/>
      <c r="AB848" s="21"/>
      <c r="AE848" s="21"/>
      <c r="AH848" s="21"/>
      <c r="AK848" s="21"/>
      <c r="AN848" s="21"/>
      <c r="AQ848" s="21"/>
      <c r="AT848" s="21"/>
      <c r="AW848" s="21"/>
      <c r="AZ848" s="21"/>
      <c r="BC848" s="21"/>
      <c r="BF848" s="21"/>
      <c r="BI848" s="21"/>
      <c r="BL848" s="21"/>
      <c r="BO848" s="21"/>
      <c r="BR848" s="21"/>
    </row>
    <row r="849">
      <c r="L849" s="20"/>
      <c r="M849" s="21"/>
      <c r="P849" s="21"/>
      <c r="S849" s="21"/>
      <c r="V849" s="21"/>
      <c r="Y849" s="21"/>
      <c r="AB849" s="21"/>
      <c r="AE849" s="21"/>
      <c r="AH849" s="21"/>
      <c r="AK849" s="21"/>
      <c r="AN849" s="21"/>
      <c r="AQ849" s="21"/>
      <c r="AT849" s="21"/>
      <c r="AW849" s="21"/>
      <c r="AZ849" s="21"/>
      <c r="BC849" s="21"/>
      <c r="BF849" s="21"/>
      <c r="BI849" s="21"/>
      <c r="BL849" s="21"/>
      <c r="BO849" s="21"/>
      <c r="BR849" s="21"/>
    </row>
    <row r="850">
      <c r="L850" s="20"/>
      <c r="M850" s="21"/>
      <c r="P850" s="21"/>
      <c r="S850" s="21"/>
      <c r="V850" s="21"/>
      <c r="Y850" s="21"/>
      <c r="AB850" s="21"/>
      <c r="AE850" s="21"/>
      <c r="AH850" s="21"/>
      <c r="AK850" s="21"/>
      <c r="AN850" s="21"/>
      <c r="AQ850" s="21"/>
      <c r="AT850" s="21"/>
      <c r="AW850" s="21"/>
      <c r="AZ850" s="21"/>
      <c r="BC850" s="21"/>
      <c r="BF850" s="21"/>
      <c r="BI850" s="21"/>
      <c r="BL850" s="21"/>
      <c r="BO850" s="21"/>
      <c r="BR850" s="21"/>
    </row>
    <row r="851">
      <c r="L851" s="20"/>
      <c r="M851" s="21"/>
      <c r="P851" s="21"/>
      <c r="S851" s="21"/>
      <c r="V851" s="21"/>
      <c r="Y851" s="21"/>
      <c r="AB851" s="21"/>
      <c r="AE851" s="21"/>
      <c r="AH851" s="21"/>
      <c r="AK851" s="21"/>
      <c r="AN851" s="21"/>
      <c r="AQ851" s="21"/>
      <c r="AT851" s="21"/>
      <c r="AW851" s="21"/>
      <c r="AZ851" s="21"/>
      <c r="BC851" s="21"/>
      <c r="BF851" s="21"/>
      <c r="BI851" s="21"/>
      <c r="BL851" s="21"/>
      <c r="BO851" s="21"/>
      <c r="BR851" s="21"/>
    </row>
    <row r="852">
      <c r="L852" s="20"/>
      <c r="M852" s="21"/>
      <c r="P852" s="21"/>
      <c r="S852" s="21"/>
      <c r="V852" s="21"/>
      <c r="Y852" s="21"/>
      <c r="AB852" s="21"/>
      <c r="AE852" s="21"/>
      <c r="AH852" s="21"/>
      <c r="AK852" s="21"/>
      <c r="AN852" s="21"/>
      <c r="AQ852" s="21"/>
      <c r="AT852" s="21"/>
      <c r="AW852" s="21"/>
      <c r="AZ852" s="21"/>
      <c r="BC852" s="21"/>
      <c r="BF852" s="21"/>
      <c r="BI852" s="21"/>
      <c r="BL852" s="21"/>
      <c r="BO852" s="21"/>
      <c r="BR852" s="21"/>
    </row>
    <row r="853">
      <c r="L853" s="20"/>
      <c r="M853" s="21"/>
      <c r="P853" s="21"/>
      <c r="S853" s="21"/>
      <c r="V853" s="21"/>
      <c r="Y853" s="21"/>
      <c r="AB853" s="21"/>
      <c r="AE853" s="21"/>
      <c r="AH853" s="21"/>
      <c r="AK853" s="21"/>
      <c r="AN853" s="21"/>
      <c r="AQ853" s="21"/>
      <c r="AT853" s="21"/>
      <c r="AW853" s="21"/>
      <c r="AZ853" s="21"/>
      <c r="BC853" s="21"/>
      <c r="BF853" s="21"/>
      <c r="BI853" s="21"/>
      <c r="BL853" s="21"/>
      <c r="BO853" s="21"/>
      <c r="BR853" s="21"/>
    </row>
    <row r="854">
      <c r="L854" s="20"/>
      <c r="M854" s="21"/>
      <c r="P854" s="21"/>
      <c r="S854" s="21"/>
      <c r="V854" s="21"/>
      <c r="Y854" s="21"/>
      <c r="AB854" s="21"/>
      <c r="AE854" s="21"/>
      <c r="AH854" s="21"/>
      <c r="AK854" s="21"/>
      <c r="AN854" s="21"/>
      <c r="AQ854" s="21"/>
      <c r="AT854" s="21"/>
      <c r="AW854" s="21"/>
      <c r="AZ854" s="21"/>
      <c r="BC854" s="21"/>
      <c r="BF854" s="21"/>
      <c r="BI854" s="21"/>
      <c r="BL854" s="21"/>
      <c r="BO854" s="21"/>
      <c r="BR854" s="21"/>
    </row>
    <row r="855">
      <c r="L855" s="20"/>
      <c r="M855" s="21"/>
      <c r="P855" s="21"/>
      <c r="S855" s="21"/>
      <c r="V855" s="21"/>
      <c r="Y855" s="21"/>
      <c r="AB855" s="21"/>
      <c r="AE855" s="21"/>
      <c r="AH855" s="21"/>
      <c r="AK855" s="21"/>
      <c r="AN855" s="21"/>
      <c r="AQ855" s="21"/>
      <c r="AT855" s="21"/>
      <c r="AW855" s="21"/>
      <c r="AZ855" s="21"/>
      <c r="BC855" s="21"/>
      <c r="BF855" s="21"/>
      <c r="BI855" s="21"/>
      <c r="BL855" s="21"/>
      <c r="BO855" s="21"/>
      <c r="BR855" s="21"/>
    </row>
    <row r="856">
      <c r="L856" s="20"/>
      <c r="M856" s="21"/>
      <c r="P856" s="21"/>
      <c r="S856" s="21"/>
      <c r="V856" s="21"/>
      <c r="Y856" s="21"/>
      <c r="AB856" s="21"/>
      <c r="AE856" s="21"/>
      <c r="AH856" s="21"/>
      <c r="AK856" s="21"/>
      <c r="AN856" s="21"/>
      <c r="AQ856" s="21"/>
      <c r="AT856" s="21"/>
      <c r="AW856" s="21"/>
      <c r="AZ856" s="21"/>
      <c r="BC856" s="21"/>
      <c r="BF856" s="21"/>
      <c r="BI856" s="21"/>
      <c r="BL856" s="21"/>
      <c r="BO856" s="21"/>
      <c r="BR856" s="21"/>
    </row>
    <row r="857">
      <c r="L857" s="20"/>
      <c r="M857" s="21"/>
      <c r="P857" s="21"/>
      <c r="S857" s="21"/>
      <c r="V857" s="21"/>
      <c r="Y857" s="21"/>
      <c r="AB857" s="21"/>
      <c r="AE857" s="21"/>
      <c r="AH857" s="21"/>
      <c r="AK857" s="21"/>
      <c r="AN857" s="21"/>
      <c r="AQ857" s="21"/>
      <c r="AT857" s="21"/>
      <c r="AW857" s="21"/>
      <c r="AZ857" s="21"/>
      <c r="BC857" s="21"/>
      <c r="BF857" s="21"/>
      <c r="BI857" s="21"/>
      <c r="BL857" s="21"/>
      <c r="BO857" s="21"/>
      <c r="BR857" s="21"/>
    </row>
    <row r="858">
      <c r="L858" s="20"/>
      <c r="M858" s="21"/>
      <c r="P858" s="21"/>
      <c r="S858" s="21"/>
      <c r="V858" s="21"/>
      <c r="Y858" s="21"/>
      <c r="AB858" s="21"/>
      <c r="AE858" s="21"/>
      <c r="AH858" s="21"/>
      <c r="AK858" s="21"/>
      <c r="AN858" s="21"/>
      <c r="AQ858" s="21"/>
      <c r="AT858" s="21"/>
      <c r="AW858" s="21"/>
      <c r="AZ858" s="21"/>
      <c r="BC858" s="21"/>
      <c r="BF858" s="21"/>
      <c r="BI858" s="21"/>
      <c r="BL858" s="21"/>
      <c r="BO858" s="21"/>
      <c r="BR858" s="21"/>
    </row>
    <row r="859">
      <c r="L859" s="20"/>
      <c r="M859" s="21"/>
      <c r="P859" s="21"/>
      <c r="S859" s="21"/>
      <c r="V859" s="21"/>
      <c r="Y859" s="21"/>
      <c r="AB859" s="21"/>
      <c r="AE859" s="21"/>
      <c r="AH859" s="21"/>
      <c r="AK859" s="21"/>
      <c r="AN859" s="21"/>
      <c r="AQ859" s="21"/>
      <c r="AT859" s="21"/>
      <c r="AW859" s="21"/>
      <c r="AZ859" s="21"/>
      <c r="BC859" s="21"/>
      <c r="BF859" s="21"/>
      <c r="BI859" s="21"/>
      <c r="BL859" s="21"/>
      <c r="BO859" s="21"/>
      <c r="BR859" s="21"/>
    </row>
    <row r="860">
      <c r="L860" s="20"/>
      <c r="M860" s="21"/>
      <c r="P860" s="21"/>
      <c r="S860" s="21"/>
      <c r="V860" s="21"/>
      <c r="Y860" s="21"/>
      <c r="AB860" s="21"/>
      <c r="AE860" s="21"/>
      <c r="AH860" s="21"/>
      <c r="AK860" s="21"/>
      <c r="AN860" s="21"/>
      <c r="AQ860" s="21"/>
      <c r="AT860" s="21"/>
      <c r="AW860" s="21"/>
      <c r="AZ860" s="21"/>
      <c r="BC860" s="21"/>
      <c r="BF860" s="21"/>
      <c r="BI860" s="21"/>
      <c r="BL860" s="21"/>
      <c r="BO860" s="21"/>
      <c r="BR860" s="21"/>
    </row>
    <row r="861">
      <c r="L861" s="20"/>
      <c r="M861" s="21"/>
      <c r="P861" s="21"/>
      <c r="S861" s="21"/>
      <c r="V861" s="21"/>
      <c r="Y861" s="21"/>
      <c r="AB861" s="21"/>
      <c r="AE861" s="21"/>
      <c r="AH861" s="21"/>
      <c r="AK861" s="21"/>
      <c r="AN861" s="21"/>
      <c r="AQ861" s="21"/>
      <c r="AT861" s="21"/>
      <c r="AW861" s="21"/>
      <c r="AZ861" s="21"/>
      <c r="BC861" s="21"/>
      <c r="BF861" s="21"/>
      <c r="BI861" s="21"/>
      <c r="BL861" s="21"/>
      <c r="BO861" s="21"/>
      <c r="BR861" s="21"/>
    </row>
    <row r="862">
      <c r="L862" s="20"/>
      <c r="M862" s="21"/>
      <c r="P862" s="21"/>
      <c r="S862" s="21"/>
      <c r="V862" s="21"/>
      <c r="Y862" s="21"/>
      <c r="AB862" s="21"/>
      <c r="AE862" s="21"/>
      <c r="AH862" s="21"/>
      <c r="AK862" s="21"/>
      <c r="AN862" s="21"/>
      <c r="AQ862" s="21"/>
      <c r="AT862" s="21"/>
      <c r="AW862" s="21"/>
      <c r="AZ862" s="21"/>
      <c r="BC862" s="21"/>
      <c r="BF862" s="21"/>
      <c r="BI862" s="21"/>
      <c r="BL862" s="21"/>
      <c r="BO862" s="21"/>
      <c r="BR862" s="21"/>
    </row>
    <row r="863">
      <c r="L863" s="20"/>
      <c r="M863" s="21"/>
      <c r="P863" s="21"/>
      <c r="S863" s="21"/>
      <c r="V863" s="21"/>
      <c r="Y863" s="21"/>
      <c r="AB863" s="21"/>
      <c r="AE863" s="21"/>
      <c r="AH863" s="21"/>
      <c r="AK863" s="21"/>
      <c r="AN863" s="21"/>
      <c r="AQ863" s="21"/>
      <c r="AT863" s="21"/>
      <c r="AW863" s="21"/>
      <c r="AZ863" s="21"/>
      <c r="BC863" s="21"/>
      <c r="BF863" s="21"/>
      <c r="BI863" s="21"/>
      <c r="BL863" s="21"/>
      <c r="BO863" s="21"/>
      <c r="BR863" s="21"/>
    </row>
    <row r="864">
      <c r="L864" s="20"/>
      <c r="M864" s="21"/>
      <c r="P864" s="21"/>
      <c r="S864" s="21"/>
      <c r="V864" s="21"/>
      <c r="Y864" s="21"/>
      <c r="AB864" s="21"/>
      <c r="AE864" s="21"/>
      <c r="AH864" s="21"/>
      <c r="AK864" s="21"/>
      <c r="AN864" s="21"/>
      <c r="AQ864" s="21"/>
      <c r="AT864" s="21"/>
      <c r="AW864" s="21"/>
      <c r="AZ864" s="21"/>
      <c r="BC864" s="21"/>
      <c r="BF864" s="21"/>
      <c r="BI864" s="21"/>
      <c r="BL864" s="21"/>
      <c r="BO864" s="21"/>
      <c r="BR864" s="21"/>
    </row>
    <row r="865">
      <c r="L865" s="20"/>
      <c r="M865" s="21"/>
      <c r="P865" s="21"/>
      <c r="S865" s="21"/>
      <c r="V865" s="21"/>
      <c r="Y865" s="21"/>
      <c r="AB865" s="21"/>
      <c r="AE865" s="21"/>
      <c r="AH865" s="21"/>
      <c r="AK865" s="21"/>
      <c r="AN865" s="21"/>
      <c r="AQ865" s="21"/>
      <c r="AT865" s="21"/>
      <c r="AW865" s="21"/>
      <c r="AZ865" s="21"/>
      <c r="BC865" s="21"/>
      <c r="BF865" s="21"/>
      <c r="BI865" s="21"/>
      <c r="BL865" s="21"/>
      <c r="BO865" s="21"/>
      <c r="BR865" s="21"/>
    </row>
    <row r="866">
      <c r="L866" s="20"/>
      <c r="M866" s="21"/>
      <c r="P866" s="21"/>
      <c r="S866" s="21"/>
      <c r="V866" s="21"/>
      <c r="Y866" s="21"/>
      <c r="AB866" s="21"/>
      <c r="AE866" s="21"/>
      <c r="AH866" s="21"/>
      <c r="AK866" s="21"/>
      <c r="AN866" s="21"/>
      <c r="AQ866" s="21"/>
      <c r="AT866" s="21"/>
      <c r="AW866" s="21"/>
      <c r="AZ866" s="21"/>
      <c r="BC866" s="21"/>
      <c r="BF866" s="21"/>
      <c r="BI866" s="21"/>
      <c r="BL866" s="21"/>
      <c r="BO866" s="21"/>
      <c r="BR866" s="21"/>
    </row>
    <row r="867">
      <c r="L867" s="20"/>
      <c r="M867" s="21"/>
      <c r="P867" s="21"/>
      <c r="S867" s="21"/>
      <c r="V867" s="21"/>
      <c r="Y867" s="21"/>
      <c r="AB867" s="21"/>
      <c r="AE867" s="21"/>
      <c r="AH867" s="21"/>
      <c r="AK867" s="21"/>
      <c r="AN867" s="21"/>
      <c r="AQ867" s="21"/>
      <c r="AT867" s="21"/>
      <c r="AW867" s="21"/>
      <c r="AZ867" s="21"/>
      <c r="BC867" s="21"/>
      <c r="BF867" s="21"/>
      <c r="BI867" s="21"/>
      <c r="BL867" s="21"/>
      <c r="BO867" s="21"/>
      <c r="BR867" s="21"/>
    </row>
    <row r="868">
      <c r="L868" s="20"/>
      <c r="M868" s="21"/>
      <c r="P868" s="21"/>
      <c r="S868" s="21"/>
      <c r="V868" s="21"/>
      <c r="Y868" s="21"/>
      <c r="AB868" s="21"/>
      <c r="AE868" s="21"/>
      <c r="AH868" s="21"/>
      <c r="AK868" s="21"/>
      <c r="AN868" s="21"/>
      <c r="AQ868" s="21"/>
      <c r="AT868" s="21"/>
      <c r="AW868" s="21"/>
      <c r="AZ868" s="21"/>
      <c r="BC868" s="21"/>
      <c r="BF868" s="21"/>
      <c r="BI868" s="21"/>
      <c r="BL868" s="21"/>
      <c r="BO868" s="21"/>
      <c r="BR868" s="21"/>
    </row>
    <row r="869">
      <c r="L869" s="20"/>
      <c r="M869" s="21"/>
      <c r="P869" s="21"/>
      <c r="S869" s="21"/>
      <c r="V869" s="21"/>
      <c r="Y869" s="21"/>
      <c r="AB869" s="21"/>
      <c r="AE869" s="21"/>
      <c r="AH869" s="21"/>
      <c r="AK869" s="21"/>
      <c r="AN869" s="21"/>
      <c r="AQ869" s="21"/>
      <c r="AT869" s="21"/>
      <c r="AW869" s="21"/>
      <c r="AZ869" s="21"/>
      <c r="BC869" s="21"/>
      <c r="BF869" s="21"/>
      <c r="BI869" s="21"/>
      <c r="BL869" s="21"/>
      <c r="BO869" s="21"/>
      <c r="BR869" s="21"/>
    </row>
    <row r="870">
      <c r="L870" s="20"/>
      <c r="M870" s="21"/>
      <c r="P870" s="21"/>
      <c r="S870" s="21"/>
      <c r="V870" s="21"/>
      <c r="Y870" s="21"/>
      <c r="AB870" s="21"/>
      <c r="AE870" s="21"/>
      <c r="AH870" s="21"/>
      <c r="AK870" s="21"/>
      <c r="AN870" s="21"/>
      <c r="AQ870" s="21"/>
      <c r="AT870" s="21"/>
      <c r="AW870" s="21"/>
      <c r="AZ870" s="21"/>
      <c r="BC870" s="21"/>
      <c r="BF870" s="21"/>
      <c r="BI870" s="21"/>
      <c r="BL870" s="21"/>
      <c r="BO870" s="21"/>
      <c r="BR870" s="21"/>
    </row>
    <row r="871">
      <c r="L871" s="20"/>
      <c r="M871" s="21"/>
      <c r="P871" s="21"/>
      <c r="S871" s="21"/>
      <c r="V871" s="21"/>
      <c r="Y871" s="21"/>
      <c r="AB871" s="21"/>
      <c r="AE871" s="21"/>
      <c r="AH871" s="21"/>
      <c r="AK871" s="21"/>
      <c r="AN871" s="21"/>
      <c r="AQ871" s="21"/>
      <c r="AT871" s="21"/>
      <c r="AW871" s="21"/>
      <c r="AZ871" s="21"/>
      <c r="BC871" s="21"/>
      <c r="BF871" s="21"/>
      <c r="BI871" s="21"/>
      <c r="BL871" s="21"/>
      <c r="BO871" s="21"/>
      <c r="BR871" s="21"/>
    </row>
    <row r="872">
      <c r="L872" s="20"/>
      <c r="M872" s="21"/>
      <c r="P872" s="21"/>
      <c r="S872" s="21"/>
      <c r="V872" s="21"/>
      <c r="Y872" s="21"/>
      <c r="AB872" s="21"/>
      <c r="AE872" s="21"/>
      <c r="AH872" s="21"/>
      <c r="AK872" s="21"/>
      <c r="AN872" s="21"/>
      <c r="AQ872" s="21"/>
      <c r="AT872" s="21"/>
      <c r="AW872" s="21"/>
      <c r="AZ872" s="21"/>
      <c r="BC872" s="21"/>
      <c r="BF872" s="21"/>
      <c r="BI872" s="21"/>
      <c r="BL872" s="21"/>
      <c r="BO872" s="21"/>
      <c r="BR872" s="21"/>
    </row>
    <row r="873">
      <c r="L873" s="20"/>
      <c r="M873" s="21"/>
      <c r="P873" s="21"/>
      <c r="S873" s="21"/>
      <c r="V873" s="21"/>
      <c r="Y873" s="21"/>
      <c r="AB873" s="21"/>
      <c r="AE873" s="21"/>
      <c r="AH873" s="21"/>
      <c r="AK873" s="21"/>
      <c r="AN873" s="21"/>
      <c r="AQ873" s="21"/>
      <c r="AT873" s="21"/>
      <c r="AW873" s="21"/>
      <c r="AZ873" s="21"/>
      <c r="BC873" s="21"/>
      <c r="BF873" s="21"/>
      <c r="BI873" s="21"/>
      <c r="BL873" s="21"/>
      <c r="BO873" s="21"/>
      <c r="BR873" s="21"/>
    </row>
    <row r="874">
      <c r="L874" s="20"/>
      <c r="M874" s="21"/>
      <c r="P874" s="21"/>
      <c r="S874" s="21"/>
      <c r="V874" s="21"/>
      <c r="Y874" s="21"/>
      <c r="AB874" s="21"/>
      <c r="AE874" s="21"/>
      <c r="AH874" s="21"/>
      <c r="AK874" s="21"/>
      <c r="AN874" s="21"/>
      <c r="AQ874" s="21"/>
      <c r="AT874" s="21"/>
      <c r="AW874" s="21"/>
      <c r="AZ874" s="21"/>
      <c r="BC874" s="21"/>
      <c r="BF874" s="21"/>
      <c r="BI874" s="21"/>
      <c r="BL874" s="21"/>
      <c r="BO874" s="21"/>
      <c r="BR874" s="21"/>
    </row>
    <row r="875">
      <c r="L875" s="20"/>
      <c r="M875" s="21"/>
      <c r="P875" s="21"/>
      <c r="S875" s="21"/>
      <c r="V875" s="21"/>
      <c r="Y875" s="21"/>
      <c r="AB875" s="21"/>
      <c r="AE875" s="21"/>
      <c r="AH875" s="21"/>
      <c r="AK875" s="21"/>
      <c r="AN875" s="21"/>
      <c r="AQ875" s="21"/>
      <c r="AT875" s="21"/>
      <c r="AW875" s="21"/>
      <c r="AZ875" s="21"/>
      <c r="BC875" s="21"/>
      <c r="BF875" s="21"/>
      <c r="BI875" s="21"/>
      <c r="BL875" s="21"/>
      <c r="BO875" s="21"/>
      <c r="BR875" s="21"/>
    </row>
    <row r="876">
      <c r="L876" s="20"/>
      <c r="M876" s="21"/>
      <c r="P876" s="21"/>
      <c r="S876" s="21"/>
      <c r="V876" s="21"/>
      <c r="Y876" s="21"/>
      <c r="AB876" s="21"/>
      <c r="AE876" s="21"/>
      <c r="AH876" s="21"/>
      <c r="AK876" s="21"/>
      <c r="AN876" s="21"/>
      <c r="AQ876" s="21"/>
      <c r="AT876" s="21"/>
      <c r="AW876" s="21"/>
      <c r="AZ876" s="21"/>
      <c r="BC876" s="21"/>
      <c r="BF876" s="21"/>
      <c r="BI876" s="21"/>
      <c r="BL876" s="21"/>
      <c r="BO876" s="21"/>
      <c r="BR876" s="21"/>
    </row>
    <row r="877">
      <c r="L877" s="20"/>
      <c r="M877" s="21"/>
      <c r="P877" s="21"/>
      <c r="S877" s="21"/>
      <c r="V877" s="21"/>
      <c r="Y877" s="21"/>
      <c r="AB877" s="21"/>
      <c r="AE877" s="21"/>
      <c r="AH877" s="21"/>
      <c r="AK877" s="21"/>
      <c r="AN877" s="21"/>
      <c r="AQ877" s="21"/>
      <c r="AT877" s="21"/>
      <c r="AW877" s="21"/>
      <c r="AZ877" s="21"/>
      <c r="BC877" s="21"/>
      <c r="BF877" s="21"/>
      <c r="BI877" s="21"/>
      <c r="BL877" s="21"/>
      <c r="BO877" s="21"/>
      <c r="BR877" s="21"/>
    </row>
    <row r="878">
      <c r="L878" s="20"/>
      <c r="M878" s="21"/>
      <c r="P878" s="21"/>
      <c r="S878" s="21"/>
      <c r="V878" s="21"/>
      <c r="Y878" s="21"/>
      <c r="AB878" s="21"/>
      <c r="AE878" s="21"/>
      <c r="AH878" s="21"/>
      <c r="AK878" s="21"/>
      <c r="AN878" s="21"/>
      <c r="AQ878" s="21"/>
      <c r="AT878" s="21"/>
      <c r="AW878" s="21"/>
      <c r="AZ878" s="21"/>
      <c r="BC878" s="21"/>
      <c r="BF878" s="21"/>
      <c r="BI878" s="21"/>
      <c r="BL878" s="21"/>
      <c r="BO878" s="21"/>
      <c r="BR878" s="21"/>
    </row>
    <row r="879">
      <c r="L879" s="20"/>
      <c r="M879" s="21"/>
      <c r="P879" s="21"/>
      <c r="S879" s="21"/>
      <c r="V879" s="21"/>
      <c r="Y879" s="21"/>
      <c r="AB879" s="21"/>
      <c r="AE879" s="21"/>
      <c r="AH879" s="21"/>
      <c r="AK879" s="21"/>
      <c r="AN879" s="21"/>
      <c r="AQ879" s="21"/>
      <c r="AT879" s="21"/>
      <c r="AW879" s="21"/>
      <c r="AZ879" s="21"/>
      <c r="BC879" s="21"/>
      <c r="BF879" s="21"/>
      <c r="BI879" s="21"/>
      <c r="BL879" s="21"/>
      <c r="BO879" s="21"/>
      <c r="BR879" s="21"/>
    </row>
    <row r="880">
      <c r="L880" s="20"/>
      <c r="M880" s="21"/>
      <c r="P880" s="21"/>
      <c r="S880" s="21"/>
      <c r="V880" s="21"/>
      <c r="Y880" s="21"/>
      <c r="AB880" s="21"/>
      <c r="AE880" s="21"/>
      <c r="AH880" s="21"/>
      <c r="AK880" s="21"/>
      <c r="AN880" s="21"/>
      <c r="AQ880" s="21"/>
      <c r="AT880" s="21"/>
      <c r="AW880" s="21"/>
      <c r="AZ880" s="21"/>
      <c r="BC880" s="21"/>
      <c r="BF880" s="21"/>
      <c r="BI880" s="21"/>
      <c r="BL880" s="21"/>
      <c r="BO880" s="21"/>
      <c r="BR880" s="21"/>
    </row>
    <row r="881">
      <c r="L881" s="20"/>
      <c r="M881" s="21"/>
      <c r="P881" s="21"/>
      <c r="S881" s="21"/>
      <c r="V881" s="21"/>
      <c r="Y881" s="21"/>
      <c r="AB881" s="21"/>
      <c r="AE881" s="21"/>
      <c r="AH881" s="21"/>
      <c r="AK881" s="21"/>
      <c r="AN881" s="21"/>
      <c r="AQ881" s="21"/>
      <c r="AT881" s="21"/>
      <c r="AW881" s="21"/>
      <c r="AZ881" s="21"/>
      <c r="BC881" s="21"/>
      <c r="BF881" s="21"/>
      <c r="BI881" s="21"/>
      <c r="BL881" s="21"/>
      <c r="BO881" s="21"/>
      <c r="BR881" s="21"/>
    </row>
    <row r="882">
      <c r="L882" s="20"/>
      <c r="M882" s="21"/>
      <c r="P882" s="21"/>
      <c r="S882" s="21"/>
      <c r="V882" s="21"/>
      <c r="Y882" s="21"/>
      <c r="AB882" s="21"/>
      <c r="AE882" s="21"/>
      <c r="AH882" s="21"/>
      <c r="AK882" s="21"/>
      <c r="AN882" s="21"/>
      <c r="AQ882" s="21"/>
      <c r="AT882" s="21"/>
      <c r="AW882" s="21"/>
      <c r="AZ882" s="21"/>
      <c r="BC882" s="21"/>
      <c r="BF882" s="21"/>
      <c r="BI882" s="21"/>
      <c r="BL882" s="21"/>
      <c r="BO882" s="21"/>
      <c r="BR882" s="21"/>
    </row>
    <row r="883">
      <c r="L883" s="20"/>
      <c r="M883" s="21"/>
      <c r="P883" s="21"/>
      <c r="S883" s="21"/>
      <c r="V883" s="21"/>
      <c r="Y883" s="21"/>
      <c r="AB883" s="21"/>
      <c r="AE883" s="21"/>
      <c r="AH883" s="21"/>
      <c r="AK883" s="21"/>
      <c r="AN883" s="21"/>
      <c r="AQ883" s="21"/>
      <c r="AT883" s="21"/>
      <c r="AW883" s="21"/>
      <c r="AZ883" s="21"/>
      <c r="BC883" s="21"/>
      <c r="BF883" s="21"/>
      <c r="BI883" s="21"/>
      <c r="BL883" s="21"/>
      <c r="BO883" s="21"/>
      <c r="BR883" s="21"/>
    </row>
    <row r="884">
      <c r="L884" s="20"/>
      <c r="M884" s="21"/>
      <c r="P884" s="21"/>
      <c r="S884" s="21"/>
      <c r="V884" s="21"/>
      <c r="Y884" s="21"/>
      <c r="AB884" s="21"/>
      <c r="AE884" s="21"/>
      <c r="AH884" s="21"/>
      <c r="AK884" s="21"/>
      <c r="AN884" s="21"/>
      <c r="AQ884" s="21"/>
      <c r="AT884" s="21"/>
      <c r="AW884" s="21"/>
      <c r="AZ884" s="21"/>
      <c r="BC884" s="21"/>
      <c r="BF884" s="21"/>
      <c r="BI884" s="21"/>
      <c r="BL884" s="21"/>
      <c r="BO884" s="21"/>
      <c r="BR884" s="21"/>
    </row>
    <row r="885">
      <c r="L885" s="20"/>
      <c r="M885" s="21"/>
      <c r="P885" s="21"/>
      <c r="S885" s="21"/>
      <c r="V885" s="21"/>
      <c r="Y885" s="21"/>
      <c r="AB885" s="21"/>
      <c r="AE885" s="21"/>
      <c r="AH885" s="21"/>
      <c r="AK885" s="21"/>
      <c r="AN885" s="21"/>
      <c r="AQ885" s="21"/>
      <c r="AT885" s="21"/>
      <c r="AW885" s="21"/>
      <c r="AZ885" s="21"/>
      <c r="BC885" s="21"/>
      <c r="BF885" s="21"/>
      <c r="BI885" s="21"/>
      <c r="BL885" s="21"/>
      <c r="BO885" s="21"/>
      <c r="BR885" s="21"/>
    </row>
    <row r="886">
      <c r="L886" s="20"/>
      <c r="M886" s="21"/>
      <c r="P886" s="21"/>
      <c r="S886" s="21"/>
      <c r="V886" s="21"/>
      <c r="Y886" s="21"/>
      <c r="AB886" s="21"/>
      <c r="AE886" s="21"/>
      <c r="AH886" s="21"/>
      <c r="AK886" s="21"/>
      <c r="AN886" s="21"/>
      <c r="AQ886" s="21"/>
      <c r="AT886" s="21"/>
      <c r="AW886" s="21"/>
      <c r="AZ886" s="21"/>
      <c r="BC886" s="21"/>
      <c r="BF886" s="21"/>
      <c r="BI886" s="21"/>
      <c r="BL886" s="21"/>
      <c r="BO886" s="21"/>
      <c r="BR886" s="21"/>
    </row>
    <row r="887">
      <c r="L887" s="20"/>
      <c r="M887" s="21"/>
      <c r="P887" s="21"/>
      <c r="S887" s="21"/>
      <c r="V887" s="21"/>
      <c r="Y887" s="21"/>
      <c r="AB887" s="21"/>
      <c r="AE887" s="21"/>
      <c r="AH887" s="21"/>
      <c r="AK887" s="21"/>
      <c r="AN887" s="21"/>
      <c r="AQ887" s="21"/>
      <c r="AT887" s="21"/>
      <c r="AW887" s="21"/>
      <c r="AZ887" s="21"/>
      <c r="BC887" s="21"/>
      <c r="BF887" s="21"/>
      <c r="BI887" s="21"/>
      <c r="BL887" s="21"/>
      <c r="BO887" s="21"/>
      <c r="BR887" s="21"/>
    </row>
    <row r="888">
      <c r="L888" s="20"/>
      <c r="M888" s="21"/>
      <c r="P888" s="21"/>
      <c r="S888" s="21"/>
      <c r="V888" s="21"/>
      <c r="Y888" s="21"/>
      <c r="AB888" s="21"/>
      <c r="AE888" s="21"/>
      <c r="AH888" s="21"/>
      <c r="AK888" s="21"/>
      <c r="AN888" s="21"/>
      <c r="AQ888" s="21"/>
      <c r="AT888" s="21"/>
      <c r="AW888" s="21"/>
      <c r="AZ888" s="21"/>
      <c r="BC888" s="21"/>
      <c r="BF888" s="21"/>
      <c r="BI888" s="21"/>
      <c r="BL888" s="21"/>
      <c r="BO888" s="21"/>
      <c r="BR888" s="21"/>
    </row>
    <row r="889">
      <c r="L889" s="20"/>
      <c r="M889" s="21"/>
      <c r="P889" s="21"/>
      <c r="S889" s="21"/>
      <c r="V889" s="21"/>
      <c r="Y889" s="21"/>
      <c r="AB889" s="21"/>
      <c r="AE889" s="21"/>
      <c r="AH889" s="21"/>
      <c r="AK889" s="21"/>
      <c r="AN889" s="21"/>
      <c r="AQ889" s="21"/>
      <c r="AT889" s="21"/>
      <c r="AW889" s="21"/>
      <c r="AZ889" s="21"/>
      <c r="BC889" s="21"/>
      <c r="BF889" s="21"/>
      <c r="BI889" s="21"/>
      <c r="BL889" s="21"/>
      <c r="BO889" s="21"/>
      <c r="BR889" s="21"/>
    </row>
    <row r="890">
      <c r="L890" s="20"/>
      <c r="M890" s="21"/>
      <c r="P890" s="21"/>
      <c r="S890" s="21"/>
      <c r="V890" s="21"/>
      <c r="Y890" s="21"/>
      <c r="AB890" s="21"/>
      <c r="AE890" s="21"/>
      <c r="AH890" s="21"/>
      <c r="AK890" s="21"/>
      <c r="AN890" s="21"/>
      <c r="AQ890" s="21"/>
      <c r="AT890" s="21"/>
      <c r="AW890" s="21"/>
      <c r="AZ890" s="21"/>
      <c r="BC890" s="21"/>
      <c r="BF890" s="21"/>
      <c r="BI890" s="21"/>
      <c r="BL890" s="21"/>
      <c r="BO890" s="21"/>
      <c r="BR890" s="21"/>
    </row>
    <row r="891">
      <c r="L891" s="20"/>
      <c r="M891" s="21"/>
      <c r="P891" s="21"/>
      <c r="S891" s="21"/>
      <c r="V891" s="21"/>
      <c r="Y891" s="21"/>
      <c r="AB891" s="21"/>
      <c r="AE891" s="21"/>
      <c r="AH891" s="21"/>
      <c r="AK891" s="21"/>
      <c r="AN891" s="21"/>
      <c r="AQ891" s="21"/>
      <c r="AT891" s="21"/>
      <c r="AW891" s="21"/>
      <c r="AZ891" s="21"/>
      <c r="BC891" s="21"/>
      <c r="BF891" s="21"/>
      <c r="BI891" s="21"/>
      <c r="BL891" s="21"/>
      <c r="BO891" s="21"/>
      <c r="BR891" s="21"/>
    </row>
    <row r="892">
      <c r="L892" s="20"/>
      <c r="M892" s="21"/>
      <c r="P892" s="21"/>
      <c r="S892" s="21"/>
      <c r="V892" s="21"/>
      <c r="Y892" s="21"/>
      <c r="AB892" s="21"/>
      <c r="AE892" s="21"/>
      <c r="AH892" s="21"/>
      <c r="AK892" s="21"/>
      <c r="AN892" s="21"/>
      <c r="AQ892" s="21"/>
      <c r="AT892" s="21"/>
      <c r="AW892" s="21"/>
      <c r="AZ892" s="21"/>
      <c r="BC892" s="21"/>
      <c r="BF892" s="21"/>
      <c r="BI892" s="21"/>
      <c r="BL892" s="21"/>
      <c r="BO892" s="21"/>
      <c r="BR892" s="21"/>
    </row>
    <row r="893">
      <c r="L893" s="20"/>
      <c r="M893" s="21"/>
      <c r="P893" s="21"/>
      <c r="S893" s="21"/>
      <c r="V893" s="21"/>
      <c r="Y893" s="21"/>
      <c r="AB893" s="21"/>
      <c r="AE893" s="21"/>
      <c r="AH893" s="21"/>
      <c r="AK893" s="21"/>
      <c r="AN893" s="21"/>
      <c r="AQ893" s="21"/>
      <c r="AT893" s="21"/>
      <c r="AW893" s="21"/>
      <c r="AZ893" s="21"/>
      <c r="BC893" s="21"/>
      <c r="BF893" s="21"/>
      <c r="BI893" s="21"/>
      <c r="BL893" s="21"/>
      <c r="BO893" s="21"/>
      <c r="BR893" s="21"/>
    </row>
    <row r="894">
      <c r="L894" s="20"/>
      <c r="M894" s="21"/>
      <c r="P894" s="21"/>
      <c r="S894" s="21"/>
      <c r="V894" s="21"/>
      <c r="Y894" s="21"/>
      <c r="AB894" s="21"/>
      <c r="AE894" s="21"/>
      <c r="AH894" s="21"/>
      <c r="AK894" s="21"/>
      <c r="AN894" s="21"/>
      <c r="AQ894" s="21"/>
      <c r="AT894" s="21"/>
      <c r="AW894" s="21"/>
      <c r="AZ894" s="21"/>
      <c r="BC894" s="21"/>
      <c r="BF894" s="21"/>
      <c r="BI894" s="21"/>
      <c r="BL894" s="21"/>
      <c r="BO894" s="21"/>
      <c r="BR894" s="21"/>
    </row>
    <row r="895">
      <c r="L895" s="20"/>
      <c r="M895" s="21"/>
      <c r="P895" s="21"/>
      <c r="S895" s="21"/>
      <c r="V895" s="21"/>
      <c r="Y895" s="21"/>
      <c r="AB895" s="21"/>
      <c r="AE895" s="21"/>
      <c r="AH895" s="21"/>
      <c r="AK895" s="21"/>
      <c r="AN895" s="21"/>
      <c r="AQ895" s="21"/>
      <c r="AT895" s="21"/>
      <c r="AW895" s="21"/>
      <c r="AZ895" s="21"/>
      <c r="BC895" s="21"/>
      <c r="BF895" s="21"/>
      <c r="BI895" s="21"/>
      <c r="BL895" s="21"/>
      <c r="BO895" s="21"/>
      <c r="BR895" s="21"/>
    </row>
    <row r="896">
      <c r="L896" s="20"/>
      <c r="M896" s="21"/>
      <c r="P896" s="21"/>
      <c r="S896" s="21"/>
      <c r="V896" s="21"/>
      <c r="Y896" s="21"/>
      <c r="AB896" s="21"/>
      <c r="AE896" s="21"/>
      <c r="AH896" s="21"/>
      <c r="AK896" s="21"/>
      <c r="AN896" s="21"/>
      <c r="AQ896" s="21"/>
      <c r="AT896" s="21"/>
      <c r="AW896" s="21"/>
      <c r="AZ896" s="21"/>
      <c r="BC896" s="21"/>
      <c r="BF896" s="21"/>
      <c r="BI896" s="21"/>
      <c r="BL896" s="21"/>
      <c r="BO896" s="21"/>
      <c r="BR896" s="21"/>
    </row>
    <row r="897">
      <c r="L897" s="20"/>
      <c r="M897" s="21"/>
      <c r="P897" s="21"/>
      <c r="S897" s="21"/>
      <c r="V897" s="21"/>
      <c r="Y897" s="21"/>
      <c r="AB897" s="21"/>
      <c r="AE897" s="21"/>
      <c r="AH897" s="21"/>
      <c r="AK897" s="21"/>
      <c r="AN897" s="21"/>
      <c r="AQ897" s="21"/>
      <c r="AT897" s="21"/>
      <c r="AW897" s="21"/>
      <c r="AZ897" s="21"/>
      <c r="BC897" s="21"/>
      <c r="BF897" s="21"/>
      <c r="BI897" s="21"/>
      <c r="BL897" s="21"/>
      <c r="BO897" s="21"/>
      <c r="BR897" s="21"/>
    </row>
    <row r="898">
      <c r="L898" s="20"/>
      <c r="M898" s="21"/>
      <c r="P898" s="21"/>
      <c r="S898" s="21"/>
      <c r="V898" s="21"/>
      <c r="Y898" s="21"/>
      <c r="AB898" s="21"/>
      <c r="AE898" s="21"/>
      <c r="AH898" s="21"/>
      <c r="AK898" s="21"/>
      <c r="AN898" s="21"/>
      <c r="AQ898" s="21"/>
      <c r="AT898" s="21"/>
      <c r="AW898" s="21"/>
      <c r="AZ898" s="21"/>
      <c r="BC898" s="21"/>
      <c r="BF898" s="21"/>
      <c r="BI898" s="21"/>
      <c r="BL898" s="21"/>
      <c r="BO898" s="21"/>
      <c r="BR898" s="21"/>
    </row>
    <row r="899">
      <c r="L899" s="20"/>
      <c r="M899" s="21"/>
      <c r="P899" s="21"/>
      <c r="S899" s="21"/>
      <c r="V899" s="21"/>
      <c r="Y899" s="21"/>
      <c r="AB899" s="21"/>
      <c r="AE899" s="21"/>
      <c r="AH899" s="21"/>
      <c r="AK899" s="21"/>
      <c r="AN899" s="21"/>
      <c r="AQ899" s="21"/>
      <c r="AT899" s="21"/>
      <c r="AW899" s="21"/>
      <c r="AZ899" s="21"/>
      <c r="BC899" s="21"/>
      <c r="BF899" s="21"/>
      <c r="BI899" s="21"/>
      <c r="BL899" s="21"/>
      <c r="BO899" s="21"/>
      <c r="BR899" s="21"/>
    </row>
    <row r="900">
      <c r="L900" s="20"/>
      <c r="M900" s="21"/>
      <c r="P900" s="21"/>
      <c r="S900" s="21"/>
      <c r="V900" s="21"/>
      <c r="Y900" s="21"/>
      <c r="AB900" s="21"/>
      <c r="AE900" s="21"/>
      <c r="AH900" s="21"/>
      <c r="AK900" s="21"/>
      <c r="AN900" s="21"/>
      <c r="AQ900" s="21"/>
      <c r="AT900" s="21"/>
      <c r="AW900" s="21"/>
      <c r="AZ900" s="21"/>
      <c r="BC900" s="21"/>
      <c r="BF900" s="21"/>
      <c r="BI900" s="21"/>
      <c r="BL900" s="21"/>
      <c r="BO900" s="21"/>
      <c r="BR900" s="21"/>
    </row>
    <row r="901">
      <c r="L901" s="20"/>
      <c r="M901" s="21"/>
      <c r="P901" s="21"/>
      <c r="S901" s="21"/>
      <c r="V901" s="21"/>
      <c r="Y901" s="21"/>
      <c r="AB901" s="21"/>
      <c r="AE901" s="21"/>
      <c r="AH901" s="21"/>
      <c r="AK901" s="21"/>
      <c r="AN901" s="21"/>
      <c r="AQ901" s="21"/>
      <c r="AT901" s="21"/>
      <c r="AW901" s="21"/>
      <c r="AZ901" s="21"/>
      <c r="BC901" s="21"/>
      <c r="BF901" s="21"/>
      <c r="BI901" s="21"/>
      <c r="BL901" s="21"/>
      <c r="BO901" s="21"/>
      <c r="BR901" s="21"/>
    </row>
    <row r="902">
      <c r="L902" s="20"/>
      <c r="M902" s="21"/>
      <c r="P902" s="21"/>
      <c r="S902" s="21"/>
      <c r="V902" s="21"/>
      <c r="Y902" s="21"/>
      <c r="AB902" s="21"/>
      <c r="AE902" s="21"/>
      <c r="AH902" s="21"/>
      <c r="AK902" s="21"/>
      <c r="AN902" s="21"/>
      <c r="AQ902" s="21"/>
      <c r="AT902" s="21"/>
      <c r="AW902" s="21"/>
      <c r="AZ902" s="21"/>
      <c r="BC902" s="21"/>
      <c r="BF902" s="21"/>
      <c r="BI902" s="21"/>
      <c r="BL902" s="21"/>
      <c r="BO902" s="21"/>
      <c r="BR902" s="21"/>
    </row>
    <row r="903">
      <c r="L903" s="20"/>
      <c r="M903" s="21"/>
      <c r="P903" s="21"/>
      <c r="S903" s="21"/>
      <c r="V903" s="21"/>
      <c r="Y903" s="21"/>
      <c r="AB903" s="21"/>
      <c r="AE903" s="21"/>
      <c r="AH903" s="21"/>
      <c r="AK903" s="21"/>
      <c r="AN903" s="21"/>
      <c r="AQ903" s="21"/>
      <c r="AT903" s="21"/>
      <c r="AW903" s="21"/>
      <c r="AZ903" s="21"/>
      <c r="BC903" s="21"/>
      <c r="BF903" s="21"/>
      <c r="BI903" s="21"/>
      <c r="BL903" s="21"/>
      <c r="BO903" s="21"/>
      <c r="BR903" s="21"/>
    </row>
    <row r="904">
      <c r="L904" s="20"/>
      <c r="M904" s="21"/>
      <c r="P904" s="21"/>
      <c r="S904" s="21"/>
      <c r="V904" s="21"/>
      <c r="Y904" s="21"/>
      <c r="AB904" s="21"/>
      <c r="AE904" s="21"/>
      <c r="AH904" s="21"/>
      <c r="AK904" s="21"/>
      <c r="AN904" s="21"/>
      <c r="AQ904" s="21"/>
      <c r="AT904" s="21"/>
      <c r="AW904" s="21"/>
      <c r="AZ904" s="21"/>
      <c r="BC904" s="21"/>
      <c r="BF904" s="21"/>
      <c r="BI904" s="21"/>
      <c r="BL904" s="21"/>
      <c r="BO904" s="21"/>
      <c r="BR904" s="21"/>
    </row>
    <row r="905">
      <c r="L905" s="20"/>
      <c r="M905" s="21"/>
      <c r="P905" s="21"/>
      <c r="S905" s="21"/>
      <c r="V905" s="21"/>
      <c r="Y905" s="21"/>
      <c r="AB905" s="21"/>
      <c r="AE905" s="21"/>
      <c r="AH905" s="21"/>
      <c r="AK905" s="21"/>
      <c r="AN905" s="21"/>
      <c r="AQ905" s="21"/>
      <c r="AT905" s="21"/>
      <c r="AW905" s="21"/>
      <c r="AZ905" s="21"/>
      <c r="BC905" s="21"/>
      <c r="BF905" s="21"/>
      <c r="BI905" s="21"/>
      <c r="BL905" s="21"/>
      <c r="BO905" s="21"/>
      <c r="BR905" s="21"/>
    </row>
    <row r="906">
      <c r="L906" s="20"/>
      <c r="M906" s="21"/>
      <c r="P906" s="21"/>
      <c r="S906" s="21"/>
      <c r="V906" s="21"/>
      <c r="Y906" s="21"/>
      <c r="AB906" s="21"/>
      <c r="AE906" s="21"/>
      <c r="AH906" s="21"/>
      <c r="AK906" s="21"/>
      <c r="AN906" s="21"/>
      <c r="AQ906" s="21"/>
      <c r="AT906" s="21"/>
      <c r="AW906" s="21"/>
      <c r="AZ906" s="21"/>
      <c r="BC906" s="21"/>
      <c r="BF906" s="21"/>
      <c r="BI906" s="21"/>
      <c r="BL906" s="21"/>
      <c r="BO906" s="21"/>
      <c r="BR906" s="21"/>
    </row>
    <row r="907">
      <c r="L907" s="20"/>
      <c r="M907" s="21"/>
      <c r="P907" s="21"/>
      <c r="S907" s="21"/>
      <c r="V907" s="21"/>
      <c r="Y907" s="21"/>
      <c r="AB907" s="21"/>
      <c r="AE907" s="21"/>
      <c r="AH907" s="21"/>
      <c r="AK907" s="21"/>
      <c r="AN907" s="21"/>
      <c r="AQ907" s="21"/>
      <c r="AT907" s="21"/>
      <c r="AW907" s="21"/>
      <c r="AZ907" s="21"/>
      <c r="BC907" s="21"/>
      <c r="BF907" s="21"/>
      <c r="BI907" s="21"/>
      <c r="BL907" s="21"/>
      <c r="BO907" s="21"/>
      <c r="BR907" s="21"/>
    </row>
    <row r="908">
      <c r="L908" s="20"/>
      <c r="M908" s="21"/>
      <c r="P908" s="21"/>
      <c r="S908" s="21"/>
      <c r="V908" s="21"/>
      <c r="Y908" s="21"/>
      <c r="AB908" s="21"/>
      <c r="AE908" s="21"/>
      <c r="AH908" s="21"/>
      <c r="AK908" s="21"/>
      <c r="AN908" s="21"/>
      <c r="AQ908" s="21"/>
      <c r="AT908" s="21"/>
      <c r="AW908" s="21"/>
      <c r="AZ908" s="21"/>
      <c r="BC908" s="21"/>
      <c r="BF908" s="21"/>
      <c r="BI908" s="21"/>
      <c r="BL908" s="21"/>
      <c r="BO908" s="21"/>
      <c r="BR908" s="21"/>
    </row>
    <row r="909">
      <c r="L909" s="20"/>
      <c r="M909" s="21"/>
      <c r="P909" s="21"/>
      <c r="S909" s="21"/>
      <c r="V909" s="21"/>
      <c r="Y909" s="21"/>
      <c r="AB909" s="21"/>
      <c r="AE909" s="21"/>
      <c r="AH909" s="21"/>
      <c r="AK909" s="21"/>
      <c r="AN909" s="21"/>
      <c r="AQ909" s="21"/>
      <c r="AT909" s="21"/>
      <c r="AW909" s="21"/>
      <c r="AZ909" s="21"/>
      <c r="BC909" s="21"/>
      <c r="BF909" s="21"/>
      <c r="BI909" s="21"/>
      <c r="BL909" s="21"/>
      <c r="BO909" s="21"/>
      <c r="BR909" s="21"/>
    </row>
    <row r="910">
      <c r="L910" s="20"/>
      <c r="M910" s="21"/>
      <c r="P910" s="21"/>
      <c r="S910" s="21"/>
      <c r="V910" s="21"/>
      <c r="Y910" s="21"/>
      <c r="AB910" s="21"/>
      <c r="AE910" s="21"/>
      <c r="AH910" s="21"/>
      <c r="AK910" s="21"/>
      <c r="AN910" s="21"/>
      <c r="AQ910" s="21"/>
      <c r="AT910" s="21"/>
      <c r="AW910" s="21"/>
      <c r="AZ910" s="21"/>
      <c r="BC910" s="21"/>
      <c r="BF910" s="21"/>
      <c r="BI910" s="21"/>
      <c r="BL910" s="21"/>
      <c r="BO910" s="21"/>
      <c r="BR910" s="21"/>
    </row>
    <row r="911">
      <c r="L911" s="20"/>
      <c r="M911" s="21"/>
      <c r="P911" s="21"/>
      <c r="S911" s="21"/>
      <c r="V911" s="21"/>
      <c r="Y911" s="21"/>
      <c r="AB911" s="21"/>
      <c r="AE911" s="21"/>
      <c r="AH911" s="21"/>
      <c r="AK911" s="21"/>
      <c r="AN911" s="21"/>
      <c r="AQ911" s="21"/>
      <c r="AT911" s="21"/>
      <c r="AW911" s="21"/>
      <c r="AZ911" s="21"/>
      <c r="BC911" s="21"/>
      <c r="BF911" s="21"/>
      <c r="BI911" s="21"/>
      <c r="BL911" s="21"/>
      <c r="BO911" s="21"/>
      <c r="BR911" s="21"/>
    </row>
    <row r="912">
      <c r="L912" s="20"/>
      <c r="M912" s="21"/>
      <c r="P912" s="21"/>
      <c r="S912" s="21"/>
      <c r="V912" s="21"/>
      <c r="Y912" s="21"/>
      <c r="AB912" s="21"/>
      <c r="AE912" s="21"/>
      <c r="AH912" s="21"/>
      <c r="AK912" s="21"/>
      <c r="AN912" s="21"/>
      <c r="AQ912" s="21"/>
      <c r="AT912" s="21"/>
      <c r="AW912" s="21"/>
      <c r="AZ912" s="21"/>
      <c r="BC912" s="21"/>
      <c r="BF912" s="21"/>
      <c r="BI912" s="21"/>
      <c r="BL912" s="21"/>
      <c r="BO912" s="21"/>
      <c r="BR912" s="21"/>
    </row>
    <row r="913">
      <c r="L913" s="20"/>
      <c r="M913" s="21"/>
      <c r="P913" s="21"/>
      <c r="S913" s="21"/>
      <c r="V913" s="21"/>
      <c r="Y913" s="21"/>
      <c r="AB913" s="21"/>
      <c r="AE913" s="21"/>
      <c r="AH913" s="21"/>
      <c r="AK913" s="21"/>
      <c r="AN913" s="21"/>
      <c r="AQ913" s="21"/>
      <c r="AT913" s="21"/>
      <c r="AW913" s="21"/>
      <c r="AZ913" s="21"/>
      <c r="BC913" s="21"/>
      <c r="BF913" s="21"/>
      <c r="BI913" s="21"/>
      <c r="BL913" s="21"/>
      <c r="BO913" s="21"/>
      <c r="BR913" s="21"/>
    </row>
    <row r="914">
      <c r="L914" s="20"/>
      <c r="M914" s="21"/>
      <c r="P914" s="21"/>
      <c r="S914" s="21"/>
      <c r="V914" s="21"/>
      <c r="Y914" s="21"/>
      <c r="AB914" s="21"/>
      <c r="AE914" s="21"/>
      <c r="AH914" s="21"/>
      <c r="AK914" s="21"/>
      <c r="AN914" s="21"/>
      <c r="AQ914" s="21"/>
      <c r="AT914" s="21"/>
      <c r="AW914" s="21"/>
      <c r="AZ914" s="21"/>
      <c r="BC914" s="21"/>
      <c r="BF914" s="21"/>
      <c r="BI914" s="21"/>
      <c r="BL914" s="21"/>
      <c r="BO914" s="21"/>
      <c r="BR914" s="21"/>
    </row>
    <row r="915">
      <c r="L915" s="20"/>
      <c r="M915" s="21"/>
      <c r="P915" s="21"/>
      <c r="S915" s="21"/>
      <c r="V915" s="21"/>
      <c r="Y915" s="21"/>
      <c r="AB915" s="21"/>
      <c r="AE915" s="21"/>
      <c r="AH915" s="21"/>
      <c r="AK915" s="21"/>
      <c r="AN915" s="21"/>
      <c r="AQ915" s="21"/>
      <c r="AT915" s="21"/>
      <c r="AW915" s="21"/>
      <c r="AZ915" s="21"/>
      <c r="BC915" s="21"/>
      <c r="BF915" s="21"/>
      <c r="BI915" s="21"/>
      <c r="BL915" s="21"/>
      <c r="BO915" s="21"/>
      <c r="BR915" s="21"/>
    </row>
    <row r="916">
      <c r="L916" s="20"/>
      <c r="M916" s="21"/>
      <c r="P916" s="21"/>
      <c r="S916" s="21"/>
      <c r="V916" s="21"/>
      <c r="Y916" s="21"/>
      <c r="AB916" s="21"/>
      <c r="AE916" s="21"/>
      <c r="AH916" s="21"/>
      <c r="AK916" s="21"/>
      <c r="AN916" s="21"/>
      <c r="AQ916" s="21"/>
      <c r="AT916" s="21"/>
      <c r="AW916" s="21"/>
      <c r="AZ916" s="21"/>
      <c r="BC916" s="21"/>
      <c r="BF916" s="21"/>
      <c r="BI916" s="21"/>
      <c r="BL916" s="21"/>
      <c r="BO916" s="21"/>
      <c r="BR916" s="21"/>
    </row>
    <row r="917">
      <c r="L917" s="20"/>
      <c r="M917" s="21"/>
      <c r="P917" s="21"/>
      <c r="S917" s="21"/>
      <c r="V917" s="21"/>
      <c r="Y917" s="21"/>
      <c r="AB917" s="21"/>
      <c r="AE917" s="21"/>
      <c r="AH917" s="21"/>
      <c r="AK917" s="21"/>
      <c r="AN917" s="21"/>
      <c r="AQ917" s="21"/>
      <c r="AT917" s="21"/>
      <c r="AW917" s="21"/>
      <c r="AZ917" s="21"/>
      <c r="BC917" s="21"/>
      <c r="BF917" s="21"/>
      <c r="BI917" s="21"/>
      <c r="BL917" s="21"/>
      <c r="BO917" s="21"/>
      <c r="BR917" s="21"/>
    </row>
    <row r="918">
      <c r="L918" s="20"/>
      <c r="M918" s="21"/>
      <c r="P918" s="21"/>
      <c r="S918" s="21"/>
      <c r="V918" s="21"/>
      <c r="Y918" s="21"/>
      <c r="AB918" s="21"/>
      <c r="AE918" s="21"/>
      <c r="AH918" s="21"/>
      <c r="AK918" s="21"/>
      <c r="AN918" s="21"/>
      <c r="AQ918" s="21"/>
      <c r="AT918" s="21"/>
      <c r="AW918" s="21"/>
      <c r="AZ918" s="21"/>
      <c r="BC918" s="21"/>
      <c r="BF918" s="21"/>
      <c r="BI918" s="21"/>
      <c r="BL918" s="21"/>
      <c r="BO918" s="21"/>
      <c r="BR918" s="21"/>
    </row>
    <row r="919">
      <c r="L919" s="20"/>
      <c r="M919" s="21"/>
      <c r="P919" s="21"/>
      <c r="S919" s="21"/>
      <c r="V919" s="21"/>
      <c r="Y919" s="21"/>
      <c r="AB919" s="21"/>
      <c r="AE919" s="21"/>
      <c r="AH919" s="21"/>
      <c r="AK919" s="21"/>
      <c r="AN919" s="21"/>
      <c r="AQ919" s="21"/>
      <c r="AT919" s="21"/>
      <c r="AW919" s="21"/>
      <c r="AZ919" s="21"/>
      <c r="BC919" s="21"/>
      <c r="BF919" s="21"/>
      <c r="BI919" s="21"/>
      <c r="BL919" s="21"/>
      <c r="BO919" s="21"/>
      <c r="BR919" s="21"/>
    </row>
    <row r="920">
      <c r="L920" s="20"/>
      <c r="M920" s="21"/>
      <c r="P920" s="21"/>
      <c r="S920" s="21"/>
      <c r="V920" s="21"/>
      <c r="Y920" s="21"/>
      <c r="AB920" s="21"/>
      <c r="AE920" s="21"/>
      <c r="AH920" s="21"/>
      <c r="AK920" s="21"/>
      <c r="AN920" s="21"/>
      <c r="AQ920" s="21"/>
      <c r="AT920" s="21"/>
      <c r="AW920" s="21"/>
      <c r="AZ920" s="21"/>
      <c r="BC920" s="21"/>
      <c r="BF920" s="21"/>
      <c r="BI920" s="21"/>
      <c r="BL920" s="21"/>
      <c r="BO920" s="21"/>
      <c r="BR920" s="21"/>
    </row>
    <row r="921">
      <c r="L921" s="20"/>
      <c r="M921" s="21"/>
      <c r="P921" s="21"/>
      <c r="S921" s="21"/>
      <c r="V921" s="21"/>
      <c r="Y921" s="21"/>
      <c r="AB921" s="21"/>
      <c r="AE921" s="21"/>
      <c r="AH921" s="21"/>
      <c r="AK921" s="21"/>
      <c r="AN921" s="21"/>
      <c r="AQ921" s="21"/>
      <c r="AT921" s="21"/>
      <c r="AW921" s="21"/>
      <c r="AZ921" s="21"/>
      <c r="BC921" s="21"/>
      <c r="BF921" s="21"/>
      <c r="BI921" s="21"/>
      <c r="BL921" s="21"/>
      <c r="BO921" s="21"/>
      <c r="BR921" s="21"/>
    </row>
    <row r="922">
      <c r="L922" s="20"/>
      <c r="M922" s="21"/>
      <c r="P922" s="21"/>
      <c r="S922" s="21"/>
      <c r="V922" s="21"/>
      <c r="Y922" s="21"/>
      <c r="AB922" s="21"/>
      <c r="AE922" s="21"/>
      <c r="AH922" s="21"/>
      <c r="AK922" s="21"/>
      <c r="AN922" s="21"/>
      <c r="AQ922" s="21"/>
      <c r="AT922" s="21"/>
      <c r="AW922" s="21"/>
      <c r="AZ922" s="21"/>
      <c r="BC922" s="21"/>
      <c r="BF922" s="21"/>
      <c r="BI922" s="21"/>
      <c r="BL922" s="21"/>
      <c r="BO922" s="21"/>
      <c r="BR922" s="21"/>
    </row>
    <row r="923">
      <c r="L923" s="20"/>
      <c r="M923" s="21"/>
      <c r="P923" s="21"/>
      <c r="S923" s="21"/>
      <c r="V923" s="21"/>
      <c r="Y923" s="21"/>
      <c r="AB923" s="21"/>
      <c r="AE923" s="21"/>
      <c r="AH923" s="21"/>
      <c r="AK923" s="21"/>
      <c r="AN923" s="21"/>
      <c r="AQ923" s="21"/>
      <c r="AT923" s="21"/>
      <c r="AW923" s="21"/>
      <c r="AZ923" s="21"/>
      <c r="BC923" s="21"/>
      <c r="BF923" s="21"/>
      <c r="BI923" s="21"/>
      <c r="BL923" s="21"/>
      <c r="BO923" s="21"/>
      <c r="BR923" s="21"/>
    </row>
    <row r="924">
      <c r="L924" s="20"/>
      <c r="M924" s="21"/>
      <c r="P924" s="21"/>
      <c r="S924" s="21"/>
      <c r="V924" s="21"/>
      <c r="Y924" s="21"/>
      <c r="AB924" s="21"/>
      <c r="AE924" s="21"/>
      <c r="AH924" s="21"/>
      <c r="AK924" s="21"/>
      <c r="AN924" s="21"/>
      <c r="AQ924" s="21"/>
      <c r="AT924" s="21"/>
      <c r="AW924" s="21"/>
      <c r="AZ924" s="21"/>
      <c r="BC924" s="21"/>
      <c r="BF924" s="21"/>
      <c r="BI924" s="21"/>
      <c r="BL924" s="21"/>
      <c r="BO924" s="21"/>
      <c r="BR924" s="21"/>
    </row>
    <row r="925">
      <c r="L925" s="20"/>
      <c r="M925" s="21"/>
      <c r="P925" s="21"/>
      <c r="S925" s="21"/>
      <c r="V925" s="21"/>
      <c r="Y925" s="21"/>
      <c r="AB925" s="21"/>
      <c r="AE925" s="21"/>
      <c r="AH925" s="21"/>
      <c r="AK925" s="21"/>
      <c r="AN925" s="21"/>
      <c r="AQ925" s="21"/>
      <c r="AT925" s="21"/>
      <c r="AW925" s="21"/>
      <c r="AZ925" s="21"/>
      <c r="BC925" s="21"/>
      <c r="BF925" s="21"/>
      <c r="BI925" s="21"/>
      <c r="BL925" s="21"/>
      <c r="BO925" s="21"/>
      <c r="BR925" s="21"/>
    </row>
    <row r="926">
      <c r="L926" s="20"/>
      <c r="M926" s="21"/>
      <c r="P926" s="21"/>
      <c r="S926" s="21"/>
      <c r="V926" s="21"/>
      <c r="Y926" s="21"/>
      <c r="AB926" s="21"/>
      <c r="AE926" s="21"/>
      <c r="AH926" s="21"/>
      <c r="AK926" s="21"/>
      <c r="AN926" s="21"/>
      <c r="AQ926" s="21"/>
      <c r="AT926" s="21"/>
      <c r="AW926" s="21"/>
      <c r="AZ926" s="21"/>
      <c r="BC926" s="21"/>
      <c r="BF926" s="21"/>
      <c r="BI926" s="21"/>
      <c r="BL926" s="21"/>
      <c r="BO926" s="21"/>
      <c r="BR926" s="21"/>
    </row>
    <row r="927">
      <c r="L927" s="20"/>
      <c r="M927" s="21"/>
      <c r="P927" s="21"/>
      <c r="S927" s="21"/>
      <c r="V927" s="21"/>
      <c r="Y927" s="21"/>
      <c r="AB927" s="21"/>
      <c r="AE927" s="21"/>
      <c r="AH927" s="21"/>
      <c r="AK927" s="21"/>
      <c r="AN927" s="21"/>
      <c r="AQ927" s="21"/>
      <c r="AT927" s="21"/>
      <c r="AW927" s="21"/>
      <c r="AZ927" s="21"/>
      <c r="BC927" s="21"/>
      <c r="BF927" s="21"/>
      <c r="BI927" s="21"/>
      <c r="BL927" s="21"/>
      <c r="BO927" s="21"/>
      <c r="BR927" s="21"/>
    </row>
    <row r="928">
      <c r="L928" s="20"/>
      <c r="M928" s="21"/>
      <c r="P928" s="21"/>
      <c r="S928" s="21"/>
      <c r="V928" s="21"/>
      <c r="Y928" s="21"/>
      <c r="AB928" s="21"/>
      <c r="AE928" s="21"/>
      <c r="AH928" s="21"/>
      <c r="AK928" s="21"/>
      <c r="AN928" s="21"/>
      <c r="AQ928" s="21"/>
      <c r="AT928" s="21"/>
      <c r="AW928" s="21"/>
      <c r="AZ928" s="21"/>
      <c r="BC928" s="21"/>
      <c r="BF928" s="21"/>
      <c r="BI928" s="21"/>
      <c r="BL928" s="21"/>
      <c r="BO928" s="21"/>
      <c r="BR928" s="21"/>
    </row>
    <row r="929">
      <c r="L929" s="20"/>
      <c r="M929" s="21"/>
      <c r="P929" s="21"/>
      <c r="S929" s="21"/>
      <c r="V929" s="21"/>
      <c r="Y929" s="21"/>
      <c r="AB929" s="21"/>
      <c r="AE929" s="21"/>
      <c r="AH929" s="21"/>
      <c r="AK929" s="21"/>
      <c r="AN929" s="21"/>
      <c r="AQ929" s="21"/>
      <c r="AT929" s="21"/>
      <c r="AW929" s="21"/>
      <c r="AZ929" s="21"/>
      <c r="BC929" s="21"/>
      <c r="BF929" s="21"/>
      <c r="BI929" s="21"/>
      <c r="BL929" s="21"/>
      <c r="BO929" s="21"/>
      <c r="BR929" s="21"/>
    </row>
    <row r="930">
      <c r="L930" s="20"/>
      <c r="M930" s="21"/>
      <c r="P930" s="21"/>
      <c r="S930" s="21"/>
      <c r="V930" s="21"/>
      <c r="Y930" s="21"/>
      <c r="AB930" s="21"/>
      <c r="AE930" s="21"/>
      <c r="AH930" s="21"/>
      <c r="AK930" s="21"/>
      <c r="AN930" s="21"/>
      <c r="AQ930" s="21"/>
      <c r="AT930" s="21"/>
      <c r="AW930" s="21"/>
      <c r="AZ930" s="21"/>
      <c r="BC930" s="21"/>
      <c r="BF930" s="21"/>
      <c r="BI930" s="21"/>
      <c r="BL930" s="21"/>
      <c r="BO930" s="21"/>
      <c r="BR930" s="21"/>
    </row>
    <row r="931">
      <c r="L931" s="20"/>
      <c r="M931" s="21"/>
      <c r="P931" s="21"/>
      <c r="S931" s="21"/>
      <c r="V931" s="21"/>
      <c r="Y931" s="21"/>
      <c r="AB931" s="21"/>
      <c r="AE931" s="21"/>
      <c r="AH931" s="21"/>
      <c r="AK931" s="21"/>
      <c r="AN931" s="21"/>
      <c r="AQ931" s="21"/>
      <c r="AT931" s="21"/>
      <c r="AW931" s="21"/>
      <c r="AZ931" s="21"/>
      <c r="BC931" s="21"/>
      <c r="BF931" s="21"/>
      <c r="BI931" s="21"/>
      <c r="BL931" s="21"/>
      <c r="BO931" s="21"/>
      <c r="BR931" s="21"/>
    </row>
    <row r="932">
      <c r="L932" s="20"/>
      <c r="M932" s="21"/>
      <c r="P932" s="21"/>
      <c r="S932" s="21"/>
      <c r="V932" s="21"/>
      <c r="Y932" s="21"/>
      <c r="AB932" s="21"/>
      <c r="AE932" s="21"/>
      <c r="AH932" s="21"/>
      <c r="AK932" s="21"/>
      <c r="AN932" s="21"/>
      <c r="AQ932" s="21"/>
      <c r="AT932" s="21"/>
      <c r="AW932" s="21"/>
      <c r="AZ932" s="21"/>
      <c r="BC932" s="21"/>
      <c r="BF932" s="21"/>
      <c r="BI932" s="21"/>
      <c r="BL932" s="21"/>
      <c r="BO932" s="21"/>
      <c r="BR932" s="21"/>
    </row>
    <row r="933">
      <c r="L933" s="20"/>
      <c r="M933" s="21"/>
      <c r="P933" s="21"/>
      <c r="S933" s="21"/>
      <c r="V933" s="21"/>
      <c r="Y933" s="21"/>
      <c r="AB933" s="21"/>
      <c r="AE933" s="21"/>
      <c r="AH933" s="21"/>
      <c r="AK933" s="21"/>
      <c r="AN933" s="21"/>
      <c r="AQ933" s="21"/>
      <c r="AT933" s="21"/>
      <c r="AW933" s="21"/>
      <c r="AZ933" s="21"/>
      <c r="BC933" s="21"/>
      <c r="BF933" s="21"/>
      <c r="BI933" s="21"/>
      <c r="BL933" s="21"/>
      <c r="BO933" s="21"/>
      <c r="BR933" s="21"/>
    </row>
    <row r="934">
      <c r="L934" s="20"/>
      <c r="M934" s="21"/>
      <c r="P934" s="21"/>
      <c r="S934" s="21"/>
      <c r="V934" s="21"/>
      <c r="Y934" s="21"/>
      <c r="AB934" s="21"/>
      <c r="AE934" s="21"/>
      <c r="AH934" s="21"/>
      <c r="AK934" s="21"/>
      <c r="AN934" s="21"/>
      <c r="AQ934" s="21"/>
      <c r="AT934" s="21"/>
      <c r="AW934" s="21"/>
      <c r="AZ934" s="21"/>
      <c r="BC934" s="21"/>
      <c r="BF934" s="21"/>
      <c r="BI934" s="21"/>
      <c r="BL934" s="21"/>
      <c r="BO934" s="21"/>
      <c r="BR934" s="21"/>
    </row>
    <row r="935">
      <c r="L935" s="20"/>
      <c r="M935" s="21"/>
      <c r="P935" s="21"/>
      <c r="S935" s="21"/>
      <c r="V935" s="21"/>
      <c r="Y935" s="21"/>
      <c r="AB935" s="21"/>
      <c r="AE935" s="21"/>
      <c r="AH935" s="21"/>
      <c r="AK935" s="21"/>
      <c r="AN935" s="21"/>
      <c r="AQ935" s="21"/>
      <c r="AT935" s="21"/>
      <c r="AW935" s="21"/>
      <c r="AZ935" s="21"/>
      <c r="BC935" s="21"/>
      <c r="BF935" s="21"/>
      <c r="BI935" s="21"/>
      <c r="BL935" s="21"/>
      <c r="BO935" s="21"/>
      <c r="BR935" s="21"/>
    </row>
    <row r="936">
      <c r="L936" s="20"/>
      <c r="M936" s="21"/>
      <c r="P936" s="21"/>
      <c r="S936" s="21"/>
      <c r="V936" s="21"/>
      <c r="Y936" s="21"/>
      <c r="AB936" s="21"/>
      <c r="AE936" s="21"/>
      <c r="AH936" s="21"/>
      <c r="AK936" s="21"/>
      <c r="AN936" s="21"/>
      <c r="AQ936" s="21"/>
      <c r="AT936" s="21"/>
      <c r="AW936" s="21"/>
      <c r="AZ936" s="21"/>
      <c r="BC936" s="21"/>
      <c r="BF936" s="21"/>
      <c r="BI936" s="21"/>
      <c r="BL936" s="21"/>
      <c r="BO936" s="21"/>
      <c r="BR936" s="21"/>
    </row>
    <row r="937">
      <c r="L937" s="20"/>
      <c r="M937" s="21"/>
      <c r="P937" s="21"/>
      <c r="S937" s="21"/>
      <c r="V937" s="21"/>
      <c r="Y937" s="21"/>
      <c r="AB937" s="21"/>
      <c r="AE937" s="21"/>
      <c r="AH937" s="21"/>
      <c r="AK937" s="21"/>
      <c r="AN937" s="21"/>
      <c r="AQ937" s="21"/>
      <c r="AT937" s="21"/>
      <c r="AW937" s="21"/>
      <c r="AZ937" s="21"/>
      <c r="BC937" s="21"/>
      <c r="BF937" s="21"/>
      <c r="BI937" s="21"/>
      <c r="BL937" s="21"/>
      <c r="BO937" s="21"/>
      <c r="BR937" s="21"/>
    </row>
    <row r="938">
      <c r="L938" s="20"/>
      <c r="M938" s="21"/>
      <c r="P938" s="21"/>
      <c r="S938" s="21"/>
      <c r="V938" s="21"/>
      <c r="Y938" s="21"/>
      <c r="AB938" s="21"/>
      <c r="AE938" s="21"/>
      <c r="AH938" s="21"/>
      <c r="AK938" s="21"/>
      <c r="AN938" s="21"/>
      <c r="AQ938" s="21"/>
      <c r="AT938" s="21"/>
      <c r="AW938" s="21"/>
      <c r="AZ938" s="21"/>
      <c r="BC938" s="21"/>
      <c r="BF938" s="21"/>
      <c r="BI938" s="21"/>
      <c r="BL938" s="21"/>
      <c r="BO938" s="21"/>
      <c r="BR938" s="21"/>
    </row>
    <row r="939">
      <c r="L939" s="20"/>
      <c r="M939" s="21"/>
      <c r="P939" s="21"/>
      <c r="S939" s="21"/>
      <c r="V939" s="21"/>
      <c r="Y939" s="21"/>
      <c r="AB939" s="21"/>
      <c r="AE939" s="21"/>
      <c r="AH939" s="21"/>
      <c r="AK939" s="21"/>
      <c r="AN939" s="21"/>
      <c r="AQ939" s="21"/>
      <c r="AT939" s="21"/>
      <c r="AW939" s="21"/>
      <c r="AZ939" s="21"/>
      <c r="BC939" s="21"/>
      <c r="BF939" s="21"/>
      <c r="BI939" s="21"/>
      <c r="BL939" s="21"/>
      <c r="BO939" s="21"/>
      <c r="BR939" s="21"/>
    </row>
    <row r="940">
      <c r="L940" s="20"/>
      <c r="M940" s="21"/>
      <c r="P940" s="21"/>
      <c r="S940" s="21"/>
      <c r="V940" s="21"/>
      <c r="Y940" s="21"/>
      <c r="AB940" s="21"/>
      <c r="AE940" s="21"/>
      <c r="AH940" s="21"/>
      <c r="AK940" s="21"/>
      <c r="AN940" s="21"/>
      <c r="AQ940" s="21"/>
      <c r="AT940" s="21"/>
      <c r="AW940" s="21"/>
      <c r="AZ940" s="21"/>
      <c r="BC940" s="21"/>
      <c r="BF940" s="21"/>
      <c r="BI940" s="21"/>
      <c r="BL940" s="21"/>
      <c r="BO940" s="21"/>
      <c r="BR940" s="21"/>
    </row>
    <row r="941">
      <c r="L941" s="20"/>
      <c r="M941" s="21"/>
      <c r="P941" s="21"/>
      <c r="S941" s="21"/>
      <c r="V941" s="21"/>
      <c r="Y941" s="21"/>
      <c r="AB941" s="21"/>
      <c r="AE941" s="21"/>
      <c r="AH941" s="21"/>
      <c r="AK941" s="21"/>
      <c r="AN941" s="21"/>
      <c r="AQ941" s="21"/>
      <c r="AT941" s="21"/>
      <c r="AW941" s="21"/>
      <c r="AZ941" s="21"/>
      <c r="BC941" s="21"/>
      <c r="BF941" s="21"/>
      <c r="BI941" s="21"/>
      <c r="BL941" s="21"/>
      <c r="BO941" s="21"/>
      <c r="BR941" s="21"/>
    </row>
    <row r="942">
      <c r="L942" s="20"/>
      <c r="M942" s="21"/>
      <c r="P942" s="21"/>
      <c r="S942" s="21"/>
      <c r="V942" s="21"/>
      <c r="Y942" s="21"/>
      <c r="AB942" s="21"/>
      <c r="AE942" s="21"/>
      <c r="AH942" s="21"/>
      <c r="AK942" s="21"/>
      <c r="AN942" s="21"/>
      <c r="AQ942" s="21"/>
      <c r="AT942" s="21"/>
      <c r="AW942" s="21"/>
      <c r="AZ942" s="21"/>
      <c r="BC942" s="21"/>
      <c r="BF942" s="21"/>
      <c r="BI942" s="21"/>
      <c r="BL942" s="21"/>
      <c r="BO942" s="21"/>
      <c r="BR942" s="21"/>
    </row>
    <row r="943">
      <c r="L943" s="20"/>
      <c r="M943" s="21"/>
      <c r="P943" s="21"/>
      <c r="S943" s="21"/>
      <c r="V943" s="21"/>
      <c r="Y943" s="21"/>
      <c r="AB943" s="21"/>
      <c r="AE943" s="21"/>
      <c r="AH943" s="21"/>
      <c r="AK943" s="21"/>
      <c r="AN943" s="21"/>
      <c r="AQ943" s="21"/>
      <c r="AT943" s="21"/>
      <c r="AW943" s="21"/>
      <c r="AZ943" s="21"/>
      <c r="BC943" s="21"/>
      <c r="BF943" s="21"/>
      <c r="BI943" s="21"/>
      <c r="BL943" s="21"/>
      <c r="BO943" s="21"/>
      <c r="BR943" s="21"/>
    </row>
    <row r="944">
      <c r="L944" s="20"/>
      <c r="M944" s="21"/>
      <c r="P944" s="21"/>
      <c r="S944" s="21"/>
      <c r="V944" s="21"/>
      <c r="Y944" s="21"/>
      <c r="AB944" s="21"/>
      <c r="AE944" s="21"/>
      <c r="AH944" s="21"/>
      <c r="AK944" s="21"/>
      <c r="AN944" s="21"/>
      <c r="AQ944" s="21"/>
      <c r="AT944" s="21"/>
      <c r="AW944" s="21"/>
      <c r="AZ944" s="21"/>
      <c r="BC944" s="21"/>
      <c r="BF944" s="21"/>
      <c r="BI944" s="21"/>
      <c r="BL944" s="21"/>
      <c r="BO944" s="21"/>
      <c r="BR944" s="21"/>
    </row>
    <row r="945">
      <c r="L945" s="20"/>
      <c r="M945" s="21"/>
      <c r="P945" s="21"/>
      <c r="S945" s="21"/>
      <c r="V945" s="21"/>
      <c r="Y945" s="21"/>
      <c r="AB945" s="21"/>
      <c r="AE945" s="21"/>
      <c r="AH945" s="21"/>
      <c r="AK945" s="21"/>
      <c r="AN945" s="21"/>
      <c r="AQ945" s="21"/>
      <c r="AT945" s="21"/>
      <c r="AW945" s="21"/>
      <c r="AZ945" s="21"/>
      <c r="BC945" s="21"/>
      <c r="BF945" s="21"/>
      <c r="BI945" s="21"/>
      <c r="BL945" s="21"/>
      <c r="BO945" s="21"/>
      <c r="BR945" s="21"/>
    </row>
    <row r="946">
      <c r="L946" s="20"/>
      <c r="M946" s="21"/>
      <c r="P946" s="21"/>
      <c r="S946" s="21"/>
      <c r="V946" s="21"/>
      <c r="Y946" s="21"/>
      <c r="AB946" s="21"/>
      <c r="AE946" s="21"/>
      <c r="AH946" s="21"/>
      <c r="AK946" s="21"/>
      <c r="AN946" s="21"/>
      <c r="AQ946" s="21"/>
      <c r="AT946" s="21"/>
      <c r="AW946" s="21"/>
      <c r="AZ946" s="21"/>
      <c r="BC946" s="21"/>
      <c r="BF946" s="21"/>
      <c r="BI946" s="21"/>
      <c r="BL946" s="21"/>
      <c r="BO946" s="21"/>
      <c r="BR946" s="21"/>
    </row>
    <row r="947">
      <c r="L947" s="20"/>
      <c r="M947" s="21"/>
      <c r="P947" s="21"/>
      <c r="S947" s="21"/>
      <c r="V947" s="21"/>
      <c r="Y947" s="21"/>
      <c r="AB947" s="21"/>
      <c r="AE947" s="21"/>
      <c r="AH947" s="21"/>
      <c r="AK947" s="21"/>
      <c r="AN947" s="21"/>
      <c r="AQ947" s="21"/>
      <c r="AT947" s="21"/>
      <c r="AW947" s="21"/>
      <c r="AZ947" s="21"/>
      <c r="BC947" s="21"/>
      <c r="BF947" s="21"/>
      <c r="BI947" s="21"/>
      <c r="BL947" s="21"/>
      <c r="BO947" s="21"/>
      <c r="BR947" s="21"/>
    </row>
    <row r="948">
      <c r="L948" s="20"/>
      <c r="M948" s="21"/>
      <c r="P948" s="21"/>
      <c r="S948" s="21"/>
      <c r="V948" s="21"/>
      <c r="Y948" s="21"/>
      <c r="AB948" s="21"/>
      <c r="AE948" s="21"/>
      <c r="AH948" s="21"/>
      <c r="AK948" s="21"/>
      <c r="AN948" s="21"/>
      <c r="AQ948" s="21"/>
      <c r="AT948" s="21"/>
      <c r="AW948" s="21"/>
      <c r="AZ948" s="21"/>
      <c r="BC948" s="21"/>
      <c r="BF948" s="21"/>
      <c r="BI948" s="21"/>
      <c r="BL948" s="21"/>
      <c r="BO948" s="21"/>
      <c r="BR948" s="21"/>
    </row>
    <row r="949">
      <c r="L949" s="20"/>
      <c r="M949" s="21"/>
      <c r="P949" s="21"/>
      <c r="S949" s="21"/>
      <c r="V949" s="21"/>
      <c r="Y949" s="21"/>
      <c r="AB949" s="21"/>
      <c r="AE949" s="21"/>
      <c r="AH949" s="21"/>
      <c r="AK949" s="21"/>
      <c r="AN949" s="21"/>
      <c r="AQ949" s="21"/>
      <c r="AT949" s="21"/>
      <c r="AW949" s="21"/>
      <c r="AZ949" s="21"/>
      <c r="BC949" s="21"/>
      <c r="BF949" s="21"/>
      <c r="BI949" s="21"/>
      <c r="BL949" s="21"/>
      <c r="BO949" s="21"/>
      <c r="BR949" s="21"/>
    </row>
    <row r="950">
      <c r="L950" s="20"/>
      <c r="M950" s="21"/>
      <c r="P950" s="21"/>
      <c r="S950" s="21"/>
      <c r="V950" s="21"/>
      <c r="Y950" s="21"/>
      <c r="AB950" s="21"/>
      <c r="AE950" s="21"/>
      <c r="AH950" s="21"/>
      <c r="AK950" s="21"/>
      <c r="AN950" s="21"/>
      <c r="AQ950" s="21"/>
      <c r="AT950" s="21"/>
      <c r="AW950" s="21"/>
      <c r="AZ950" s="21"/>
      <c r="BC950" s="21"/>
      <c r="BF950" s="21"/>
      <c r="BI950" s="21"/>
      <c r="BL950" s="21"/>
      <c r="BO950" s="21"/>
      <c r="BR950" s="21"/>
    </row>
    <row r="951">
      <c r="L951" s="20"/>
      <c r="M951" s="21"/>
      <c r="P951" s="21"/>
      <c r="S951" s="21"/>
      <c r="V951" s="21"/>
      <c r="Y951" s="21"/>
      <c r="AB951" s="21"/>
      <c r="AE951" s="21"/>
      <c r="AH951" s="21"/>
      <c r="AK951" s="21"/>
      <c r="AN951" s="21"/>
      <c r="AQ951" s="21"/>
      <c r="AT951" s="21"/>
      <c r="AW951" s="21"/>
      <c r="AZ951" s="21"/>
      <c r="BC951" s="21"/>
      <c r="BF951" s="21"/>
      <c r="BI951" s="21"/>
      <c r="BL951" s="21"/>
      <c r="BO951" s="21"/>
      <c r="BR951" s="21"/>
    </row>
    <row r="952">
      <c r="L952" s="20"/>
      <c r="M952" s="21"/>
      <c r="P952" s="21"/>
      <c r="S952" s="21"/>
      <c r="V952" s="21"/>
      <c r="Y952" s="21"/>
      <c r="AB952" s="21"/>
      <c r="AE952" s="21"/>
      <c r="AH952" s="21"/>
      <c r="AK952" s="21"/>
      <c r="AN952" s="21"/>
      <c r="AQ952" s="21"/>
      <c r="AT952" s="21"/>
      <c r="AW952" s="21"/>
      <c r="AZ952" s="21"/>
      <c r="BC952" s="21"/>
      <c r="BF952" s="21"/>
      <c r="BI952" s="21"/>
      <c r="BL952" s="21"/>
      <c r="BO952" s="21"/>
      <c r="BR952" s="21"/>
    </row>
    <row r="953">
      <c r="L953" s="20"/>
      <c r="M953" s="21"/>
      <c r="P953" s="21"/>
      <c r="S953" s="21"/>
      <c r="V953" s="21"/>
      <c r="Y953" s="21"/>
      <c r="AB953" s="21"/>
      <c r="AE953" s="21"/>
      <c r="AH953" s="21"/>
      <c r="AK953" s="21"/>
      <c r="AN953" s="21"/>
      <c r="AQ953" s="21"/>
      <c r="AT953" s="21"/>
      <c r="AW953" s="21"/>
      <c r="AZ953" s="21"/>
      <c r="BC953" s="21"/>
      <c r="BF953" s="21"/>
      <c r="BI953" s="21"/>
      <c r="BL953" s="21"/>
      <c r="BO953" s="21"/>
      <c r="BR953" s="21"/>
    </row>
    <row r="954">
      <c r="L954" s="20"/>
      <c r="M954" s="21"/>
      <c r="P954" s="21"/>
      <c r="S954" s="21"/>
      <c r="V954" s="21"/>
      <c r="Y954" s="21"/>
      <c r="AB954" s="21"/>
      <c r="AE954" s="21"/>
      <c r="AH954" s="21"/>
      <c r="AK954" s="21"/>
      <c r="AN954" s="21"/>
      <c r="AQ954" s="21"/>
      <c r="AT954" s="21"/>
      <c r="AW954" s="21"/>
      <c r="AZ954" s="21"/>
      <c r="BC954" s="21"/>
      <c r="BF954" s="21"/>
      <c r="BI954" s="21"/>
      <c r="BL954" s="21"/>
      <c r="BO954" s="21"/>
      <c r="BR954" s="21"/>
    </row>
    <row r="955">
      <c r="L955" s="20"/>
      <c r="M955" s="21"/>
      <c r="P955" s="21"/>
      <c r="S955" s="21"/>
      <c r="V955" s="21"/>
      <c r="Y955" s="21"/>
      <c r="AB955" s="21"/>
      <c r="AE955" s="21"/>
      <c r="AH955" s="21"/>
      <c r="AK955" s="21"/>
      <c r="AN955" s="21"/>
      <c r="AQ955" s="21"/>
      <c r="AT955" s="21"/>
      <c r="AW955" s="21"/>
      <c r="AZ955" s="21"/>
      <c r="BC955" s="21"/>
      <c r="BF955" s="21"/>
      <c r="BI955" s="21"/>
      <c r="BL955" s="21"/>
      <c r="BO955" s="21"/>
      <c r="BR955" s="21"/>
    </row>
    <row r="956">
      <c r="L956" s="20"/>
      <c r="M956" s="21"/>
      <c r="P956" s="21"/>
      <c r="S956" s="21"/>
      <c r="V956" s="21"/>
      <c r="Y956" s="21"/>
      <c r="AB956" s="21"/>
      <c r="AE956" s="21"/>
      <c r="AH956" s="21"/>
      <c r="AK956" s="21"/>
      <c r="AN956" s="21"/>
      <c r="AQ956" s="21"/>
      <c r="AT956" s="21"/>
      <c r="AW956" s="21"/>
      <c r="AZ956" s="21"/>
      <c r="BC956" s="21"/>
      <c r="BF956" s="21"/>
      <c r="BI956" s="21"/>
      <c r="BL956" s="21"/>
      <c r="BO956" s="21"/>
      <c r="BR956" s="21"/>
    </row>
    <row r="957">
      <c r="L957" s="20"/>
      <c r="M957" s="21"/>
      <c r="P957" s="21"/>
      <c r="S957" s="21"/>
      <c r="V957" s="21"/>
      <c r="Y957" s="21"/>
      <c r="AB957" s="21"/>
      <c r="AE957" s="21"/>
      <c r="AH957" s="21"/>
      <c r="AK957" s="21"/>
      <c r="AN957" s="21"/>
      <c r="AQ957" s="21"/>
      <c r="AT957" s="21"/>
      <c r="AW957" s="21"/>
      <c r="AZ957" s="21"/>
      <c r="BC957" s="21"/>
      <c r="BF957" s="21"/>
      <c r="BI957" s="21"/>
      <c r="BL957" s="21"/>
      <c r="BO957" s="21"/>
      <c r="BR957" s="21"/>
    </row>
    <row r="958">
      <c r="L958" s="20"/>
      <c r="M958" s="21"/>
      <c r="P958" s="21"/>
      <c r="S958" s="21"/>
      <c r="V958" s="21"/>
      <c r="Y958" s="21"/>
      <c r="AB958" s="21"/>
      <c r="AE958" s="21"/>
      <c r="AH958" s="21"/>
      <c r="AK958" s="21"/>
      <c r="AN958" s="21"/>
      <c r="AQ958" s="21"/>
      <c r="AT958" s="21"/>
      <c r="AW958" s="21"/>
      <c r="AZ958" s="21"/>
      <c r="BC958" s="21"/>
      <c r="BF958" s="21"/>
      <c r="BI958" s="21"/>
      <c r="BL958" s="21"/>
      <c r="BO958" s="21"/>
      <c r="BR958" s="21"/>
    </row>
    <row r="959">
      <c r="L959" s="20"/>
      <c r="M959" s="21"/>
      <c r="P959" s="21"/>
      <c r="S959" s="21"/>
      <c r="V959" s="21"/>
      <c r="Y959" s="21"/>
      <c r="AB959" s="21"/>
      <c r="AE959" s="21"/>
      <c r="AH959" s="21"/>
      <c r="AK959" s="21"/>
      <c r="AN959" s="21"/>
      <c r="AQ959" s="21"/>
      <c r="AT959" s="21"/>
      <c r="AW959" s="21"/>
      <c r="AZ959" s="21"/>
      <c r="BC959" s="21"/>
      <c r="BF959" s="21"/>
      <c r="BI959" s="21"/>
      <c r="BL959" s="21"/>
      <c r="BO959" s="21"/>
      <c r="BR959" s="21"/>
    </row>
    <row r="960">
      <c r="L960" s="20"/>
      <c r="M960" s="21"/>
      <c r="P960" s="21"/>
      <c r="S960" s="21"/>
      <c r="V960" s="21"/>
      <c r="Y960" s="21"/>
      <c r="AB960" s="21"/>
      <c r="AE960" s="21"/>
      <c r="AH960" s="21"/>
      <c r="AK960" s="21"/>
      <c r="AN960" s="21"/>
      <c r="AQ960" s="21"/>
      <c r="AT960" s="21"/>
      <c r="AW960" s="21"/>
      <c r="AZ960" s="21"/>
      <c r="BC960" s="21"/>
      <c r="BF960" s="21"/>
      <c r="BI960" s="21"/>
      <c r="BL960" s="21"/>
      <c r="BO960" s="21"/>
      <c r="BR960" s="21"/>
    </row>
    <row r="961">
      <c r="L961" s="20"/>
      <c r="M961" s="21"/>
      <c r="P961" s="21"/>
      <c r="S961" s="21"/>
      <c r="V961" s="21"/>
      <c r="Y961" s="21"/>
      <c r="AB961" s="21"/>
      <c r="AE961" s="21"/>
      <c r="AH961" s="21"/>
      <c r="AK961" s="21"/>
      <c r="AN961" s="21"/>
      <c r="AQ961" s="21"/>
      <c r="AT961" s="21"/>
      <c r="AW961" s="21"/>
      <c r="AZ961" s="21"/>
      <c r="BC961" s="21"/>
      <c r="BF961" s="21"/>
      <c r="BI961" s="21"/>
      <c r="BL961" s="21"/>
      <c r="BO961" s="21"/>
      <c r="BR961" s="21"/>
    </row>
    <row r="962">
      <c r="L962" s="20"/>
      <c r="M962" s="21"/>
      <c r="P962" s="21"/>
      <c r="S962" s="21"/>
      <c r="V962" s="21"/>
      <c r="Y962" s="21"/>
      <c r="AB962" s="21"/>
      <c r="AE962" s="21"/>
      <c r="AH962" s="21"/>
      <c r="AK962" s="21"/>
      <c r="AN962" s="21"/>
      <c r="AQ962" s="21"/>
      <c r="AT962" s="21"/>
      <c r="AW962" s="21"/>
      <c r="AZ962" s="21"/>
      <c r="BC962" s="21"/>
      <c r="BF962" s="21"/>
      <c r="BI962" s="21"/>
      <c r="BL962" s="21"/>
      <c r="BO962" s="21"/>
      <c r="BR962" s="21"/>
    </row>
    <row r="963">
      <c r="L963" s="20"/>
      <c r="M963" s="21"/>
      <c r="P963" s="21"/>
      <c r="S963" s="21"/>
      <c r="V963" s="21"/>
      <c r="Y963" s="21"/>
      <c r="AB963" s="21"/>
      <c r="AE963" s="21"/>
      <c r="AH963" s="21"/>
      <c r="AK963" s="21"/>
      <c r="AN963" s="21"/>
      <c r="AQ963" s="21"/>
      <c r="AT963" s="21"/>
      <c r="AW963" s="21"/>
      <c r="AZ963" s="21"/>
      <c r="BC963" s="21"/>
      <c r="BF963" s="21"/>
      <c r="BI963" s="21"/>
      <c r="BL963" s="21"/>
      <c r="BO963" s="21"/>
      <c r="BR963" s="21"/>
    </row>
    <row r="964">
      <c r="L964" s="20"/>
      <c r="M964" s="21"/>
      <c r="P964" s="21"/>
      <c r="S964" s="21"/>
      <c r="V964" s="21"/>
      <c r="Y964" s="21"/>
      <c r="AB964" s="21"/>
      <c r="AE964" s="21"/>
      <c r="AH964" s="21"/>
      <c r="AK964" s="21"/>
      <c r="AN964" s="21"/>
      <c r="AQ964" s="21"/>
      <c r="AT964" s="21"/>
      <c r="AW964" s="21"/>
      <c r="AZ964" s="21"/>
      <c r="BC964" s="21"/>
      <c r="BF964" s="21"/>
      <c r="BI964" s="21"/>
      <c r="BL964" s="21"/>
      <c r="BO964" s="21"/>
      <c r="BR964" s="21"/>
    </row>
    <row r="965">
      <c r="L965" s="20"/>
      <c r="M965" s="21"/>
      <c r="P965" s="21"/>
      <c r="S965" s="21"/>
      <c r="V965" s="21"/>
      <c r="Y965" s="21"/>
      <c r="AB965" s="21"/>
      <c r="AE965" s="21"/>
      <c r="AH965" s="21"/>
      <c r="AK965" s="21"/>
      <c r="AN965" s="21"/>
      <c r="AQ965" s="21"/>
      <c r="AT965" s="21"/>
      <c r="AW965" s="21"/>
      <c r="AZ965" s="21"/>
      <c r="BC965" s="21"/>
      <c r="BF965" s="21"/>
      <c r="BI965" s="21"/>
      <c r="BL965" s="21"/>
      <c r="BO965" s="21"/>
      <c r="BR965" s="21"/>
    </row>
    <row r="966">
      <c r="L966" s="20"/>
      <c r="M966" s="21"/>
      <c r="P966" s="21"/>
      <c r="S966" s="21"/>
      <c r="V966" s="21"/>
      <c r="Y966" s="21"/>
      <c r="AB966" s="21"/>
      <c r="AE966" s="21"/>
      <c r="AH966" s="21"/>
      <c r="AK966" s="21"/>
      <c r="AN966" s="21"/>
      <c r="AQ966" s="21"/>
      <c r="AT966" s="21"/>
      <c r="AW966" s="21"/>
      <c r="AZ966" s="21"/>
      <c r="BC966" s="21"/>
      <c r="BF966" s="21"/>
      <c r="BI966" s="21"/>
      <c r="BL966" s="21"/>
      <c r="BO966" s="21"/>
      <c r="BR966" s="21"/>
    </row>
    <row r="967">
      <c r="L967" s="20"/>
      <c r="M967" s="21"/>
      <c r="P967" s="21"/>
      <c r="S967" s="21"/>
      <c r="V967" s="21"/>
      <c r="Y967" s="21"/>
      <c r="AB967" s="21"/>
      <c r="AE967" s="21"/>
      <c r="AH967" s="21"/>
      <c r="AK967" s="21"/>
      <c r="AN967" s="21"/>
      <c r="AQ967" s="21"/>
      <c r="AT967" s="21"/>
      <c r="AW967" s="21"/>
      <c r="AZ967" s="21"/>
      <c r="BC967" s="21"/>
      <c r="BF967" s="21"/>
      <c r="BI967" s="21"/>
      <c r="BL967" s="21"/>
      <c r="BO967" s="21"/>
      <c r="BR967" s="21"/>
    </row>
    <row r="968">
      <c r="L968" s="20"/>
      <c r="M968" s="21"/>
      <c r="P968" s="21"/>
      <c r="S968" s="21"/>
      <c r="V968" s="21"/>
      <c r="Y968" s="21"/>
      <c r="AB968" s="21"/>
      <c r="AE968" s="21"/>
      <c r="AH968" s="21"/>
      <c r="AK968" s="21"/>
      <c r="AN968" s="21"/>
      <c r="AQ968" s="21"/>
      <c r="AT968" s="21"/>
      <c r="AW968" s="21"/>
      <c r="AZ968" s="21"/>
      <c r="BC968" s="21"/>
      <c r="BF968" s="21"/>
      <c r="BI968" s="21"/>
      <c r="BL968" s="21"/>
      <c r="BO968" s="21"/>
      <c r="BR968" s="21"/>
    </row>
    <row r="969">
      <c r="L969" s="20"/>
      <c r="M969" s="21"/>
      <c r="P969" s="21"/>
      <c r="S969" s="21"/>
      <c r="V969" s="21"/>
      <c r="Y969" s="21"/>
      <c r="AB969" s="21"/>
      <c r="AE969" s="21"/>
      <c r="AH969" s="21"/>
      <c r="AK969" s="21"/>
      <c r="AN969" s="21"/>
      <c r="AQ969" s="21"/>
      <c r="AT969" s="21"/>
      <c r="AW969" s="21"/>
      <c r="AZ969" s="21"/>
      <c r="BC969" s="21"/>
      <c r="BF969" s="21"/>
      <c r="BI969" s="21"/>
      <c r="BL969" s="21"/>
      <c r="BO969" s="21"/>
      <c r="BR969" s="21"/>
    </row>
    <row r="970">
      <c r="L970" s="20"/>
      <c r="M970" s="21"/>
      <c r="P970" s="21"/>
      <c r="S970" s="21"/>
      <c r="V970" s="21"/>
      <c r="Y970" s="21"/>
      <c r="AB970" s="21"/>
      <c r="AE970" s="21"/>
      <c r="AH970" s="21"/>
      <c r="AK970" s="21"/>
      <c r="AN970" s="21"/>
      <c r="AQ970" s="21"/>
      <c r="AT970" s="21"/>
      <c r="AW970" s="21"/>
      <c r="AZ970" s="21"/>
      <c r="BC970" s="21"/>
      <c r="BF970" s="21"/>
      <c r="BI970" s="21"/>
      <c r="BL970" s="21"/>
      <c r="BO970" s="21"/>
      <c r="BR970" s="21"/>
    </row>
    <row r="971">
      <c r="L971" s="20"/>
      <c r="M971" s="21"/>
      <c r="P971" s="21"/>
      <c r="S971" s="21"/>
      <c r="V971" s="21"/>
      <c r="Y971" s="21"/>
      <c r="AB971" s="21"/>
      <c r="AE971" s="21"/>
      <c r="AH971" s="21"/>
      <c r="AK971" s="21"/>
      <c r="AN971" s="21"/>
      <c r="AQ971" s="21"/>
      <c r="AT971" s="21"/>
      <c r="AW971" s="21"/>
      <c r="AZ971" s="21"/>
      <c r="BC971" s="21"/>
      <c r="BF971" s="21"/>
      <c r="BI971" s="21"/>
      <c r="BL971" s="21"/>
      <c r="BO971" s="21"/>
      <c r="BR971" s="21"/>
    </row>
    <row r="972">
      <c r="L972" s="20"/>
      <c r="M972" s="21"/>
      <c r="P972" s="21"/>
      <c r="S972" s="21"/>
      <c r="V972" s="21"/>
      <c r="Y972" s="21"/>
      <c r="AB972" s="21"/>
      <c r="AE972" s="21"/>
      <c r="AH972" s="21"/>
      <c r="AK972" s="21"/>
      <c r="AN972" s="21"/>
      <c r="AQ972" s="21"/>
      <c r="AT972" s="21"/>
      <c r="AW972" s="21"/>
      <c r="AZ972" s="21"/>
      <c r="BC972" s="21"/>
      <c r="BF972" s="21"/>
      <c r="BI972" s="21"/>
      <c r="BL972" s="21"/>
      <c r="BO972" s="21"/>
      <c r="BR972" s="21"/>
    </row>
    <row r="973">
      <c r="L973" s="20"/>
      <c r="M973" s="21"/>
      <c r="P973" s="21"/>
      <c r="S973" s="21"/>
      <c r="V973" s="21"/>
      <c r="Y973" s="21"/>
      <c r="AB973" s="21"/>
      <c r="AE973" s="21"/>
      <c r="AH973" s="21"/>
      <c r="AK973" s="21"/>
      <c r="AN973" s="21"/>
      <c r="AQ973" s="21"/>
      <c r="AT973" s="21"/>
      <c r="AW973" s="21"/>
      <c r="AZ973" s="21"/>
      <c r="BC973" s="21"/>
      <c r="BF973" s="21"/>
      <c r="BI973" s="21"/>
      <c r="BL973" s="21"/>
      <c r="BO973" s="21"/>
      <c r="BR973" s="21"/>
    </row>
    <row r="974">
      <c r="L974" s="20"/>
      <c r="M974" s="21"/>
      <c r="P974" s="21"/>
      <c r="S974" s="21"/>
      <c r="V974" s="21"/>
      <c r="Y974" s="21"/>
      <c r="AB974" s="21"/>
      <c r="AE974" s="21"/>
      <c r="AH974" s="21"/>
      <c r="AK974" s="21"/>
      <c r="AN974" s="21"/>
      <c r="AQ974" s="21"/>
      <c r="AT974" s="21"/>
      <c r="AW974" s="21"/>
      <c r="AZ974" s="21"/>
      <c r="BC974" s="21"/>
      <c r="BF974" s="21"/>
      <c r="BI974" s="21"/>
      <c r="BL974" s="21"/>
      <c r="BO974" s="21"/>
      <c r="BR974" s="21"/>
    </row>
    <row r="975">
      <c r="L975" s="20"/>
      <c r="M975" s="21"/>
      <c r="P975" s="21"/>
      <c r="S975" s="21"/>
      <c r="V975" s="21"/>
      <c r="Y975" s="21"/>
      <c r="AB975" s="21"/>
      <c r="AE975" s="21"/>
      <c r="AH975" s="21"/>
      <c r="AK975" s="21"/>
      <c r="AN975" s="21"/>
      <c r="AQ975" s="21"/>
      <c r="AT975" s="21"/>
      <c r="AW975" s="21"/>
      <c r="AZ975" s="21"/>
      <c r="BC975" s="21"/>
      <c r="BF975" s="21"/>
      <c r="BI975" s="21"/>
      <c r="BL975" s="21"/>
      <c r="BO975" s="21"/>
      <c r="BR975" s="21"/>
    </row>
    <row r="976">
      <c r="L976" s="20"/>
      <c r="M976" s="21"/>
      <c r="P976" s="21"/>
      <c r="S976" s="21"/>
      <c r="V976" s="21"/>
      <c r="Y976" s="21"/>
      <c r="AB976" s="21"/>
      <c r="AE976" s="21"/>
      <c r="AH976" s="21"/>
      <c r="AK976" s="21"/>
      <c r="AN976" s="21"/>
      <c r="AQ976" s="21"/>
      <c r="AT976" s="21"/>
      <c r="AW976" s="21"/>
      <c r="AZ976" s="21"/>
      <c r="BC976" s="21"/>
      <c r="BF976" s="21"/>
      <c r="BI976" s="21"/>
      <c r="BL976" s="21"/>
      <c r="BO976" s="21"/>
      <c r="BR976" s="21"/>
    </row>
    <row r="977">
      <c r="L977" s="20"/>
      <c r="M977" s="21"/>
      <c r="P977" s="21"/>
      <c r="S977" s="21"/>
      <c r="V977" s="21"/>
      <c r="Y977" s="21"/>
      <c r="AB977" s="21"/>
      <c r="AE977" s="21"/>
      <c r="AH977" s="21"/>
      <c r="AK977" s="21"/>
      <c r="AN977" s="21"/>
      <c r="AQ977" s="21"/>
      <c r="AT977" s="21"/>
      <c r="AW977" s="21"/>
      <c r="AZ977" s="21"/>
      <c r="BC977" s="21"/>
      <c r="BF977" s="21"/>
      <c r="BI977" s="21"/>
      <c r="BL977" s="21"/>
      <c r="BO977" s="21"/>
      <c r="BR977" s="21"/>
    </row>
    <row r="978">
      <c r="L978" s="20"/>
      <c r="M978" s="21"/>
      <c r="P978" s="21"/>
      <c r="S978" s="21"/>
      <c r="V978" s="21"/>
      <c r="Y978" s="21"/>
      <c r="AB978" s="21"/>
      <c r="AE978" s="21"/>
      <c r="AH978" s="21"/>
      <c r="AK978" s="21"/>
      <c r="AN978" s="21"/>
      <c r="AQ978" s="21"/>
      <c r="AT978" s="21"/>
      <c r="AW978" s="21"/>
      <c r="AZ978" s="21"/>
      <c r="BC978" s="21"/>
      <c r="BF978" s="21"/>
      <c r="BI978" s="21"/>
      <c r="BL978" s="21"/>
      <c r="BO978" s="21"/>
      <c r="BR978" s="21"/>
    </row>
    <row r="979">
      <c r="L979" s="20"/>
      <c r="M979" s="21"/>
      <c r="P979" s="21"/>
      <c r="S979" s="21"/>
      <c r="V979" s="21"/>
      <c r="Y979" s="21"/>
      <c r="AB979" s="21"/>
      <c r="AE979" s="21"/>
      <c r="AH979" s="21"/>
      <c r="AK979" s="21"/>
      <c r="AN979" s="21"/>
      <c r="AQ979" s="21"/>
      <c r="AT979" s="21"/>
      <c r="AW979" s="21"/>
      <c r="AZ979" s="21"/>
      <c r="BC979" s="21"/>
      <c r="BF979" s="21"/>
      <c r="BI979" s="21"/>
      <c r="BL979" s="21"/>
      <c r="BO979" s="21"/>
      <c r="BR979" s="21"/>
    </row>
    <row r="980">
      <c r="L980" s="20"/>
      <c r="M980" s="21"/>
      <c r="P980" s="21"/>
      <c r="S980" s="21"/>
      <c r="V980" s="21"/>
      <c r="Y980" s="21"/>
      <c r="AB980" s="21"/>
      <c r="AE980" s="21"/>
      <c r="AH980" s="21"/>
      <c r="AK980" s="21"/>
      <c r="AN980" s="21"/>
      <c r="AQ980" s="21"/>
      <c r="AT980" s="21"/>
      <c r="AW980" s="21"/>
      <c r="AZ980" s="21"/>
      <c r="BC980" s="21"/>
      <c r="BF980" s="21"/>
      <c r="BI980" s="21"/>
      <c r="BL980" s="21"/>
      <c r="BO980" s="21"/>
      <c r="BR980" s="21"/>
    </row>
    <row r="981">
      <c r="L981" s="20"/>
      <c r="M981" s="21"/>
      <c r="P981" s="21"/>
      <c r="S981" s="21"/>
      <c r="V981" s="21"/>
      <c r="Y981" s="21"/>
      <c r="AB981" s="21"/>
      <c r="AE981" s="21"/>
      <c r="AH981" s="21"/>
      <c r="AK981" s="21"/>
      <c r="AN981" s="21"/>
      <c r="AQ981" s="21"/>
      <c r="AT981" s="21"/>
      <c r="AW981" s="21"/>
      <c r="AZ981" s="21"/>
      <c r="BC981" s="21"/>
      <c r="BF981" s="21"/>
      <c r="BI981" s="21"/>
      <c r="BL981" s="21"/>
      <c r="BO981" s="21"/>
      <c r="BR981" s="21"/>
    </row>
    <row r="982">
      <c r="L982" s="20"/>
      <c r="M982" s="21"/>
      <c r="P982" s="21"/>
      <c r="S982" s="21"/>
      <c r="V982" s="21"/>
      <c r="Y982" s="21"/>
      <c r="AB982" s="21"/>
      <c r="AE982" s="21"/>
      <c r="AH982" s="21"/>
      <c r="AK982" s="21"/>
      <c r="AN982" s="21"/>
      <c r="AQ982" s="21"/>
      <c r="AT982" s="21"/>
      <c r="AW982" s="21"/>
      <c r="AZ982" s="21"/>
      <c r="BC982" s="21"/>
      <c r="BF982" s="21"/>
      <c r="BI982" s="21"/>
      <c r="BL982" s="21"/>
      <c r="BO982" s="21"/>
      <c r="BR982" s="21"/>
    </row>
    <row r="983">
      <c r="L983" s="20"/>
      <c r="M983" s="21"/>
      <c r="P983" s="21"/>
      <c r="S983" s="21"/>
      <c r="V983" s="21"/>
      <c r="Y983" s="21"/>
      <c r="AB983" s="21"/>
      <c r="AE983" s="21"/>
      <c r="AH983" s="21"/>
      <c r="AK983" s="21"/>
      <c r="AN983" s="21"/>
      <c r="AQ983" s="21"/>
      <c r="AT983" s="21"/>
      <c r="AW983" s="21"/>
      <c r="AZ983" s="21"/>
      <c r="BC983" s="21"/>
      <c r="BF983" s="21"/>
      <c r="BI983" s="21"/>
      <c r="BL983" s="21"/>
      <c r="BO983" s="21"/>
      <c r="BR983" s="21"/>
    </row>
    <row r="984">
      <c r="L984" s="20"/>
      <c r="M984" s="21"/>
      <c r="P984" s="21"/>
      <c r="S984" s="21"/>
      <c r="V984" s="21"/>
      <c r="Y984" s="21"/>
      <c r="AB984" s="21"/>
      <c r="AE984" s="21"/>
      <c r="AH984" s="21"/>
      <c r="AK984" s="21"/>
      <c r="AN984" s="21"/>
      <c r="AQ984" s="21"/>
      <c r="AT984" s="21"/>
      <c r="AW984" s="21"/>
      <c r="AZ984" s="21"/>
      <c r="BC984" s="21"/>
      <c r="BF984" s="21"/>
      <c r="BI984" s="21"/>
      <c r="BL984" s="21"/>
      <c r="BO984" s="21"/>
      <c r="BR984" s="21"/>
    </row>
    <row r="985">
      <c r="L985" s="20"/>
      <c r="M985" s="21"/>
      <c r="P985" s="21"/>
      <c r="S985" s="21"/>
      <c r="V985" s="21"/>
      <c r="Y985" s="21"/>
      <c r="AB985" s="21"/>
      <c r="AE985" s="21"/>
      <c r="AH985" s="21"/>
      <c r="AK985" s="21"/>
      <c r="AN985" s="21"/>
      <c r="AQ985" s="21"/>
      <c r="AT985" s="21"/>
      <c r="AW985" s="21"/>
      <c r="AZ985" s="21"/>
      <c r="BC985" s="21"/>
      <c r="BF985" s="21"/>
      <c r="BI985" s="21"/>
      <c r="BL985" s="21"/>
      <c r="BO985" s="21"/>
      <c r="BR985" s="21"/>
    </row>
    <row r="986">
      <c r="L986" s="20"/>
      <c r="M986" s="21"/>
      <c r="P986" s="21"/>
      <c r="S986" s="21"/>
      <c r="V986" s="21"/>
      <c r="Y986" s="21"/>
      <c r="AB986" s="21"/>
      <c r="AE986" s="21"/>
      <c r="AH986" s="21"/>
      <c r="AK986" s="21"/>
      <c r="AN986" s="21"/>
      <c r="AQ986" s="21"/>
      <c r="AT986" s="21"/>
      <c r="AW986" s="21"/>
      <c r="AZ986" s="21"/>
      <c r="BC986" s="21"/>
      <c r="BF986" s="21"/>
      <c r="BI986" s="21"/>
      <c r="BL986" s="21"/>
      <c r="BO986" s="21"/>
      <c r="BR986" s="21"/>
    </row>
    <row r="987">
      <c r="L987" s="20"/>
      <c r="M987" s="21"/>
      <c r="P987" s="21"/>
      <c r="S987" s="21"/>
      <c r="V987" s="21"/>
      <c r="Y987" s="21"/>
      <c r="AB987" s="21"/>
      <c r="AE987" s="21"/>
      <c r="AH987" s="21"/>
      <c r="AK987" s="21"/>
      <c r="AN987" s="21"/>
      <c r="AQ987" s="21"/>
      <c r="AT987" s="21"/>
      <c r="AW987" s="21"/>
      <c r="AZ987" s="21"/>
      <c r="BC987" s="21"/>
      <c r="BF987" s="21"/>
      <c r="BI987" s="21"/>
      <c r="BL987" s="21"/>
      <c r="BO987" s="21"/>
      <c r="BR987" s="21"/>
    </row>
    <row r="988">
      <c r="L988" s="20"/>
      <c r="M988" s="21"/>
      <c r="P988" s="21"/>
      <c r="S988" s="21"/>
      <c r="V988" s="21"/>
      <c r="Y988" s="21"/>
      <c r="AB988" s="21"/>
      <c r="AE988" s="21"/>
      <c r="AH988" s="21"/>
      <c r="AK988" s="21"/>
      <c r="AN988" s="21"/>
      <c r="AQ988" s="21"/>
      <c r="AT988" s="21"/>
      <c r="AW988" s="21"/>
      <c r="AZ988" s="21"/>
      <c r="BC988" s="21"/>
      <c r="BF988" s="21"/>
      <c r="BI988" s="21"/>
      <c r="BL988" s="21"/>
      <c r="BO988" s="21"/>
      <c r="BR988" s="21"/>
    </row>
    <row r="989">
      <c r="L989" s="20"/>
      <c r="M989" s="21"/>
      <c r="P989" s="21"/>
      <c r="S989" s="21"/>
      <c r="V989" s="21"/>
      <c r="Y989" s="21"/>
      <c r="AB989" s="21"/>
      <c r="AE989" s="21"/>
      <c r="AH989" s="21"/>
      <c r="AK989" s="21"/>
      <c r="AN989" s="21"/>
      <c r="AQ989" s="21"/>
      <c r="AT989" s="21"/>
      <c r="AW989" s="21"/>
      <c r="AZ989" s="21"/>
      <c r="BC989" s="21"/>
      <c r="BF989" s="21"/>
      <c r="BI989" s="21"/>
      <c r="BL989" s="21"/>
      <c r="BO989" s="21"/>
      <c r="BR989" s="21"/>
    </row>
    <row r="990">
      <c r="L990" s="20"/>
      <c r="M990" s="21"/>
      <c r="P990" s="21"/>
      <c r="S990" s="21"/>
      <c r="V990" s="21"/>
      <c r="Y990" s="21"/>
      <c r="AB990" s="21"/>
      <c r="AE990" s="21"/>
      <c r="AH990" s="21"/>
      <c r="AK990" s="21"/>
      <c r="AN990" s="21"/>
      <c r="AQ990" s="21"/>
      <c r="AT990" s="21"/>
      <c r="AW990" s="21"/>
      <c r="AZ990" s="21"/>
      <c r="BC990" s="21"/>
      <c r="BF990" s="21"/>
      <c r="BI990" s="21"/>
      <c r="BL990" s="21"/>
      <c r="BO990" s="21"/>
      <c r="BR990" s="21"/>
    </row>
    <row r="991">
      <c r="L991" s="20"/>
      <c r="M991" s="21"/>
      <c r="P991" s="21"/>
      <c r="S991" s="21"/>
      <c r="V991" s="21"/>
      <c r="Y991" s="21"/>
      <c r="AB991" s="21"/>
      <c r="AE991" s="21"/>
      <c r="AH991" s="21"/>
      <c r="AK991" s="21"/>
      <c r="AN991" s="21"/>
      <c r="AQ991" s="21"/>
      <c r="AT991" s="21"/>
      <c r="AW991" s="21"/>
      <c r="AZ991" s="21"/>
      <c r="BC991" s="21"/>
      <c r="BF991" s="21"/>
      <c r="BI991" s="21"/>
      <c r="BL991" s="21"/>
      <c r="BO991" s="21"/>
      <c r="BR991" s="21"/>
    </row>
    <row r="992">
      <c r="L992" s="20"/>
      <c r="M992" s="21"/>
      <c r="P992" s="21"/>
      <c r="S992" s="21"/>
      <c r="V992" s="21"/>
      <c r="Y992" s="21"/>
      <c r="AB992" s="21"/>
      <c r="AE992" s="21"/>
      <c r="AH992" s="21"/>
      <c r="AK992" s="21"/>
      <c r="AN992" s="21"/>
      <c r="AQ992" s="21"/>
      <c r="AT992" s="21"/>
      <c r="AW992" s="21"/>
      <c r="AZ992" s="21"/>
      <c r="BC992" s="21"/>
      <c r="BF992" s="21"/>
      <c r="BI992" s="21"/>
      <c r="BL992" s="21"/>
      <c r="BO992" s="21"/>
      <c r="BR992" s="21"/>
    </row>
    <row r="993">
      <c r="L993" s="20"/>
      <c r="M993" s="21"/>
      <c r="P993" s="21"/>
      <c r="S993" s="21"/>
      <c r="V993" s="21"/>
      <c r="Y993" s="21"/>
      <c r="AB993" s="21"/>
      <c r="AE993" s="21"/>
      <c r="AH993" s="21"/>
      <c r="AK993" s="21"/>
      <c r="AN993" s="21"/>
      <c r="AQ993" s="21"/>
      <c r="AT993" s="21"/>
      <c r="AW993" s="21"/>
      <c r="AZ993" s="21"/>
      <c r="BC993" s="21"/>
      <c r="BF993" s="21"/>
      <c r="BI993" s="21"/>
      <c r="BL993" s="21"/>
      <c r="BO993" s="21"/>
      <c r="BR993" s="21"/>
    </row>
    <row r="994">
      <c r="L994" s="20"/>
      <c r="M994" s="21"/>
      <c r="P994" s="21"/>
      <c r="S994" s="21"/>
      <c r="V994" s="21"/>
      <c r="Y994" s="21"/>
      <c r="AB994" s="21"/>
      <c r="AE994" s="21"/>
      <c r="AH994" s="21"/>
      <c r="AK994" s="21"/>
      <c r="AN994" s="21"/>
      <c r="AQ994" s="21"/>
      <c r="AT994" s="21"/>
      <c r="AW994" s="21"/>
      <c r="AZ994" s="21"/>
      <c r="BC994" s="21"/>
      <c r="BF994" s="21"/>
      <c r="BI994" s="21"/>
      <c r="BL994" s="21"/>
      <c r="BO994" s="21"/>
      <c r="BR994" s="21"/>
    </row>
    <row r="995">
      <c r="L995" s="20"/>
      <c r="M995" s="21"/>
      <c r="P995" s="21"/>
      <c r="S995" s="21"/>
      <c r="V995" s="21"/>
      <c r="Y995" s="21"/>
      <c r="AB995" s="21"/>
      <c r="AE995" s="21"/>
      <c r="AH995" s="21"/>
      <c r="AK995" s="21"/>
      <c r="AN995" s="21"/>
      <c r="AQ995" s="21"/>
      <c r="AT995" s="21"/>
      <c r="AW995" s="21"/>
      <c r="AZ995" s="21"/>
      <c r="BC995" s="21"/>
      <c r="BF995" s="21"/>
      <c r="BI995" s="21"/>
      <c r="BL995" s="21"/>
      <c r="BO995" s="21"/>
      <c r="BR995" s="21"/>
    </row>
    <row r="996">
      <c r="L996" s="20"/>
      <c r="M996" s="21"/>
      <c r="P996" s="21"/>
      <c r="S996" s="21"/>
      <c r="V996" s="21"/>
      <c r="Y996" s="21"/>
      <c r="AB996" s="21"/>
      <c r="AE996" s="21"/>
      <c r="AH996" s="21"/>
      <c r="AK996" s="21"/>
      <c r="AN996" s="21"/>
      <c r="AQ996" s="21"/>
      <c r="AT996" s="21"/>
      <c r="AW996" s="21"/>
      <c r="AZ996" s="21"/>
      <c r="BC996" s="21"/>
      <c r="BF996" s="21"/>
      <c r="BI996" s="21"/>
      <c r="BL996" s="21"/>
      <c r="BO996" s="21"/>
      <c r="BR996" s="21"/>
    </row>
    <row r="997">
      <c r="L997" s="20"/>
      <c r="M997" s="21"/>
      <c r="P997" s="21"/>
      <c r="S997" s="21"/>
      <c r="V997" s="21"/>
      <c r="Y997" s="21"/>
      <c r="AB997" s="21"/>
      <c r="AE997" s="21"/>
      <c r="AH997" s="21"/>
      <c r="AK997" s="21"/>
      <c r="AN997" s="21"/>
      <c r="AQ997" s="21"/>
      <c r="AT997" s="21"/>
      <c r="AW997" s="21"/>
      <c r="AZ997" s="21"/>
      <c r="BC997" s="21"/>
      <c r="BF997" s="21"/>
      <c r="BI997" s="21"/>
      <c r="BL997" s="21"/>
      <c r="BO997" s="21"/>
      <c r="BR997" s="21"/>
    </row>
    <row r="998">
      <c r="L998" s="20"/>
      <c r="M998" s="21"/>
      <c r="P998" s="21"/>
      <c r="S998" s="21"/>
      <c r="V998" s="21"/>
      <c r="Y998" s="21"/>
      <c r="AB998" s="21"/>
      <c r="AE998" s="21"/>
      <c r="AH998" s="21"/>
      <c r="AK998" s="21"/>
      <c r="AN998" s="21"/>
      <c r="AQ998" s="21"/>
      <c r="AT998" s="21"/>
      <c r="AW998" s="21"/>
      <c r="AZ998" s="21"/>
      <c r="BC998" s="21"/>
      <c r="BF998" s="21"/>
      <c r="BI998" s="21"/>
      <c r="BL998" s="21"/>
      <c r="BO998" s="21"/>
      <c r="BR998" s="21"/>
    </row>
    <row r="999">
      <c r="L999" s="20"/>
      <c r="M999" s="21"/>
      <c r="P999" s="21"/>
      <c r="S999" s="21"/>
      <c r="V999" s="21"/>
      <c r="Y999" s="21"/>
      <c r="AB999" s="21"/>
      <c r="AE999" s="21"/>
      <c r="AH999" s="21"/>
      <c r="AK999" s="21"/>
      <c r="AN999" s="21"/>
      <c r="AQ999" s="21"/>
      <c r="AT999" s="21"/>
      <c r="AW999" s="21"/>
      <c r="AZ999" s="21"/>
      <c r="BC999" s="21"/>
      <c r="BF999" s="21"/>
      <c r="BI999" s="21"/>
      <c r="BL999" s="21"/>
      <c r="BO999" s="21"/>
      <c r="BR999" s="21"/>
    </row>
    <row r="1000">
      <c r="L1000" s="20"/>
      <c r="M1000" s="21"/>
      <c r="P1000" s="21"/>
      <c r="S1000" s="21"/>
      <c r="V1000" s="21"/>
      <c r="Y1000" s="21"/>
      <c r="AB1000" s="21"/>
      <c r="AE1000" s="21"/>
      <c r="AH1000" s="21"/>
      <c r="AK1000" s="21"/>
      <c r="AN1000" s="21"/>
      <c r="AQ1000" s="21"/>
      <c r="AT1000" s="21"/>
      <c r="AW1000" s="21"/>
      <c r="AZ1000" s="21"/>
      <c r="BC1000" s="21"/>
      <c r="BF1000" s="21"/>
      <c r="BI1000" s="21"/>
      <c r="BL1000" s="21"/>
      <c r="BO1000" s="21"/>
      <c r="BR1000" s="21"/>
    </row>
    <row r="1001">
      <c r="L1001" s="20"/>
      <c r="M1001" s="21"/>
      <c r="P1001" s="21"/>
      <c r="S1001" s="21"/>
      <c r="V1001" s="21"/>
      <c r="Y1001" s="21"/>
      <c r="AB1001" s="21"/>
      <c r="AE1001" s="21"/>
      <c r="AH1001" s="21"/>
      <c r="AK1001" s="21"/>
      <c r="AN1001" s="21"/>
      <c r="AQ1001" s="21"/>
      <c r="AT1001" s="21"/>
      <c r="AW1001" s="21"/>
      <c r="AZ1001" s="21"/>
      <c r="BC1001" s="21"/>
      <c r="BF1001" s="21"/>
      <c r="BI1001" s="21"/>
      <c r="BL1001" s="21"/>
      <c r="BO1001" s="21"/>
      <c r="BR1001" s="21"/>
    </row>
    <row r="1002">
      <c r="L1002" s="20"/>
      <c r="M1002" s="21"/>
      <c r="P1002" s="21"/>
      <c r="S1002" s="21"/>
      <c r="V1002" s="21"/>
      <c r="Y1002" s="21"/>
      <c r="AB1002" s="21"/>
      <c r="AE1002" s="21"/>
      <c r="AH1002" s="21"/>
      <c r="AK1002" s="21"/>
      <c r="AN1002" s="21"/>
      <c r="AQ1002" s="21"/>
      <c r="AT1002" s="21"/>
      <c r="AW1002" s="21"/>
      <c r="AZ1002" s="21"/>
      <c r="BC1002" s="21"/>
      <c r="BF1002" s="21"/>
      <c r="BI1002" s="21"/>
      <c r="BL1002" s="21"/>
      <c r="BO1002" s="21"/>
      <c r="BR1002" s="21"/>
    </row>
    <row r="1003">
      <c r="L1003" s="20"/>
      <c r="M1003" s="21"/>
      <c r="P1003" s="21"/>
      <c r="S1003" s="21"/>
      <c r="V1003" s="21"/>
      <c r="Y1003" s="21"/>
      <c r="AB1003" s="21"/>
      <c r="AE1003" s="21"/>
      <c r="AH1003" s="21"/>
      <c r="AK1003" s="21"/>
      <c r="AN1003" s="21"/>
      <c r="AQ1003" s="21"/>
      <c r="AT1003" s="21"/>
      <c r="AW1003" s="21"/>
      <c r="AZ1003" s="21"/>
      <c r="BC1003" s="21"/>
      <c r="BF1003" s="21"/>
      <c r="BI1003" s="21"/>
      <c r="BL1003" s="21"/>
      <c r="BO1003" s="21"/>
      <c r="BR1003" s="21"/>
    </row>
    <row r="1004">
      <c r="L1004" s="20"/>
      <c r="M1004" s="21"/>
      <c r="P1004" s="21"/>
      <c r="S1004" s="21"/>
      <c r="V1004" s="21"/>
      <c r="Y1004" s="21"/>
      <c r="AB1004" s="21"/>
      <c r="AE1004" s="21"/>
      <c r="AH1004" s="21"/>
      <c r="AK1004" s="21"/>
      <c r="AN1004" s="21"/>
      <c r="AQ1004" s="21"/>
      <c r="AT1004" s="21"/>
      <c r="AW1004" s="21"/>
      <c r="AZ1004" s="21"/>
      <c r="BC1004" s="21"/>
      <c r="BF1004" s="21"/>
      <c r="BI1004" s="21"/>
      <c r="BL1004" s="21"/>
      <c r="BO1004" s="21"/>
      <c r="BR1004" s="21"/>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topLeftCell="A1" zoomScale="100" workbookViewId="0">
      <pane ySplit="1" topLeftCell="A2" activePane="bottomLeft" state="frozen"/>
      <selection activeCell="B3" activeCellId="0" sqref="B3"/>
    </sheetView>
  </sheetViews>
  <sheetFormatPr defaultColWidth="12.630000000000001" defaultRowHeight="15.75" customHeight="1"/>
  <cols>
    <col customWidth="1" min="1" max="1" width="6.75"/>
  </cols>
  <sheetData>
    <row r="1">
      <c r="A1" s="40" t="s">
        <v>308</v>
      </c>
      <c r="B1" s="40" t="s">
        <v>309</v>
      </c>
      <c r="C1" s="40" t="s">
        <v>310</v>
      </c>
      <c r="D1" s="40" t="s">
        <v>311</v>
      </c>
      <c r="I1" s="40" t="s">
        <v>312</v>
      </c>
      <c r="N1" s="41"/>
      <c r="O1" s="41"/>
      <c r="P1" s="41"/>
      <c r="Q1" s="41"/>
      <c r="R1" s="41"/>
      <c r="S1" s="41"/>
      <c r="T1" s="41"/>
      <c r="U1" s="41"/>
      <c r="V1" s="41"/>
      <c r="W1" s="41"/>
      <c r="X1" s="41"/>
      <c r="Y1" s="41"/>
      <c r="Z1" s="41"/>
    </row>
    <row r="2" ht="15.75" customHeight="1">
      <c r="A2">
        <v>0</v>
      </c>
      <c r="B2" t="s">
        <v>112</v>
      </c>
      <c r="C2" t="s">
        <v>115</v>
      </c>
      <c r="D2" t="s">
        <v>313</v>
      </c>
      <c r="I2" t="s">
        <v>314</v>
      </c>
    </row>
    <row r="3" ht="15.75" customHeight="1">
      <c r="A3">
        <v>1</v>
      </c>
      <c r="B3" t="s">
        <v>162</v>
      </c>
      <c r="C3" t="s">
        <v>112</v>
      </c>
      <c r="D3" s="42" t="s">
        <v>315</v>
      </c>
      <c r="I3" s="42" t="s">
        <v>316</v>
      </c>
    </row>
    <row r="4" ht="15.75" customHeight="1">
      <c r="A4">
        <v>1</v>
      </c>
      <c r="B4" s="3" t="s">
        <v>112</v>
      </c>
      <c r="C4" t="s">
        <v>93</v>
      </c>
      <c r="D4" t="s">
        <v>317</v>
      </c>
    </row>
    <row r="5" ht="15.75" customHeight="1">
      <c r="A5">
        <v>2</v>
      </c>
      <c r="B5" t="s">
        <v>162</v>
      </c>
      <c r="C5" t="s">
        <v>165</v>
      </c>
      <c r="D5" s="42" t="s">
        <v>318</v>
      </c>
    </row>
    <row r="6" ht="15.75" customHeight="1">
      <c r="A6">
        <v>3</v>
      </c>
      <c r="B6" t="s">
        <v>162</v>
      </c>
      <c r="C6" t="s">
        <v>166</v>
      </c>
      <c r="D6" s="42" t="s">
        <v>319</v>
      </c>
    </row>
    <row r="7" ht="15.75" customHeight="1">
      <c r="A7">
        <v>4</v>
      </c>
      <c r="B7" t="s">
        <v>162</v>
      </c>
      <c r="C7" t="s">
        <v>114</v>
      </c>
      <c r="D7" s="42" t="s">
        <v>320</v>
      </c>
    </row>
    <row r="8" ht="15.75" customHeight="1">
      <c r="A8">
        <v>5</v>
      </c>
      <c r="B8" t="s">
        <v>162</v>
      </c>
      <c r="C8" t="s">
        <v>167</v>
      </c>
      <c r="D8" s="42" t="s">
        <v>321</v>
      </c>
    </row>
  </sheetData>
  <mergeCells count="2000">
    <mergeCell ref="D1:H1"/>
    <mergeCell ref="I1:M1"/>
    <mergeCell ref="D2:H2"/>
    <mergeCell ref="I2:M2"/>
    <mergeCell ref="D3:H3"/>
    <mergeCell ref="I3:M3"/>
    <mergeCell ref="D4:H4"/>
    <mergeCell ref="I4:M4"/>
    <mergeCell ref="D5:H5"/>
    <mergeCell ref="I5:M5"/>
    <mergeCell ref="D6:H6"/>
    <mergeCell ref="I6:M6"/>
    <mergeCell ref="D7:H7"/>
    <mergeCell ref="I7:M7"/>
    <mergeCell ref="D8:H8"/>
    <mergeCell ref="I8:M8"/>
    <mergeCell ref="D9:H9"/>
    <mergeCell ref="I9:M9"/>
    <mergeCell ref="D10:H10"/>
    <mergeCell ref="I10:M10"/>
    <mergeCell ref="D11:H11"/>
    <mergeCell ref="I11:M11"/>
    <mergeCell ref="D12:H12"/>
    <mergeCell ref="I12:M12"/>
    <mergeCell ref="D13:H13"/>
    <mergeCell ref="I13:M13"/>
    <mergeCell ref="D14:H14"/>
    <mergeCell ref="I14:M14"/>
    <mergeCell ref="D15:H15"/>
    <mergeCell ref="I15:M15"/>
    <mergeCell ref="D16:H16"/>
    <mergeCell ref="I16:M16"/>
    <mergeCell ref="D17:H17"/>
    <mergeCell ref="I17:M17"/>
    <mergeCell ref="D18:H18"/>
    <mergeCell ref="I18:M18"/>
    <mergeCell ref="D19:H19"/>
    <mergeCell ref="I19:M19"/>
    <mergeCell ref="D20:H20"/>
    <mergeCell ref="I20:M20"/>
    <mergeCell ref="D21:H21"/>
    <mergeCell ref="I21:M21"/>
    <mergeCell ref="D22:H22"/>
    <mergeCell ref="I22:M22"/>
    <mergeCell ref="D23:H23"/>
    <mergeCell ref="I23:M23"/>
    <mergeCell ref="D24:H24"/>
    <mergeCell ref="I24:M24"/>
    <mergeCell ref="D25:H25"/>
    <mergeCell ref="I25:M25"/>
    <mergeCell ref="D26:H26"/>
    <mergeCell ref="I26:M26"/>
    <mergeCell ref="D27:H27"/>
    <mergeCell ref="I27:M27"/>
    <mergeCell ref="D28:H28"/>
    <mergeCell ref="I28:M28"/>
    <mergeCell ref="D29:H29"/>
    <mergeCell ref="I29:M29"/>
    <mergeCell ref="D30:H30"/>
    <mergeCell ref="I30:M30"/>
    <mergeCell ref="D31:H31"/>
    <mergeCell ref="I31:M31"/>
    <mergeCell ref="D32:H32"/>
    <mergeCell ref="I32:M32"/>
    <mergeCell ref="D33:H33"/>
    <mergeCell ref="I33:M33"/>
    <mergeCell ref="D34:H34"/>
    <mergeCell ref="I34:M34"/>
    <mergeCell ref="D35:H35"/>
    <mergeCell ref="I35:M35"/>
    <mergeCell ref="D36:H36"/>
    <mergeCell ref="I36:M36"/>
    <mergeCell ref="D37:H37"/>
    <mergeCell ref="I37:M37"/>
    <mergeCell ref="D38:H38"/>
    <mergeCell ref="I38:M38"/>
    <mergeCell ref="D39:H39"/>
    <mergeCell ref="I39:M39"/>
    <mergeCell ref="D40:H40"/>
    <mergeCell ref="I40:M40"/>
    <mergeCell ref="D41:H41"/>
    <mergeCell ref="I41:M41"/>
    <mergeCell ref="D42:H42"/>
    <mergeCell ref="I42:M42"/>
    <mergeCell ref="D43:H43"/>
    <mergeCell ref="I43:M43"/>
    <mergeCell ref="D44:H44"/>
    <mergeCell ref="I44:M44"/>
    <mergeCell ref="D45:H45"/>
    <mergeCell ref="I45:M45"/>
    <mergeCell ref="D46:H46"/>
    <mergeCell ref="I46:M46"/>
    <mergeCell ref="D47:H47"/>
    <mergeCell ref="I47:M47"/>
    <mergeCell ref="D48:H48"/>
    <mergeCell ref="I48:M48"/>
    <mergeCell ref="D49:H49"/>
    <mergeCell ref="I49:M49"/>
    <mergeCell ref="D50:H50"/>
    <mergeCell ref="I50:M50"/>
    <mergeCell ref="D51:H51"/>
    <mergeCell ref="I51:M51"/>
    <mergeCell ref="D52:H52"/>
    <mergeCell ref="I52:M52"/>
    <mergeCell ref="D53:H53"/>
    <mergeCell ref="I53:M53"/>
    <mergeCell ref="D54:H54"/>
    <mergeCell ref="I54:M54"/>
    <mergeCell ref="D55:H55"/>
    <mergeCell ref="I55:M55"/>
    <mergeCell ref="D56:H56"/>
    <mergeCell ref="I56:M56"/>
    <mergeCell ref="D57:H57"/>
    <mergeCell ref="I57:M57"/>
    <mergeCell ref="D58:H58"/>
    <mergeCell ref="I58:M58"/>
    <mergeCell ref="D59:H59"/>
    <mergeCell ref="I59:M59"/>
    <mergeCell ref="D60:H60"/>
    <mergeCell ref="I60:M60"/>
    <mergeCell ref="D61:H61"/>
    <mergeCell ref="I61:M61"/>
    <mergeCell ref="D62:H62"/>
    <mergeCell ref="I62:M62"/>
    <mergeCell ref="D63:H63"/>
    <mergeCell ref="I63:M63"/>
    <mergeCell ref="D64:H64"/>
    <mergeCell ref="I64:M64"/>
    <mergeCell ref="D65:H65"/>
    <mergeCell ref="I65:M65"/>
    <mergeCell ref="D66:H66"/>
    <mergeCell ref="I66:M66"/>
    <mergeCell ref="D67:H67"/>
    <mergeCell ref="I67:M67"/>
    <mergeCell ref="D68:H68"/>
    <mergeCell ref="I68:M68"/>
    <mergeCell ref="D69:H69"/>
    <mergeCell ref="I69:M69"/>
    <mergeCell ref="D70:H70"/>
    <mergeCell ref="I70:M70"/>
    <mergeCell ref="D71:H71"/>
    <mergeCell ref="I71:M71"/>
    <mergeCell ref="D72:H72"/>
    <mergeCell ref="I72:M72"/>
    <mergeCell ref="D73:H73"/>
    <mergeCell ref="I73:M73"/>
    <mergeCell ref="D74:H74"/>
    <mergeCell ref="I74:M74"/>
    <mergeCell ref="D75:H75"/>
    <mergeCell ref="I75:M75"/>
    <mergeCell ref="D76:H76"/>
    <mergeCell ref="I76:M76"/>
    <mergeCell ref="D77:H77"/>
    <mergeCell ref="I77:M77"/>
    <mergeCell ref="D78:H78"/>
    <mergeCell ref="I78:M78"/>
    <mergeCell ref="D79:H79"/>
    <mergeCell ref="I79:M79"/>
    <mergeCell ref="D80:H80"/>
    <mergeCell ref="I80:M80"/>
    <mergeCell ref="D81:H81"/>
    <mergeCell ref="I81:M81"/>
    <mergeCell ref="D82:H82"/>
    <mergeCell ref="I82:M82"/>
    <mergeCell ref="D83:H83"/>
    <mergeCell ref="I83:M83"/>
    <mergeCell ref="D84:H84"/>
    <mergeCell ref="I84:M84"/>
    <mergeCell ref="D85:H85"/>
    <mergeCell ref="I85:M85"/>
    <mergeCell ref="D86:H86"/>
    <mergeCell ref="I86:M86"/>
    <mergeCell ref="D87:H87"/>
    <mergeCell ref="I87:M87"/>
    <mergeCell ref="D88:H88"/>
    <mergeCell ref="I88:M88"/>
    <mergeCell ref="D89:H89"/>
    <mergeCell ref="I89:M89"/>
    <mergeCell ref="D90:H90"/>
    <mergeCell ref="I90:M90"/>
    <mergeCell ref="D91:H91"/>
    <mergeCell ref="I91:M91"/>
    <mergeCell ref="D92:H92"/>
    <mergeCell ref="I92:M92"/>
    <mergeCell ref="D93:H93"/>
    <mergeCell ref="I93:M93"/>
    <mergeCell ref="D94:H94"/>
    <mergeCell ref="I94:M94"/>
    <mergeCell ref="D95:H95"/>
    <mergeCell ref="I95:M95"/>
    <mergeCell ref="D96:H96"/>
    <mergeCell ref="I96:M96"/>
    <mergeCell ref="D97:H97"/>
    <mergeCell ref="I97:M97"/>
    <mergeCell ref="D98:H98"/>
    <mergeCell ref="I98:M98"/>
    <mergeCell ref="D99:H99"/>
    <mergeCell ref="I99:M99"/>
    <mergeCell ref="D100:H100"/>
    <mergeCell ref="I100:M100"/>
    <mergeCell ref="D101:H101"/>
    <mergeCell ref="I101:M101"/>
    <mergeCell ref="D102:H102"/>
    <mergeCell ref="I102:M102"/>
    <mergeCell ref="D103:H103"/>
    <mergeCell ref="I103:M103"/>
    <mergeCell ref="D104:H104"/>
    <mergeCell ref="I104:M104"/>
    <mergeCell ref="D105:H105"/>
    <mergeCell ref="I105:M105"/>
    <mergeCell ref="D106:H106"/>
    <mergeCell ref="I106:M106"/>
    <mergeCell ref="D107:H107"/>
    <mergeCell ref="I107:M107"/>
    <mergeCell ref="D108:H108"/>
    <mergeCell ref="I108:M108"/>
    <mergeCell ref="D109:H109"/>
    <mergeCell ref="I109:M109"/>
    <mergeCell ref="D110:H110"/>
    <mergeCell ref="I110:M110"/>
    <mergeCell ref="D111:H111"/>
    <mergeCell ref="I111:M111"/>
    <mergeCell ref="D112:H112"/>
    <mergeCell ref="I112:M112"/>
    <mergeCell ref="D113:H113"/>
    <mergeCell ref="I113:M113"/>
    <mergeCell ref="D114:H114"/>
    <mergeCell ref="I114:M114"/>
    <mergeCell ref="D115:H115"/>
    <mergeCell ref="I115:M115"/>
    <mergeCell ref="D116:H116"/>
    <mergeCell ref="I116:M116"/>
    <mergeCell ref="D117:H117"/>
    <mergeCell ref="I117:M117"/>
    <mergeCell ref="D118:H118"/>
    <mergeCell ref="I118:M118"/>
    <mergeCell ref="D119:H119"/>
    <mergeCell ref="I119:M119"/>
    <mergeCell ref="D120:H120"/>
    <mergeCell ref="I120:M120"/>
    <mergeCell ref="D121:H121"/>
    <mergeCell ref="I121:M121"/>
    <mergeCell ref="D122:H122"/>
    <mergeCell ref="I122:M122"/>
    <mergeCell ref="D123:H123"/>
    <mergeCell ref="I123:M123"/>
    <mergeCell ref="D124:H124"/>
    <mergeCell ref="I124:M124"/>
    <mergeCell ref="D125:H125"/>
    <mergeCell ref="I125:M125"/>
    <mergeCell ref="D126:H126"/>
    <mergeCell ref="I126:M126"/>
    <mergeCell ref="D127:H127"/>
    <mergeCell ref="I127:M127"/>
    <mergeCell ref="D128:H128"/>
    <mergeCell ref="I128:M128"/>
    <mergeCell ref="D129:H129"/>
    <mergeCell ref="I129:M129"/>
    <mergeCell ref="D130:H130"/>
    <mergeCell ref="I130:M130"/>
    <mergeCell ref="D131:H131"/>
    <mergeCell ref="I131:M131"/>
    <mergeCell ref="D132:H132"/>
    <mergeCell ref="I132:M132"/>
    <mergeCell ref="D133:H133"/>
    <mergeCell ref="I133:M133"/>
    <mergeCell ref="D134:H134"/>
    <mergeCell ref="I134:M134"/>
    <mergeCell ref="D135:H135"/>
    <mergeCell ref="I135:M135"/>
    <mergeCell ref="D136:H136"/>
    <mergeCell ref="I136:M136"/>
    <mergeCell ref="D137:H137"/>
    <mergeCell ref="I137:M137"/>
    <mergeCell ref="D138:H138"/>
    <mergeCell ref="I138:M138"/>
    <mergeCell ref="D139:H139"/>
    <mergeCell ref="I139:M139"/>
    <mergeCell ref="D140:H140"/>
    <mergeCell ref="I140:M140"/>
    <mergeCell ref="D141:H141"/>
    <mergeCell ref="I141:M141"/>
    <mergeCell ref="D142:H142"/>
    <mergeCell ref="I142:M142"/>
    <mergeCell ref="D143:H143"/>
    <mergeCell ref="I143:M143"/>
    <mergeCell ref="D144:H144"/>
    <mergeCell ref="I144:M144"/>
    <mergeCell ref="D145:H145"/>
    <mergeCell ref="I145:M145"/>
    <mergeCell ref="D146:H146"/>
    <mergeCell ref="I146:M146"/>
    <mergeCell ref="D147:H147"/>
    <mergeCell ref="I147:M147"/>
    <mergeCell ref="D148:H148"/>
    <mergeCell ref="I148:M148"/>
    <mergeCell ref="D149:H149"/>
    <mergeCell ref="I149:M149"/>
    <mergeCell ref="D150:H150"/>
    <mergeCell ref="I150:M150"/>
    <mergeCell ref="D151:H151"/>
    <mergeCell ref="I151:M151"/>
    <mergeCell ref="D152:H152"/>
    <mergeCell ref="I152:M152"/>
    <mergeCell ref="D153:H153"/>
    <mergeCell ref="I153:M153"/>
    <mergeCell ref="D154:H154"/>
    <mergeCell ref="I154:M154"/>
    <mergeCell ref="D155:H155"/>
    <mergeCell ref="I155:M155"/>
    <mergeCell ref="D156:H156"/>
    <mergeCell ref="I156:M156"/>
    <mergeCell ref="D157:H157"/>
    <mergeCell ref="I157:M157"/>
    <mergeCell ref="D158:H158"/>
    <mergeCell ref="I158:M158"/>
    <mergeCell ref="D159:H159"/>
    <mergeCell ref="I159:M159"/>
    <mergeCell ref="D160:H160"/>
    <mergeCell ref="I160:M160"/>
    <mergeCell ref="D161:H161"/>
    <mergeCell ref="I161:M161"/>
    <mergeCell ref="D162:H162"/>
    <mergeCell ref="I162:M162"/>
    <mergeCell ref="D163:H163"/>
    <mergeCell ref="I163:M163"/>
    <mergeCell ref="D164:H164"/>
    <mergeCell ref="I164:M164"/>
    <mergeCell ref="D165:H165"/>
    <mergeCell ref="I165:M165"/>
    <mergeCell ref="D166:H166"/>
    <mergeCell ref="I166:M166"/>
    <mergeCell ref="D167:H167"/>
    <mergeCell ref="I167:M167"/>
    <mergeCell ref="D168:H168"/>
    <mergeCell ref="I168:M168"/>
    <mergeCell ref="D169:H169"/>
    <mergeCell ref="I169:M169"/>
    <mergeCell ref="D170:H170"/>
    <mergeCell ref="I170:M170"/>
    <mergeCell ref="D171:H171"/>
    <mergeCell ref="I171:M171"/>
    <mergeCell ref="D172:H172"/>
    <mergeCell ref="I172:M172"/>
    <mergeCell ref="D173:H173"/>
    <mergeCell ref="I173:M173"/>
    <mergeCell ref="D174:H174"/>
    <mergeCell ref="I174:M174"/>
    <mergeCell ref="D175:H175"/>
    <mergeCell ref="I175:M175"/>
    <mergeCell ref="D176:H176"/>
    <mergeCell ref="I176:M176"/>
    <mergeCell ref="D177:H177"/>
    <mergeCell ref="I177:M177"/>
    <mergeCell ref="D178:H178"/>
    <mergeCell ref="I178:M178"/>
    <mergeCell ref="D179:H179"/>
    <mergeCell ref="I179:M179"/>
    <mergeCell ref="D180:H180"/>
    <mergeCell ref="I180:M180"/>
    <mergeCell ref="D181:H181"/>
    <mergeCell ref="I181:M181"/>
    <mergeCell ref="D182:H182"/>
    <mergeCell ref="I182:M182"/>
    <mergeCell ref="D183:H183"/>
    <mergeCell ref="I183:M183"/>
    <mergeCell ref="D184:H184"/>
    <mergeCell ref="I184:M184"/>
    <mergeCell ref="D185:H185"/>
    <mergeCell ref="I185:M185"/>
    <mergeCell ref="D186:H186"/>
    <mergeCell ref="I186:M186"/>
    <mergeCell ref="D187:H187"/>
    <mergeCell ref="I187:M187"/>
    <mergeCell ref="D188:H188"/>
    <mergeCell ref="I188:M188"/>
    <mergeCell ref="D189:H189"/>
    <mergeCell ref="I189:M189"/>
    <mergeCell ref="D190:H190"/>
    <mergeCell ref="I190:M190"/>
    <mergeCell ref="D191:H191"/>
    <mergeCell ref="I191:M191"/>
    <mergeCell ref="D192:H192"/>
    <mergeCell ref="I192:M192"/>
    <mergeCell ref="D193:H193"/>
    <mergeCell ref="I193:M193"/>
    <mergeCell ref="D194:H194"/>
    <mergeCell ref="I194:M194"/>
    <mergeCell ref="D195:H195"/>
    <mergeCell ref="I195:M195"/>
    <mergeCell ref="D196:H196"/>
    <mergeCell ref="I196:M196"/>
    <mergeCell ref="D197:H197"/>
    <mergeCell ref="I197:M197"/>
    <mergeCell ref="D198:H198"/>
    <mergeCell ref="I198:M198"/>
    <mergeCell ref="D199:H199"/>
    <mergeCell ref="I199:M199"/>
    <mergeCell ref="D200:H200"/>
    <mergeCell ref="I200:M200"/>
    <mergeCell ref="D201:H201"/>
    <mergeCell ref="I201:M201"/>
    <mergeCell ref="D202:H202"/>
    <mergeCell ref="I202:M202"/>
    <mergeCell ref="D203:H203"/>
    <mergeCell ref="I203:M203"/>
    <mergeCell ref="D204:H204"/>
    <mergeCell ref="I204:M204"/>
    <mergeCell ref="D205:H205"/>
    <mergeCell ref="I205:M205"/>
    <mergeCell ref="D206:H206"/>
    <mergeCell ref="I206:M206"/>
    <mergeCell ref="D207:H207"/>
    <mergeCell ref="I207:M207"/>
    <mergeCell ref="D208:H208"/>
    <mergeCell ref="I208:M208"/>
    <mergeCell ref="D209:H209"/>
    <mergeCell ref="I209:M209"/>
    <mergeCell ref="D210:H210"/>
    <mergeCell ref="I210:M210"/>
    <mergeCell ref="D211:H211"/>
    <mergeCell ref="I211:M211"/>
    <mergeCell ref="D212:H212"/>
    <mergeCell ref="I212:M212"/>
    <mergeCell ref="D213:H213"/>
    <mergeCell ref="I213:M213"/>
    <mergeCell ref="D214:H214"/>
    <mergeCell ref="I214:M214"/>
    <mergeCell ref="D215:H215"/>
    <mergeCell ref="I215:M215"/>
    <mergeCell ref="D216:H216"/>
    <mergeCell ref="I216:M216"/>
    <mergeCell ref="D217:H217"/>
    <mergeCell ref="I217:M217"/>
    <mergeCell ref="D218:H218"/>
    <mergeCell ref="I218:M218"/>
    <mergeCell ref="D219:H219"/>
    <mergeCell ref="I219:M219"/>
    <mergeCell ref="D220:H220"/>
    <mergeCell ref="I220:M220"/>
    <mergeCell ref="D221:H221"/>
    <mergeCell ref="I221:M221"/>
    <mergeCell ref="D222:H222"/>
    <mergeCell ref="I222:M222"/>
    <mergeCell ref="D223:H223"/>
    <mergeCell ref="I223:M223"/>
    <mergeCell ref="D224:H224"/>
    <mergeCell ref="I224:M224"/>
    <mergeCell ref="D225:H225"/>
    <mergeCell ref="I225:M225"/>
    <mergeCell ref="D226:H226"/>
    <mergeCell ref="I226:M226"/>
    <mergeCell ref="D227:H227"/>
    <mergeCell ref="I227:M227"/>
    <mergeCell ref="D228:H228"/>
    <mergeCell ref="I228:M228"/>
    <mergeCell ref="D229:H229"/>
    <mergeCell ref="I229:M229"/>
    <mergeCell ref="D230:H230"/>
    <mergeCell ref="I230:M230"/>
    <mergeCell ref="D231:H231"/>
    <mergeCell ref="I231:M231"/>
    <mergeCell ref="D232:H232"/>
    <mergeCell ref="I232:M232"/>
    <mergeCell ref="D233:H233"/>
    <mergeCell ref="I233:M233"/>
    <mergeCell ref="D234:H234"/>
    <mergeCell ref="I234:M234"/>
    <mergeCell ref="D235:H235"/>
    <mergeCell ref="I235:M235"/>
    <mergeCell ref="D236:H236"/>
    <mergeCell ref="I236:M236"/>
    <mergeCell ref="D237:H237"/>
    <mergeCell ref="I237:M237"/>
    <mergeCell ref="D238:H238"/>
    <mergeCell ref="I238:M238"/>
    <mergeCell ref="D239:H239"/>
    <mergeCell ref="I239:M239"/>
    <mergeCell ref="D240:H240"/>
    <mergeCell ref="I240:M240"/>
    <mergeCell ref="D241:H241"/>
    <mergeCell ref="I241:M241"/>
    <mergeCell ref="D242:H242"/>
    <mergeCell ref="I242:M242"/>
    <mergeCell ref="D243:H243"/>
    <mergeCell ref="I243:M243"/>
    <mergeCell ref="D244:H244"/>
    <mergeCell ref="I244:M244"/>
    <mergeCell ref="D245:H245"/>
    <mergeCell ref="I245:M245"/>
    <mergeCell ref="D246:H246"/>
    <mergeCell ref="I246:M246"/>
    <mergeCell ref="D247:H247"/>
    <mergeCell ref="I247:M247"/>
    <mergeCell ref="D248:H248"/>
    <mergeCell ref="I248:M248"/>
    <mergeCell ref="D249:H249"/>
    <mergeCell ref="I249:M249"/>
    <mergeCell ref="D250:H250"/>
    <mergeCell ref="I250:M250"/>
    <mergeCell ref="D251:H251"/>
    <mergeCell ref="I251:M251"/>
    <mergeCell ref="D252:H252"/>
    <mergeCell ref="I252:M252"/>
    <mergeCell ref="D253:H253"/>
    <mergeCell ref="I253:M253"/>
    <mergeCell ref="D254:H254"/>
    <mergeCell ref="I254:M254"/>
    <mergeCell ref="D255:H255"/>
    <mergeCell ref="I255:M255"/>
    <mergeCell ref="D256:H256"/>
    <mergeCell ref="I256:M256"/>
    <mergeCell ref="D257:H257"/>
    <mergeCell ref="I257:M257"/>
    <mergeCell ref="D258:H258"/>
    <mergeCell ref="I258:M258"/>
    <mergeCell ref="D259:H259"/>
    <mergeCell ref="I259:M259"/>
    <mergeCell ref="D260:H260"/>
    <mergeCell ref="I260:M260"/>
    <mergeCell ref="D261:H261"/>
    <mergeCell ref="I261:M261"/>
    <mergeCell ref="D262:H262"/>
    <mergeCell ref="I262:M262"/>
    <mergeCell ref="D263:H263"/>
    <mergeCell ref="I263:M263"/>
    <mergeCell ref="D264:H264"/>
    <mergeCell ref="I264:M264"/>
    <mergeCell ref="D265:H265"/>
    <mergeCell ref="I265:M265"/>
    <mergeCell ref="D266:H266"/>
    <mergeCell ref="I266:M266"/>
    <mergeCell ref="D267:H267"/>
    <mergeCell ref="I267:M267"/>
    <mergeCell ref="D268:H268"/>
    <mergeCell ref="I268:M268"/>
    <mergeCell ref="D269:H269"/>
    <mergeCell ref="I269:M269"/>
    <mergeCell ref="D270:H270"/>
    <mergeCell ref="I270:M270"/>
    <mergeCell ref="D271:H271"/>
    <mergeCell ref="I271:M271"/>
    <mergeCell ref="D272:H272"/>
    <mergeCell ref="I272:M272"/>
    <mergeCell ref="D273:H273"/>
    <mergeCell ref="I273:M273"/>
    <mergeCell ref="D274:H274"/>
    <mergeCell ref="I274:M274"/>
    <mergeCell ref="D275:H275"/>
    <mergeCell ref="I275:M275"/>
    <mergeCell ref="D276:H276"/>
    <mergeCell ref="I276:M276"/>
    <mergeCell ref="D277:H277"/>
    <mergeCell ref="I277:M277"/>
    <mergeCell ref="D278:H278"/>
    <mergeCell ref="I278:M278"/>
    <mergeCell ref="D279:H279"/>
    <mergeCell ref="I279:M279"/>
    <mergeCell ref="D280:H280"/>
    <mergeCell ref="I280:M280"/>
    <mergeCell ref="D281:H281"/>
    <mergeCell ref="I281:M281"/>
    <mergeCell ref="D282:H282"/>
    <mergeCell ref="I282:M282"/>
    <mergeCell ref="D283:H283"/>
    <mergeCell ref="I283:M283"/>
    <mergeCell ref="D284:H284"/>
    <mergeCell ref="I284:M284"/>
    <mergeCell ref="D285:H285"/>
    <mergeCell ref="I285:M285"/>
    <mergeCell ref="D286:H286"/>
    <mergeCell ref="I286:M286"/>
    <mergeCell ref="D287:H287"/>
    <mergeCell ref="I287:M287"/>
    <mergeCell ref="D288:H288"/>
    <mergeCell ref="I288:M288"/>
    <mergeCell ref="D289:H289"/>
    <mergeCell ref="I289:M289"/>
    <mergeCell ref="D290:H290"/>
    <mergeCell ref="I290:M290"/>
    <mergeCell ref="D291:H291"/>
    <mergeCell ref="I291:M291"/>
    <mergeCell ref="D292:H292"/>
    <mergeCell ref="I292:M292"/>
    <mergeCell ref="D293:H293"/>
    <mergeCell ref="I293:M293"/>
    <mergeCell ref="D294:H294"/>
    <mergeCell ref="I294:M294"/>
    <mergeCell ref="D295:H295"/>
    <mergeCell ref="I295:M295"/>
    <mergeCell ref="D296:H296"/>
    <mergeCell ref="I296:M296"/>
    <mergeCell ref="D297:H297"/>
    <mergeCell ref="I297:M297"/>
    <mergeCell ref="D298:H298"/>
    <mergeCell ref="I298:M298"/>
    <mergeCell ref="D299:H299"/>
    <mergeCell ref="I299:M299"/>
    <mergeCell ref="D300:H300"/>
    <mergeCell ref="I300:M300"/>
    <mergeCell ref="D301:H301"/>
    <mergeCell ref="I301:M301"/>
    <mergeCell ref="D302:H302"/>
    <mergeCell ref="I302:M302"/>
    <mergeCell ref="D303:H303"/>
    <mergeCell ref="I303:M303"/>
    <mergeCell ref="D304:H304"/>
    <mergeCell ref="I304:M304"/>
    <mergeCell ref="D305:H305"/>
    <mergeCell ref="I305:M305"/>
    <mergeCell ref="D306:H306"/>
    <mergeCell ref="I306:M306"/>
    <mergeCell ref="D307:H307"/>
    <mergeCell ref="I307:M307"/>
    <mergeCell ref="D308:H308"/>
    <mergeCell ref="I308:M308"/>
    <mergeCell ref="D309:H309"/>
    <mergeCell ref="I309:M309"/>
    <mergeCell ref="D310:H310"/>
    <mergeCell ref="I310:M310"/>
    <mergeCell ref="D311:H311"/>
    <mergeCell ref="I311:M311"/>
    <mergeCell ref="D312:H312"/>
    <mergeCell ref="I312:M312"/>
    <mergeCell ref="D313:H313"/>
    <mergeCell ref="I313:M313"/>
    <mergeCell ref="D314:H314"/>
    <mergeCell ref="I314:M314"/>
    <mergeCell ref="D315:H315"/>
    <mergeCell ref="I315:M315"/>
    <mergeCell ref="D316:H316"/>
    <mergeCell ref="I316:M316"/>
    <mergeCell ref="D317:H317"/>
    <mergeCell ref="I317:M317"/>
    <mergeCell ref="D318:H318"/>
    <mergeCell ref="I318:M318"/>
    <mergeCell ref="D319:H319"/>
    <mergeCell ref="I319:M319"/>
    <mergeCell ref="D320:H320"/>
    <mergeCell ref="I320:M320"/>
    <mergeCell ref="D321:H321"/>
    <mergeCell ref="I321:M321"/>
    <mergeCell ref="D322:H322"/>
    <mergeCell ref="I322:M322"/>
    <mergeCell ref="D323:H323"/>
    <mergeCell ref="I323:M323"/>
    <mergeCell ref="D324:H324"/>
    <mergeCell ref="I324:M324"/>
    <mergeCell ref="D325:H325"/>
    <mergeCell ref="I325:M325"/>
    <mergeCell ref="D326:H326"/>
    <mergeCell ref="I326:M326"/>
    <mergeCell ref="D327:H327"/>
    <mergeCell ref="I327:M327"/>
    <mergeCell ref="D328:H328"/>
    <mergeCell ref="I328:M328"/>
    <mergeCell ref="D329:H329"/>
    <mergeCell ref="I329:M329"/>
    <mergeCell ref="D330:H330"/>
    <mergeCell ref="I330:M330"/>
    <mergeCell ref="D331:H331"/>
    <mergeCell ref="I331:M331"/>
    <mergeCell ref="D332:H332"/>
    <mergeCell ref="I332:M332"/>
    <mergeCell ref="D333:H333"/>
    <mergeCell ref="I333:M333"/>
    <mergeCell ref="D334:H334"/>
    <mergeCell ref="I334:M334"/>
    <mergeCell ref="D335:H335"/>
    <mergeCell ref="I335:M335"/>
    <mergeCell ref="D336:H336"/>
    <mergeCell ref="I336:M336"/>
    <mergeCell ref="D337:H337"/>
    <mergeCell ref="I337:M337"/>
    <mergeCell ref="D338:H338"/>
    <mergeCell ref="I338:M338"/>
    <mergeCell ref="D339:H339"/>
    <mergeCell ref="I339:M339"/>
    <mergeCell ref="D340:H340"/>
    <mergeCell ref="I340:M340"/>
    <mergeCell ref="D341:H341"/>
    <mergeCell ref="I341:M341"/>
    <mergeCell ref="D342:H342"/>
    <mergeCell ref="I342:M342"/>
    <mergeCell ref="D343:H343"/>
    <mergeCell ref="I343:M343"/>
    <mergeCell ref="D344:H344"/>
    <mergeCell ref="I344:M344"/>
    <mergeCell ref="D345:H345"/>
    <mergeCell ref="I345:M345"/>
    <mergeCell ref="D346:H346"/>
    <mergeCell ref="I346:M346"/>
    <mergeCell ref="D347:H347"/>
    <mergeCell ref="I347:M347"/>
    <mergeCell ref="D348:H348"/>
    <mergeCell ref="I348:M348"/>
    <mergeCell ref="D349:H349"/>
    <mergeCell ref="I349:M349"/>
    <mergeCell ref="D350:H350"/>
    <mergeCell ref="I350:M350"/>
    <mergeCell ref="D351:H351"/>
    <mergeCell ref="I351:M351"/>
    <mergeCell ref="D352:H352"/>
    <mergeCell ref="I352:M352"/>
    <mergeCell ref="D353:H353"/>
    <mergeCell ref="I353:M353"/>
    <mergeCell ref="D354:H354"/>
    <mergeCell ref="I354:M354"/>
    <mergeCell ref="D355:H355"/>
    <mergeCell ref="I355:M355"/>
    <mergeCell ref="D356:H356"/>
    <mergeCell ref="I356:M356"/>
    <mergeCell ref="D357:H357"/>
    <mergeCell ref="I357:M357"/>
    <mergeCell ref="D358:H358"/>
    <mergeCell ref="I358:M358"/>
    <mergeCell ref="D359:H359"/>
    <mergeCell ref="I359:M359"/>
    <mergeCell ref="D360:H360"/>
    <mergeCell ref="I360:M360"/>
    <mergeCell ref="D361:H361"/>
    <mergeCell ref="I361:M361"/>
    <mergeCell ref="D362:H362"/>
    <mergeCell ref="I362:M362"/>
    <mergeCell ref="D363:H363"/>
    <mergeCell ref="I363:M363"/>
    <mergeCell ref="D364:H364"/>
    <mergeCell ref="I364:M364"/>
    <mergeCell ref="D365:H365"/>
    <mergeCell ref="I365:M365"/>
    <mergeCell ref="D366:H366"/>
    <mergeCell ref="I366:M366"/>
    <mergeCell ref="D367:H367"/>
    <mergeCell ref="I367:M367"/>
    <mergeCell ref="D368:H368"/>
    <mergeCell ref="I368:M368"/>
    <mergeCell ref="D369:H369"/>
    <mergeCell ref="I369:M369"/>
    <mergeCell ref="D370:H370"/>
    <mergeCell ref="I370:M370"/>
    <mergeCell ref="D371:H371"/>
    <mergeCell ref="I371:M371"/>
    <mergeCell ref="D372:H372"/>
    <mergeCell ref="I372:M372"/>
    <mergeCell ref="D373:H373"/>
    <mergeCell ref="I373:M373"/>
    <mergeCell ref="D374:H374"/>
    <mergeCell ref="I374:M374"/>
    <mergeCell ref="D375:H375"/>
    <mergeCell ref="I375:M375"/>
    <mergeCell ref="D376:H376"/>
    <mergeCell ref="I376:M376"/>
    <mergeCell ref="D377:H377"/>
    <mergeCell ref="I377:M377"/>
    <mergeCell ref="D378:H378"/>
    <mergeCell ref="I378:M378"/>
    <mergeCell ref="D379:H379"/>
    <mergeCell ref="I379:M379"/>
    <mergeCell ref="D380:H380"/>
    <mergeCell ref="I380:M380"/>
    <mergeCell ref="D381:H381"/>
    <mergeCell ref="I381:M381"/>
    <mergeCell ref="D382:H382"/>
    <mergeCell ref="I382:M382"/>
    <mergeCell ref="D383:H383"/>
    <mergeCell ref="I383:M383"/>
    <mergeCell ref="D384:H384"/>
    <mergeCell ref="I384:M384"/>
    <mergeCell ref="D385:H385"/>
    <mergeCell ref="I385:M385"/>
    <mergeCell ref="D386:H386"/>
    <mergeCell ref="I386:M386"/>
    <mergeCell ref="D387:H387"/>
    <mergeCell ref="I387:M387"/>
    <mergeCell ref="D388:H388"/>
    <mergeCell ref="I388:M388"/>
    <mergeCell ref="D389:H389"/>
    <mergeCell ref="I389:M389"/>
    <mergeCell ref="D390:H390"/>
    <mergeCell ref="I390:M390"/>
    <mergeCell ref="D391:H391"/>
    <mergeCell ref="I391:M391"/>
    <mergeCell ref="D392:H392"/>
    <mergeCell ref="I392:M392"/>
    <mergeCell ref="D393:H393"/>
    <mergeCell ref="I393:M393"/>
    <mergeCell ref="D394:H394"/>
    <mergeCell ref="I394:M394"/>
    <mergeCell ref="D395:H395"/>
    <mergeCell ref="I395:M395"/>
    <mergeCell ref="D396:H396"/>
    <mergeCell ref="I396:M396"/>
    <mergeCell ref="D397:H397"/>
    <mergeCell ref="I397:M397"/>
    <mergeCell ref="D398:H398"/>
    <mergeCell ref="I398:M398"/>
    <mergeCell ref="D399:H399"/>
    <mergeCell ref="I399:M399"/>
    <mergeCell ref="D400:H400"/>
    <mergeCell ref="I400:M400"/>
    <mergeCell ref="D401:H401"/>
    <mergeCell ref="I401:M401"/>
    <mergeCell ref="D402:H402"/>
    <mergeCell ref="I402:M402"/>
    <mergeCell ref="D403:H403"/>
    <mergeCell ref="I403:M403"/>
    <mergeCell ref="D404:H404"/>
    <mergeCell ref="I404:M404"/>
    <mergeCell ref="D405:H405"/>
    <mergeCell ref="I405:M405"/>
    <mergeCell ref="D406:H406"/>
    <mergeCell ref="I406:M406"/>
    <mergeCell ref="D407:H407"/>
    <mergeCell ref="I407:M407"/>
    <mergeCell ref="D408:H408"/>
    <mergeCell ref="I408:M408"/>
    <mergeCell ref="D409:H409"/>
    <mergeCell ref="I409:M409"/>
    <mergeCell ref="D410:H410"/>
    <mergeCell ref="I410:M410"/>
    <mergeCell ref="D411:H411"/>
    <mergeCell ref="I411:M411"/>
    <mergeCell ref="D412:H412"/>
    <mergeCell ref="I412:M412"/>
    <mergeCell ref="D413:H413"/>
    <mergeCell ref="I413:M413"/>
    <mergeCell ref="D414:H414"/>
    <mergeCell ref="I414:M414"/>
    <mergeCell ref="D415:H415"/>
    <mergeCell ref="I415:M415"/>
    <mergeCell ref="D416:H416"/>
    <mergeCell ref="I416:M416"/>
    <mergeCell ref="D417:H417"/>
    <mergeCell ref="I417:M417"/>
    <mergeCell ref="D418:H418"/>
    <mergeCell ref="I418:M418"/>
    <mergeCell ref="D419:H419"/>
    <mergeCell ref="I419:M419"/>
    <mergeCell ref="D420:H420"/>
    <mergeCell ref="I420:M420"/>
    <mergeCell ref="D421:H421"/>
    <mergeCell ref="I421:M421"/>
    <mergeCell ref="D422:H422"/>
    <mergeCell ref="I422:M422"/>
    <mergeCell ref="D423:H423"/>
    <mergeCell ref="I423:M423"/>
    <mergeCell ref="D424:H424"/>
    <mergeCell ref="I424:M424"/>
    <mergeCell ref="D425:H425"/>
    <mergeCell ref="I425:M425"/>
    <mergeCell ref="D426:H426"/>
    <mergeCell ref="I426:M426"/>
    <mergeCell ref="D427:H427"/>
    <mergeCell ref="I427:M427"/>
    <mergeCell ref="D428:H428"/>
    <mergeCell ref="I428:M428"/>
    <mergeCell ref="D429:H429"/>
    <mergeCell ref="I429:M429"/>
    <mergeCell ref="D430:H430"/>
    <mergeCell ref="I430:M430"/>
    <mergeCell ref="D431:H431"/>
    <mergeCell ref="I431:M431"/>
    <mergeCell ref="D432:H432"/>
    <mergeCell ref="I432:M432"/>
    <mergeCell ref="D433:H433"/>
    <mergeCell ref="I433:M433"/>
    <mergeCell ref="D434:H434"/>
    <mergeCell ref="I434:M434"/>
    <mergeCell ref="D435:H435"/>
    <mergeCell ref="I435:M435"/>
    <mergeCell ref="D436:H436"/>
    <mergeCell ref="I436:M436"/>
    <mergeCell ref="D437:H437"/>
    <mergeCell ref="I437:M437"/>
    <mergeCell ref="D438:H438"/>
    <mergeCell ref="I438:M438"/>
    <mergeCell ref="D439:H439"/>
    <mergeCell ref="I439:M439"/>
    <mergeCell ref="D440:H440"/>
    <mergeCell ref="I440:M440"/>
    <mergeCell ref="D441:H441"/>
    <mergeCell ref="I441:M441"/>
    <mergeCell ref="D442:H442"/>
    <mergeCell ref="I442:M442"/>
    <mergeCell ref="D443:H443"/>
    <mergeCell ref="I443:M443"/>
    <mergeCell ref="D444:H444"/>
    <mergeCell ref="I444:M444"/>
    <mergeCell ref="D445:H445"/>
    <mergeCell ref="I445:M445"/>
    <mergeCell ref="D446:H446"/>
    <mergeCell ref="I446:M446"/>
    <mergeCell ref="D447:H447"/>
    <mergeCell ref="I447:M447"/>
    <mergeCell ref="D448:H448"/>
    <mergeCell ref="I448:M448"/>
    <mergeCell ref="D449:H449"/>
    <mergeCell ref="I449:M449"/>
    <mergeCell ref="D450:H450"/>
    <mergeCell ref="I450:M450"/>
    <mergeCell ref="D451:H451"/>
    <mergeCell ref="I451:M451"/>
    <mergeCell ref="D452:H452"/>
    <mergeCell ref="I452:M452"/>
    <mergeCell ref="D453:H453"/>
    <mergeCell ref="I453:M453"/>
    <mergeCell ref="D454:H454"/>
    <mergeCell ref="I454:M454"/>
    <mergeCell ref="D455:H455"/>
    <mergeCell ref="I455:M455"/>
    <mergeCell ref="D456:H456"/>
    <mergeCell ref="I456:M456"/>
    <mergeCell ref="D457:H457"/>
    <mergeCell ref="I457:M457"/>
    <mergeCell ref="D458:H458"/>
    <mergeCell ref="I458:M458"/>
    <mergeCell ref="D459:H459"/>
    <mergeCell ref="I459:M459"/>
    <mergeCell ref="D460:H460"/>
    <mergeCell ref="I460:M460"/>
    <mergeCell ref="D461:H461"/>
    <mergeCell ref="I461:M461"/>
    <mergeCell ref="D462:H462"/>
    <mergeCell ref="I462:M462"/>
    <mergeCell ref="D463:H463"/>
    <mergeCell ref="I463:M463"/>
    <mergeCell ref="D464:H464"/>
    <mergeCell ref="I464:M464"/>
    <mergeCell ref="D465:H465"/>
    <mergeCell ref="I465:M465"/>
    <mergeCell ref="D466:H466"/>
    <mergeCell ref="I466:M466"/>
    <mergeCell ref="D467:H467"/>
    <mergeCell ref="I467:M467"/>
    <mergeCell ref="D468:H468"/>
    <mergeCell ref="I468:M468"/>
    <mergeCell ref="D469:H469"/>
    <mergeCell ref="I469:M469"/>
    <mergeCell ref="D470:H470"/>
    <mergeCell ref="I470:M470"/>
    <mergeCell ref="D471:H471"/>
    <mergeCell ref="I471:M471"/>
    <mergeCell ref="D472:H472"/>
    <mergeCell ref="I472:M472"/>
    <mergeCell ref="D473:H473"/>
    <mergeCell ref="I473:M473"/>
    <mergeCell ref="D474:H474"/>
    <mergeCell ref="I474:M474"/>
    <mergeCell ref="D475:H475"/>
    <mergeCell ref="I475:M475"/>
    <mergeCell ref="D476:H476"/>
    <mergeCell ref="I476:M476"/>
    <mergeCell ref="D477:H477"/>
    <mergeCell ref="I477:M477"/>
    <mergeCell ref="D478:H478"/>
    <mergeCell ref="I478:M478"/>
    <mergeCell ref="D479:H479"/>
    <mergeCell ref="I479:M479"/>
    <mergeCell ref="D480:H480"/>
    <mergeCell ref="I480:M480"/>
    <mergeCell ref="D481:H481"/>
    <mergeCell ref="I481:M481"/>
    <mergeCell ref="D482:H482"/>
    <mergeCell ref="I482:M482"/>
    <mergeCell ref="D483:H483"/>
    <mergeCell ref="I483:M483"/>
    <mergeCell ref="D484:H484"/>
    <mergeCell ref="I484:M484"/>
    <mergeCell ref="D485:H485"/>
    <mergeCell ref="I485:M485"/>
    <mergeCell ref="D486:H486"/>
    <mergeCell ref="I486:M486"/>
    <mergeCell ref="D487:H487"/>
    <mergeCell ref="I487:M487"/>
    <mergeCell ref="D488:H488"/>
    <mergeCell ref="I488:M488"/>
    <mergeCell ref="D489:H489"/>
    <mergeCell ref="I489:M489"/>
    <mergeCell ref="D490:H490"/>
    <mergeCell ref="I490:M490"/>
    <mergeCell ref="D491:H491"/>
    <mergeCell ref="I491:M491"/>
    <mergeCell ref="D492:H492"/>
    <mergeCell ref="I492:M492"/>
    <mergeCell ref="D493:H493"/>
    <mergeCell ref="I493:M493"/>
    <mergeCell ref="D494:H494"/>
    <mergeCell ref="I494:M494"/>
    <mergeCell ref="D495:H495"/>
    <mergeCell ref="I495:M495"/>
    <mergeCell ref="D496:H496"/>
    <mergeCell ref="I496:M496"/>
    <mergeCell ref="D497:H497"/>
    <mergeCell ref="I497:M497"/>
    <mergeCell ref="D498:H498"/>
    <mergeCell ref="I498:M498"/>
    <mergeCell ref="D499:H499"/>
    <mergeCell ref="I499:M499"/>
    <mergeCell ref="D500:H500"/>
    <mergeCell ref="I500:M500"/>
    <mergeCell ref="D501:H501"/>
    <mergeCell ref="I501:M501"/>
    <mergeCell ref="D502:H502"/>
    <mergeCell ref="I502:M502"/>
    <mergeCell ref="D503:H503"/>
    <mergeCell ref="I503:M503"/>
    <mergeCell ref="D504:H504"/>
    <mergeCell ref="I504:M504"/>
    <mergeCell ref="D505:H505"/>
    <mergeCell ref="I505:M505"/>
    <mergeCell ref="D506:H506"/>
    <mergeCell ref="I506:M506"/>
    <mergeCell ref="D507:H507"/>
    <mergeCell ref="I507:M507"/>
    <mergeCell ref="D508:H508"/>
    <mergeCell ref="I508:M508"/>
    <mergeCell ref="D509:H509"/>
    <mergeCell ref="I509:M509"/>
    <mergeCell ref="D510:H510"/>
    <mergeCell ref="I510:M510"/>
    <mergeCell ref="D511:H511"/>
    <mergeCell ref="I511:M511"/>
    <mergeCell ref="D512:H512"/>
    <mergeCell ref="I512:M512"/>
    <mergeCell ref="D513:H513"/>
    <mergeCell ref="I513:M513"/>
    <mergeCell ref="D514:H514"/>
    <mergeCell ref="I514:M514"/>
    <mergeCell ref="D515:H515"/>
    <mergeCell ref="I515:M515"/>
    <mergeCell ref="D516:H516"/>
    <mergeCell ref="I516:M516"/>
    <mergeCell ref="D517:H517"/>
    <mergeCell ref="I517:M517"/>
    <mergeCell ref="D518:H518"/>
    <mergeCell ref="I518:M518"/>
    <mergeCell ref="D519:H519"/>
    <mergeCell ref="I519:M519"/>
    <mergeCell ref="D520:H520"/>
    <mergeCell ref="I520:M520"/>
    <mergeCell ref="D521:H521"/>
    <mergeCell ref="I521:M521"/>
    <mergeCell ref="D522:H522"/>
    <mergeCell ref="I522:M522"/>
    <mergeCell ref="D523:H523"/>
    <mergeCell ref="I523:M523"/>
    <mergeCell ref="D524:H524"/>
    <mergeCell ref="I524:M524"/>
    <mergeCell ref="D525:H525"/>
    <mergeCell ref="I525:M525"/>
    <mergeCell ref="D526:H526"/>
    <mergeCell ref="I526:M526"/>
    <mergeCell ref="D527:H527"/>
    <mergeCell ref="I527:M527"/>
    <mergeCell ref="D528:H528"/>
    <mergeCell ref="I528:M528"/>
    <mergeCell ref="D529:H529"/>
    <mergeCell ref="I529:M529"/>
    <mergeCell ref="D530:H530"/>
    <mergeCell ref="I530:M530"/>
    <mergeCell ref="D531:H531"/>
    <mergeCell ref="I531:M531"/>
    <mergeCell ref="D532:H532"/>
    <mergeCell ref="I532:M532"/>
    <mergeCell ref="D533:H533"/>
    <mergeCell ref="I533:M533"/>
    <mergeCell ref="D534:H534"/>
    <mergeCell ref="I534:M534"/>
    <mergeCell ref="D535:H535"/>
    <mergeCell ref="I535:M535"/>
    <mergeCell ref="D536:H536"/>
    <mergeCell ref="I536:M536"/>
    <mergeCell ref="D537:H537"/>
    <mergeCell ref="I537:M537"/>
    <mergeCell ref="D538:H538"/>
    <mergeCell ref="I538:M538"/>
    <mergeCell ref="D539:H539"/>
    <mergeCell ref="I539:M539"/>
    <mergeCell ref="D540:H540"/>
    <mergeCell ref="I540:M540"/>
    <mergeCell ref="D541:H541"/>
    <mergeCell ref="I541:M541"/>
    <mergeCell ref="D542:H542"/>
    <mergeCell ref="I542:M542"/>
    <mergeCell ref="D543:H543"/>
    <mergeCell ref="I543:M543"/>
    <mergeCell ref="D544:H544"/>
    <mergeCell ref="I544:M544"/>
    <mergeCell ref="D545:H545"/>
    <mergeCell ref="I545:M545"/>
    <mergeCell ref="D546:H546"/>
    <mergeCell ref="I546:M546"/>
    <mergeCell ref="D547:H547"/>
    <mergeCell ref="I547:M547"/>
    <mergeCell ref="D548:H548"/>
    <mergeCell ref="I548:M548"/>
    <mergeCell ref="D549:H549"/>
    <mergeCell ref="I549:M549"/>
    <mergeCell ref="D550:H550"/>
    <mergeCell ref="I550:M550"/>
    <mergeCell ref="D551:H551"/>
    <mergeCell ref="I551:M551"/>
    <mergeCell ref="D552:H552"/>
    <mergeCell ref="I552:M552"/>
    <mergeCell ref="D553:H553"/>
    <mergeCell ref="I553:M553"/>
    <mergeCell ref="D554:H554"/>
    <mergeCell ref="I554:M554"/>
    <mergeCell ref="D555:H555"/>
    <mergeCell ref="I555:M555"/>
    <mergeCell ref="D556:H556"/>
    <mergeCell ref="I556:M556"/>
    <mergeCell ref="D557:H557"/>
    <mergeCell ref="I557:M557"/>
    <mergeCell ref="D558:H558"/>
    <mergeCell ref="I558:M558"/>
    <mergeCell ref="D559:H559"/>
    <mergeCell ref="I559:M559"/>
    <mergeCell ref="D560:H560"/>
    <mergeCell ref="I560:M560"/>
    <mergeCell ref="D561:H561"/>
    <mergeCell ref="I561:M561"/>
    <mergeCell ref="D562:H562"/>
    <mergeCell ref="I562:M562"/>
    <mergeCell ref="D563:H563"/>
    <mergeCell ref="I563:M563"/>
    <mergeCell ref="D564:H564"/>
    <mergeCell ref="I564:M564"/>
    <mergeCell ref="D565:H565"/>
    <mergeCell ref="I565:M565"/>
    <mergeCell ref="D566:H566"/>
    <mergeCell ref="I566:M566"/>
    <mergeCell ref="D567:H567"/>
    <mergeCell ref="I567:M567"/>
    <mergeCell ref="D568:H568"/>
    <mergeCell ref="I568:M568"/>
    <mergeCell ref="D569:H569"/>
    <mergeCell ref="I569:M569"/>
    <mergeCell ref="D570:H570"/>
    <mergeCell ref="I570:M570"/>
    <mergeCell ref="D571:H571"/>
    <mergeCell ref="I571:M571"/>
    <mergeCell ref="D572:H572"/>
    <mergeCell ref="I572:M572"/>
    <mergeCell ref="D573:H573"/>
    <mergeCell ref="I573:M573"/>
    <mergeCell ref="D574:H574"/>
    <mergeCell ref="I574:M574"/>
    <mergeCell ref="D575:H575"/>
    <mergeCell ref="I575:M575"/>
    <mergeCell ref="D576:H576"/>
    <mergeCell ref="I576:M576"/>
    <mergeCell ref="D577:H577"/>
    <mergeCell ref="I577:M577"/>
    <mergeCell ref="D578:H578"/>
    <mergeCell ref="I578:M578"/>
    <mergeCell ref="D579:H579"/>
    <mergeCell ref="I579:M579"/>
    <mergeCell ref="D580:H580"/>
    <mergeCell ref="I580:M580"/>
    <mergeCell ref="D581:H581"/>
    <mergeCell ref="I581:M581"/>
    <mergeCell ref="D582:H582"/>
    <mergeCell ref="I582:M582"/>
    <mergeCell ref="D583:H583"/>
    <mergeCell ref="I583:M583"/>
    <mergeCell ref="D584:H584"/>
    <mergeCell ref="I584:M584"/>
    <mergeCell ref="D585:H585"/>
    <mergeCell ref="I585:M585"/>
    <mergeCell ref="D586:H586"/>
    <mergeCell ref="I586:M586"/>
    <mergeCell ref="D587:H587"/>
    <mergeCell ref="I587:M587"/>
    <mergeCell ref="D588:H588"/>
    <mergeCell ref="I588:M588"/>
    <mergeCell ref="D589:H589"/>
    <mergeCell ref="I589:M589"/>
    <mergeCell ref="D590:H590"/>
    <mergeCell ref="I590:M590"/>
    <mergeCell ref="D591:H591"/>
    <mergeCell ref="I591:M591"/>
    <mergeCell ref="D592:H592"/>
    <mergeCell ref="I592:M592"/>
    <mergeCell ref="D593:H593"/>
    <mergeCell ref="I593:M593"/>
    <mergeCell ref="D594:H594"/>
    <mergeCell ref="I594:M594"/>
    <mergeCell ref="D595:H595"/>
    <mergeCell ref="I595:M595"/>
    <mergeCell ref="D596:H596"/>
    <mergeCell ref="I596:M596"/>
    <mergeCell ref="D597:H597"/>
    <mergeCell ref="I597:M597"/>
    <mergeCell ref="D598:H598"/>
    <mergeCell ref="I598:M598"/>
    <mergeCell ref="D599:H599"/>
    <mergeCell ref="I599:M599"/>
    <mergeCell ref="D600:H600"/>
    <mergeCell ref="I600:M600"/>
    <mergeCell ref="D601:H601"/>
    <mergeCell ref="I601:M601"/>
    <mergeCell ref="D602:H602"/>
    <mergeCell ref="I602:M602"/>
    <mergeCell ref="D603:H603"/>
    <mergeCell ref="I603:M603"/>
    <mergeCell ref="D604:H604"/>
    <mergeCell ref="I604:M604"/>
    <mergeCell ref="D605:H605"/>
    <mergeCell ref="I605:M605"/>
    <mergeCell ref="D606:H606"/>
    <mergeCell ref="I606:M606"/>
    <mergeCell ref="D607:H607"/>
    <mergeCell ref="I607:M607"/>
    <mergeCell ref="D608:H608"/>
    <mergeCell ref="I608:M608"/>
    <mergeCell ref="D609:H609"/>
    <mergeCell ref="I609:M609"/>
    <mergeCell ref="D610:H610"/>
    <mergeCell ref="I610:M610"/>
    <mergeCell ref="D611:H611"/>
    <mergeCell ref="I611:M611"/>
    <mergeCell ref="D612:H612"/>
    <mergeCell ref="I612:M612"/>
    <mergeCell ref="D613:H613"/>
    <mergeCell ref="I613:M613"/>
    <mergeCell ref="D614:H614"/>
    <mergeCell ref="I614:M614"/>
    <mergeCell ref="D615:H615"/>
    <mergeCell ref="I615:M615"/>
    <mergeCell ref="D616:H616"/>
    <mergeCell ref="I616:M616"/>
    <mergeCell ref="D617:H617"/>
    <mergeCell ref="I617:M617"/>
    <mergeCell ref="D618:H618"/>
    <mergeCell ref="I618:M618"/>
    <mergeCell ref="D619:H619"/>
    <mergeCell ref="I619:M619"/>
    <mergeCell ref="D620:H620"/>
    <mergeCell ref="I620:M620"/>
    <mergeCell ref="D621:H621"/>
    <mergeCell ref="I621:M621"/>
    <mergeCell ref="D622:H622"/>
    <mergeCell ref="I622:M622"/>
    <mergeCell ref="D623:H623"/>
    <mergeCell ref="I623:M623"/>
    <mergeCell ref="D624:H624"/>
    <mergeCell ref="I624:M624"/>
    <mergeCell ref="D625:H625"/>
    <mergeCell ref="I625:M625"/>
    <mergeCell ref="D626:H626"/>
    <mergeCell ref="I626:M626"/>
    <mergeCell ref="D627:H627"/>
    <mergeCell ref="I627:M627"/>
    <mergeCell ref="D628:H628"/>
    <mergeCell ref="I628:M628"/>
    <mergeCell ref="D629:H629"/>
    <mergeCell ref="I629:M629"/>
    <mergeCell ref="D630:H630"/>
    <mergeCell ref="I630:M630"/>
    <mergeCell ref="D631:H631"/>
    <mergeCell ref="I631:M631"/>
    <mergeCell ref="D632:H632"/>
    <mergeCell ref="I632:M632"/>
    <mergeCell ref="D633:H633"/>
    <mergeCell ref="I633:M633"/>
    <mergeCell ref="D634:H634"/>
    <mergeCell ref="I634:M634"/>
    <mergeCell ref="D635:H635"/>
    <mergeCell ref="I635:M635"/>
    <mergeCell ref="D636:H636"/>
    <mergeCell ref="I636:M636"/>
    <mergeCell ref="D637:H637"/>
    <mergeCell ref="I637:M637"/>
    <mergeCell ref="D638:H638"/>
    <mergeCell ref="I638:M638"/>
    <mergeCell ref="D639:H639"/>
    <mergeCell ref="I639:M639"/>
    <mergeCell ref="D640:H640"/>
    <mergeCell ref="I640:M640"/>
    <mergeCell ref="D641:H641"/>
    <mergeCell ref="I641:M641"/>
    <mergeCell ref="D642:H642"/>
    <mergeCell ref="I642:M642"/>
    <mergeCell ref="D643:H643"/>
    <mergeCell ref="I643:M643"/>
    <mergeCell ref="D644:H644"/>
    <mergeCell ref="I644:M644"/>
    <mergeCell ref="D645:H645"/>
    <mergeCell ref="I645:M645"/>
    <mergeCell ref="D646:H646"/>
    <mergeCell ref="I646:M646"/>
    <mergeCell ref="D647:H647"/>
    <mergeCell ref="I647:M647"/>
    <mergeCell ref="D648:H648"/>
    <mergeCell ref="I648:M648"/>
    <mergeCell ref="D649:H649"/>
    <mergeCell ref="I649:M649"/>
    <mergeCell ref="D650:H650"/>
    <mergeCell ref="I650:M650"/>
    <mergeCell ref="D651:H651"/>
    <mergeCell ref="I651:M651"/>
    <mergeCell ref="D652:H652"/>
    <mergeCell ref="I652:M652"/>
    <mergeCell ref="D653:H653"/>
    <mergeCell ref="I653:M653"/>
    <mergeCell ref="D654:H654"/>
    <mergeCell ref="I654:M654"/>
    <mergeCell ref="D655:H655"/>
    <mergeCell ref="I655:M655"/>
    <mergeCell ref="D656:H656"/>
    <mergeCell ref="I656:M656"/>
    <mergeCell ref="D657:H657"/>
    <mergeCell ref="I657:M657"/>
    <mergeCell ref="D658:H658"/>
    <mergeCell ref="I658:M658"/>
    <mergeCell ref="D659:H659"/>
    <mergeCell ref="I659:M659"/>
    <mergeCell ref="D660:H660"/>
    <mergeCell ref="I660:M660"/>
    <mergeCell ref="D661:H661"/>
    <mergeCell ref="I661:M661"/>
    <mergeCell ref="D662:H662"/>
    <mergeCell ref="I662:M662"/>
    <mergeCell ref="D663:H663"/>
    <mergeCell ref="I663:M663"/>
    <mergeCell ref="D664:H664"/>
    <mergeCell ref="I664:M664"/>
    <mergeCell ref="D665:H665"/>
    <mergeCell ref="I665:M665"/>
    <mergeCell ref="D666:H666"/>
    <mergeCell ref="I666:M666"/>
    <mergeCell ref="D667:H667"/>
    <mergeCell ref="I667:M667"/>
    <mergeCell ref="D668:H668"/>
    <mergeCell ref="I668:M668"/>
    <mergeCell ref="D669:H669"/>
    <mergeCell ref="I669:M669"/>
    <mergeCell ref="D670:H670"/>
    <mergeCell ref="I670:M670"/>
    <mergeCell ref="D671:H671"/>
    <mergeCell ref="I671:M671"/>
    <mergeCell ref="D672:H672"/>
    <mergeCell ref="I672:M672"/>
    <mergeCell ref="D673:H673"/>
    <mergeCell ref="I673:M673"/>
    <mergeCell ref="D674:H674"/>
    <mergeCell ref="I674:M674"/>
    <mergeCell ref="D675:H675"/>
    <mergeCell ref="I675:M675"/>
    <mergeCell ref="D676:H676"/>
    <mergeCell ref="I676:M676"/>
    <mergeCell ref="D677:H677"/>
    <mergeCell ref="I677:M677"/>
    <mergeCell ref="D678:H678"/>
    <mergeCell ref="I678:M678"/>
    <mergeCell ref="D679:H679"/>
    <mergeCell ref="I679:M679"/>
    <mergeCell ref="D680:H680"/>
    <mergeCell ref="I680:M680"/>
    <mergeCell ref="D681:H681"/>
    <mergeCell ref="I681:M681"/>
    <mergeCell ref="D682:H682"/>
    <mergeCell ref="I682:M682"/>
    <mergeCell ref="D683:H683"/>
    <mergeCell ref="I683:M683"/>
    <mergeCell ref="D684:H684"/>
    <mergeCell ref="I684:M684"/>
    <mergeCell ref="D685:H685"/>
    <mergeCell ref="I685:M685"/>
    <mergeCell ref="D686:H686"/>
    <mergeCell ref="I686:M686"/>
    <mergeCell ref="D687:H687"/>
    <mergeCell ref="I687:M687"/>
    <mergeCell ref="D688:H688"/>
    <mergeCell ref="I688:M688"/>
    <mergeCell ref="D689:H689"/>
    <mergeCell ref="I689:M689"/>
    <mergeCell ref="D690:H690"/>
    <mergeCell ref="I690:M690"/>
    <mergeCell ref="D691:H691"/>
    <mergeCell ref="I691:M691"/>
    <mergeCell ref="D692:H692"/>
    <mergeCell ref="I692:M692"/>
    <mergeCell ref="D693:H693"/>
    <mergeCell ref="I693:M693"/>
    <mergeCell ref="D694:H694"/>
    <mergeCell ref="I694:M694"/>
    <mergeCell ref="D695:H695"/>
    <mergeCell ref="I695:M695"/>
    <mergeCell ref="D696:H696"/>
    <mergeCell ref="I696:M696"/>
    <mergeCell ref="D697:H697"/>
    <mergeCell ref="I697:M697"/>
    <mergeCell ref="D698:H698"/>
    <mergeCell ref="I698:M698"/>
    <mergeCell ref="D699:H699"/>
    <mergeCell ref="I699:M699"/>
    <mergeCell ref="D700:H700"/>
    <mergeCell ref="I700:M700"/>
    <mergeCell ref="D701:H701"/>
    <mergeCell ref="I701:M701"/>
    <mergeCell ref="D702:H702"/>
    <mergeCell ref="I702:M702"/>
    <mergeCell ref="D703:H703"/>
    <mergeCell ref="I703:M703"/>
    <mergeCell ref="D704:H704"/>
    <mergeCell ref="I704:M704"/>
    <mergeCell ref="D705:H705"/>
    <mergeCell ref="I705:M705"/>
    <mergeCell ref="D706:H706"/>
    <mergeCell ref="I706:M706"/>
    <mergeCell ref="D707:H707"/>
    <mergeCell ref="I707:M707"/>
    <mergeCell ref="D708:H708"/>
    <mergeCell ref="I708:M708"/>
    <mergeCell ref="D709:H709"/>
    <mergeCell ref="I709:M709"/>
    <mergeCell ref="D710:H710"/>
    <mergeCell ref="I710:M710"/>
    <mergeCell ref="D711:H711"/>
    <mergeCell ref="I711:M711"/>
    <mergeCell ref="D712:H712"/>
    <mergeCell ref="I712:M712"/>
    <mergeCell ref="D713:H713"/>
    <mergeCell ref="I713:M713"/>
    <mergeCell ref="D714:H714"/>
    <mergeCell ref="I714:M714"/>
    <mergeCell ref="D715:H715"/>
    <mergeCell ref="I715:M715"/>
    <mergeCell ref="D716:H716"/>
    <mergeCell ref="I716:M716"/>
    <mergeCell ref="D717:H717"/>
    <mergeCell ref="I717:M717"/>
    <mergeCell ref="D718:H718"/>
    <mergeCell ref="I718:M718"/>
    <mergeCell ref="D719:H719"/>
    <mergeCell ref="I719:M719"/>
    <mergeCell ref="D720:H720"/>
    <mergeCell ref="I720:M720"/>
    <mergeCell ref="D721:H721"/>
    <mergeCell ref="I721:M721"/>
    <mergeCell ref="D722:H722"/>
    <mergeCell ref="I722:M722"/>
    <mergeCell ref="D723:H723"/>
    <mergeCell ref="I723:M723"/>
    <mergeCell ref="D724:H724"/>
    <mergeCell ref="I724:M724"/>
    <mergeCell ref="D725:H725"/>
    <mergeCell ref="I725:M725"/>
    <mergeCell ref="D726:H726"/>
    <mergeCell ref="I726:M726"/>
    <mergeCell ref="D727:H727"/>
    <mergeCell ref="I727:M727"/>
    <mergeCell ref="D728:H728"/>
    <mergeCell ref="I728:M728"/>
    <mergeCell ref="D729:H729"/>
    <mergeCell ref="I729:M729"/>
    <mergeCell ref="D730:H730"/>
    <mergeCell ref="I730:M730"/>
    <mergeCell ref="D731:H731"/>
    <mergeCell ref="I731:M731"/>
    <mergeCell ref="D732:H732"/>
    <mergeCell ref="I732:M732"/>
    <mergeCell ref="D733:H733"/>
    <mergeCell ref="I733:M733"/>
    <mergeCell ref="D734:H734"/>
    <mergeCell ref="I734:M734"/>
    <mergeCell ref="D735:H735"/>
    <mergeCell ref="I735:M735"/>
    <mergeCell ref="D736:H736"/>
    <mergeCell ref="I736:M736"/>
    <mergeCell ref="D737:H737"/>
    <mergeCell ref="I737:M737"/>
    <mergeCell ref="D738:H738"/>
    <mergeCell ref="I738:M738"/>
    <mergeCell ref="D739:H739"/>
    <mergeCell ref="I739:M739"/>
    <mergeCell ref="D740:H740"/>
    <mergeCell ref="I740:M740"/>
    <mergeCell ref="D741:H741"/>
    <mergeCell ref="I741:M741"/>
    <mergeCell ref="D742:H742"/>
    <mergeCell ref="I742:M742"/>
    <mergeCell ref="D743:H743"/>
    <mergeCell ref="I743:M743"/>
    <mergeCell ref="D744:H744"/>
    <mergeCell ref="I744:M744"/>
    <mergeCell ref="D745:H745"/>
    <mergeCell ref="I745:M745"/>
    <mergeCell ref="D746:H746"/>
    <mergeCell ref="I746:M746"/>
    <mergeCell ref="D747:H747"/>
    <mergeCell ref="I747:M747"/>
    <mergeCell ref="D748:H748"/>
    <mergeCell ref="I748:M748"/>
    <mergeCell ref="D749:H749"/>
    <mergeCell ref="I749:M749"/>
    <mergeCell ref="D750:H750"/>
    <mergeCell ref="I750:M750"/>
    <mergeCell ref="D751:H751"/>
    <mergeCell ref="I751:M751"/>
    <mergeCell ref="D752:H752"/>
    <mergeCell ref="I752:M752"/>
    <mergeCell ref="D753:H753"/>
    <mergeCell ref="I753:M753"/>
    <mergeCell ref="D754:H754"/>
    <mergeCell ref="I754:M754"/>
    <mergeCell ref="D755:H755"/>
    <mergeCell ref="I755:M755"/>
    <mergeCell ref="D756:H756"/>
    <mergeCell ref="I756:M756"/>
    <mergeCell ref="D757:H757"/>
    <mergeCell ref="I757:M757"/>
    <mergeCell ref="D758:H758"/>
    <mergeCell ref="I758:M758"/>
    <mergeCell ref="D759:H759"/>
    <mergeCell ref="I759:M759"/>
    <mergeCell ref="D760:H760"/>
    <mergeCell ref="I760:M760"/>
    <mergeCell ref="D761:H761"/>
    <mergeCell ref="I761:M761"/>
    <mergeCell ref="D762:H762"/>
    <mergeCell ref="I762:M762"/>
    <mergeCell ref="D763:H763"/>
    <mergeCell ref="I763:M763"/>
    <mergeCell ref="D764:H764"/>
    <mergeCell ref="I764:M764"/>
    <mergeCell ref="D765:H765"/>
    <mergeCell ref="I765:M765"/>
    <mergeCell ref="D766:H766"/>
    <mergeCell ref="I766:M766"/>
    <mergeCell ref="D767:H767"/>
    <mergeCell ref="I767:M767"/>
    <mergeCell ref="D768:H768"/>
    <mergeCell ref="I768:M768"/>
    <mergeCell ref="D769:H769"/>
    <mergeCell ref="I769:M769"/>
    <mergeCell ref="D770:H770"/>
    <mergeCell ref="I770:M770"/>
    <mergeCell ref="D771:H771"/>
    <mergeCell ref="I771:M771"/>
    <mergeCell ref="D772:H772"/>
    <mergeCell ref="I772:M772"/>
    <mergeCell ref="D773:H773"/>
    <mergeCell ref="I773:M773"/>
    <mergeCell ref="D774:H774"/>
    <mergeCell ref="I774:M774"/>
    <mergeCell ref="D775:H775"/>
    <mergeCell ref="I775:M775"/>
    <mergeCell ref="D776:H776"/>
    <mergeCell ref="I776:M776"/>
    <mergeCell ref="D777:H777"/>
    <mergeCell ref="I777:M777"/>
    <mergeCell ref="D778:H778"/>
    <mergeCell ref="I778:M778"/>
    <mergeCell ref="D779:H779"/>
    <mergeCell ref="I779:M779"/>
    <mergeCell ref="D780:H780"/>
    <mergeCell ref="I780:M780"/>
    <mergeCell ref="D781:H781"/>
    <mergeCell ref="I781:M781"/>
    <mergeCell ref="D782:H782"/>
    <mergeCell ref="I782:M782"/>
    <mergeCell ref="D783:H783"/>
    <mergeCell ref="I783:M783"/>
    <mergeCell ref="D784:H784"/>
    <mergeCell ref="I784:M784"/>
    <mergeCell ref="D785:H785"/>
    <mergeCell ref="I785:M785"/>
    <mergeCell ref="D786:H786"/>
    <mergeCell ref="I786:M786"/>
    <mergeCell ref="D787:H787"/>
    <mergeCell ref="I787:M787"/>
    <mergeCell ref="D788:H788"/>
    <mergeCell ref="I788:M788"/>
    <mergeCell ref="D789:H789"/>
    <mergeCell ref="I789:M789"/>
    <mergeCell ref="D790:H790"/>
    <mergeCell ref="I790:M790"/>
    <mergeCell ref="D791:H791"/>
    <mergeCell ref="I791:M791"/>
    <mergeCell ref="D792:H792"/>
    <mergeCell ref="I792:M792"/>
    <mergeCell ref="D793:H793"/>
    <mergeCell ref="I793:M793"/>
    <mergeCell ref="D794:H794"/>
    <mergeCell ref="I794:M794"/>
    <mergeCell ref="D795:H795"/>
    <mergeCell ref="I795:M795"/>
    <mergeCell ref="D796:H796"/>
    <mergeCell ref="I796:M796"/>
    <mergeCell ref="D797:H797"/>
    <mergeCell ref="I797:M797"/>
    <mergeCell ref="D798:H798"/>
    <mergeCell ref="I798:M798"/>
    <mergeCell ref="D799:H799"/>
    <mergeCell ref="I799:M799"/>
    <mergeCell ref="D800:H800"/>
    <mergeCell ref="I800:M800"/>
    <mergeCell ref="D801:H801"/>
    <mergeCell ref="I801:M801"/>
    <mergeCell ref="D802:H802"/>
    <mergeCell ref="I802:M802"/>
    <mergeCell ref="D803:H803"/>
    <mergeCell ref="I803:M803"/>
    <mergeCell ref="D804:H804"/>
    <mergeCell ref="I804:M804"/>
    <mergeCell ref="D805:H805"/>
    <mergeCell ref="I805:M805"/>
    <mergeCell ref="D806:H806"/>
    <mergeCell ref="I806:M806"/>
    <mergeCell ref="D807:H807"/>
    <mergeCell ref="I807:M807"/>
    <mergeCell ref="D808:H808"/>
    <mergeCell ref="I808:M808"/>
    <mergeCell ref="D809:H809"/>
    <mergeCell ref="I809:M809"/>
    <mergeCell ref="D810:H810"/>
    <mergeCell ref="I810:M810"/>
    <mergeCell ref="D811:H811"/>
    <mergeCell ref="I811:M811"/>
    <mergeCell ref="D812:H812"/>
    <mergeCell ref="I812:M812"/>
    <mergeCell ref="D813:H813"/>
    <mergeCell ref="I813:M813"/>
    <mergeCell ref="D814:H814"/>
    <mergeCell ref="I814:M814"/>
    <mergeCell ref="D815:H815"/>
    <mergeCell ref="I815:M815"/>
    <mergeCell ref="D816:H816"/>
    <mergeCell ref="I816:M816"/>
    <mergeCell ref="D817:H817"/>
    <mergeCell ref="I817:M817"/>
    <mergeCell ref="D818:H818"/>
    <mergeCell ref="I818:M818"/>
    <mergeCell ref="D819:H819"/>
    <mergeCell ref="I819:M819"/>
    <mergeCell ref="D820:H820"/>
    <mergeCell ref="I820:M820"/>
    <mergeCell ref="D821:H821"/>
    <mergeCell ref="I821:M821"/>
    <mergeCell ref="D822:H822"/>
    <mergeCell ref="I822:M822"/>
    <mergeCell ref="D823:H823"/>
    <mergeCell ref="I823:M823"/>
    <mergeCell ref="D824:H824"/>
    <mergeCell ref="I824:M824"/>
    <mergeCell ref="D825:H825"/>
    <mergeCell ref="I825:M825"/>
    <mergeCell ref="D826:H826"/>
    <mergeCell ref="I826:M826"/>
    <mergeCell ref="D827:H827"/>
    <mergeCell ref="I827:M827"/>
    <mergeCell ref="D828:H828"/>
    <mergeCell ref="I828:M828"/>
    <mergeCell ref="D829:H829"/>
    <mergeCell ref="I829:M829"/>
    <mergeCell ref="D830:H830"/>
    <mergeCell ref="I830:M830"/>
    <mergeCell ref="D831:H831"/>
    <mergeCell ref="I831:M831"/>
    <mergeCell ref="D832:H832"/>
    <mergeCell ref="I832:M832"/>
    <mergeCell ref="D833:H833"/>
    <mergeCell ref="I833:M833"/>
    <mergeCell ref="D834:H834"/>
    <mergeCell ref="I834:M834"/>
    <mergeCell ref="D835:H835"/>
    <mergeCell ref="I835:M835"/>
    <mergeCell ref="D836:H836"/>
    <mergeCell ref="I836:M836"/>
    <mergeCell ref="D837:H837"/>
    <mergeCell ref="I837:M837"/>
    <mergeCell ref="D838:H838"/>
    <mergeCell ref="I838:M838"/>
    <mergeCell ref="D839:H839"/>
    <mergeCell ref="I839:M839"/>
    <mergeCell ref="D840:H840"/>
    <mergeCell ref="I840:M840"/>
    <mergeCell ref="D841:H841"/>
    <mergeCell ref="I841:M841"/>
    <mergeCell ref="D842:H842"/>
    <mergeCell ref="I842:M842"/>
    <mergeCell ref="D843:H843"/>
    <mergeCell ref="I843:M843"/>
    <mergeCell ref="D844:H844"/>
    <mergeCell ref="I844:M844"/>
    <mergeCell ref="D845:H845"/>
    <mergeCell ref="I845:M845"/>
    <mergeCell ref="D846:H846"/>
    <mergeCell ref="I846:M846"/>
    <mergeCell ref="D847:H847"/>
    <mergeCell ref="I847:M847"/>
    <mergeCell ref="D848:H848"/>
    <mergeCell ref="I848:M848"/>
    <mergeCell ref="D849:H849"/>
    <mergeCell ref="I849:M849"/>
    <mergeCell ref="D850:H850"/>
    <mergeCell ref="I850:M850"/>
    <mergeCell ref="D851:H851"/>
    <mergeCell ref="I851:M851"/>
    <mergeCell ref="D852:H852"/>
    <mergeCell ref="I852:M852"/>
    <mergeCell ref="D853:H853"/>
    <mergeCell ref="I853:M853"/>
    <mergeCell ref="D854:H854"/>
    <mergeCell ref="I854:M854"/>
    <mergeCell ref="D855:H855"/>
    <mergeCell ref="I855:M855"/>
    <mergeCell ref="D856:H856"/>
    <mergeCell ref="I856:M856"/>
    <mergeCell ref="D857:H857"/>
    <mergeCell ref="I857:M857"/>
    <mergeCell ref="D858:H858"/>
    <mergeCell ref="I858:M858"/>
    <mergeCell ref="D859:H859"/>
    <mergeCell ref="I859:M859"/>
    <mergeCell ref="D860:H860"/>
    <mergeCell ref="I860:M860"/>
    <mergeCell ref="D861:H861"/>
    <mergeCell ref="I861:M861"/>
    <mergeCell ref="D862:H862"/>
    <mergeCell ref="I862:M862"/>
    <mergeCell ref="D863:H863"/>
    <mergeCell ref="I863:M863"/>
    <mergeCell ref="D864:H864"/>
    <mergeCell ref="I864:M864"/>
    <mergeCell ref="D865:H865"/>
    <mergeCell ref="I865:M865"/>
    <mergeCell ref="D866:H866"/>
    <mergeCell ref="I866:M866"/>
    <mergeCell ref="D867:H867"/>
    <mergeCell ref="I867:M867"/>
    <mergeCell ref="D868:H868"/>
    <mergeCell ref="I868:M868"/>
    <mergeCell ref="D869:H869"/>
    <mergeCell ref="I869:M869"/>
    <mergeCell ref="D870:H870"/>
    <mergeCell ref="I870:M870"/>
    <mergeCell ref="D871:H871"/>
    <mergeCell ref="I871:M871"/>
    <mergeCell ref="D872:H872"/>
    <mergeCell ref="I872:M872"/>
    <mergeCell ref="D873:H873"/>
    <mergeCell ref="I873:M873"/>
    <mergeCell ref="D874:H874"/>
    <mergeCell ref="I874:M874"/>
    <mergeCell ref="D875:H875"/>
    <mergeCell ref="I875:M875"/>
    <mergeCell ref="D876:H876"/>
    <mergeCell ref="I876:M876"/>
    <mergeCell ref="D877:H877"/>
    <mergeCell ref="I877:M877"/>
    <mergeCell ref="D878:H878"/>
    <mergeCell ref="I878:M878"/>
    <mergeCell ref="D879:H879"/>
    <mergeCell ref="I879:M879"/>
    <mergeCell ref="D880:H880"/>
    <mergeCell ref="I880:M880"/>
    <mergeCell ref="D881:H881"/>
    <mergeCell ref="I881:M881"/>
    <mergeCell ref="D882:H882"/>
    <mergeCell ref="I882:M882"/>
    <mergeCell ref="D883:H883"/>
    <mergeCell ref="I883:M883"/>
    <mergeCell ref="D884:H884"/>
    <mergeCell ref="I884:M884"/>
    <mergeCell ref="D885:H885"/>
    <mergeCell ref="I885:M885"/>
    <mergeCell ref="D886:H886"/>
    <mergeCell ref="I886:M886"/>
    <mergeCell ref="D887:H887"/>
    <mergeCell ref="I887:M887"/>
    <mergeCell ref="D888:H888"/>
    <mergeCell ref="I888:M888"/>
    <mergeCell ref="D889:H889"/>
    <mergeCell ref="I889:M889"/>
    <mergeCell ref="D890:H890"/>
    <mergeCell ref="I890:M890"/>
    <mergeCell ref="D891:H891"/>
    <mergeCell ref="I891:M891"/>
    <mergeCell ref="D892:H892"/>
    <mergeCell ref="I892:M892"/>
    <mergeCell ref="D893:H893"/>
    <mergeCell ref="I893:M893"/>
    <mergeCell ref="D894:H894"/>
    <mergeCell ref="I894:M894"/>
    <mergeCell ref="D895:H895"/>
    <mergeCell ref="I895:M895"/>
    <mergeCell ref="D896:H896"/>
    <mergeCell ref="I896:M896"/>
    <mergeCell ref="D897:H897"/>
    <mergeCell ref="I897:M897"/>
    <mergeCell ref="D898:H898"/>
    <mergeCell ref="I898:M898"/>
    <mergeCell ref="D899:H899"/>
    <mergeCell ref="I899:M899"/>
    <mergeCell ref="D900:H900"/>
    <mergeCell ref="I900:M900"/>
    <mergeCell ref="D901:H901"/>
    <mergeCell ref="I901:M901"/>
    <mergeCell ref="D902:H902"/>
    <mergeCell ref="I902:M902"/>
    <mergeCell ref="D903:H903"/>
    <mergeCell ref="I903:M903"/>
    <mergeCell ref="D904:H904"/>
    <mergeCell ref="I904:M904"/>
    <mergeCell ref="D905:H905"/>
    <mergeCell ref="I905:M905"/>
    <mergeCell ref="D906:H906"/>
    <mergeCell ref="I906:M906"/>
    <mergeCell ref="D907:H907"/>
    <mergeCell ref="I907:M907"/>
    <mergeCell ref="D908:H908"/>
    <mergeCell ref="I908:M908"/>
    <mergeCell ref="D909:H909"/>
    <mergeCell ref="I909:M909"/>
    <mergeCell ref="D910:H910"/>
    <mergeCell ref="I910:M910"/>
    <mergeCell ref="D911:H911"/>
    <mergeCell ref="I911:M911"/>
    <mergeCell ref="D912:H912"/>
    <mergeCell ref="I912:M912"/>
    <mergeCell ref="D913:H913"/>
    <mergeCell ref="I913:M913"/>
    <mergeCell ref="D914:H914"/>
    <mergeCell ref="I914:M914"/>
    <mergeCell ref="D915:H915"/>
    <mergeCell ref="I915:M915"/>
    <mergeCell ref="D916:H916"/>
    <mergeCell ref="I916:M916"/>
    <mergeCell ref="D917:H917"/>
    <mergeCell ref="I917:M917"/>
    <mergeCell ref="D918:H918"/>
    <mergeCell ref="I918:M918"/>
    <mergeCell ref="D919:H919"/>
    <mergeCell ref="I919:M919"/>
    <mergeCell ref="D920:H920"/>
    <mergeCell ref="I920:M920"/>
    <mergeCell ref="D921:H921"/>
    <mergeCell ref="I921:M921"/>
    <mergeCell ref="D922:H922"/>
    <mergeCell ref="I922:M922"/>
    <mergeCell ref="D923:H923"/>
    <mergeCell ref="I923:M923"/>
    <mergeCell ref="D924:H924"/>
    <mergeCell ref="I924:M924"/>
    <mergeCell ref="D925:H925"/>
    <mergeCell ref="I925:M925"/>
    <mergeCell ref="D926:H926"/>
    <mergeCell ref="I926:M926"/>
    <mergeCell ref="D927:H927"/>
    <mergeCell ref="I927:M927"/>
    <mergeCell ref="D928:H928"/>
    <mergeCell ref="I928:M928"/>
    <mergeCell ref="D929:H929"/>
    <mergeCell ref="I929:M929"/>
    <mergeCell ref="D930:H930"/>
    <mergeCell ref="I930:M930"/>
    <mergeCell ref="D931:H931"/>
    <mergeCell ref="I931:M931"/>
    <mergeCell ref="D932:H932"/>
    <mergeCell ref="I932:M932"/>
    <mergeCell ref="D933:H933"/>
    <mergeCell ref="I933:M933"/>
    <mergeCell ref="D934:H934"/>
    <mergeCell ref="I934:M934"/>
    <mergeCell ref="D935:H935"/>
    <mergeCell ref="I935:M935"/>
    <mergeCell ref="D936:H936"/>
    <mergeCell ref="I936:M936"/>
    <mergeCell ref="D937:H937"/>
    <mergeCell ref="I937:M937"/>
    <mergeCell ref="D938:H938"/>
    <mergeCell ref="I938:M938"/>
    <mergeCell ref="D939:H939"/>
    <mergeCell ref="I939:M939"/>
    <mergeCell ref="D940:H940"/>
    <mergeCell ref="I940:M940"/>
    <mergeCell ref="D941:H941"/>
    <mergeCell ref="I941:M941"/>
    <mergeCell ref="D942:H942"/>
    <mergeCell ref="I942:M942"/>
    <mergeCell ref="D943:H943"/>
    <mergeCell ref="I943:M943"/>
    <mergeCell ref="D944:H944"/>
    <mergeCell ref="I944:M944"/>
    <mergeCell ref="D945:H945"/>
    <mergeCell ref="I945:M945"/>
    <mergeCell ref="D946:H946"/>
    <mergeCell ref="I946:M946"/>
    <mergeCell ref="D947:H947"/>
    <mergeCell ref="I947:M947"/>
    <mergeCell ref="D948:H948"/>
    <mergeCell ref="I948:M948"/>
    <mergeCell ref="D949:H949"/>
    <mergeCell ref="I949:M949"/>
    <mergeCell ref="D950:H950"/>
    <mergeCell ref="I950:M950"/>
    <mergeCell ref="D951:H951"/>
    <mergeCell ref="I951:M951"/>
    <mergeCell ref="D952:H952"/>
    <mergeCell ref="I952:M952"/>
    <mergeCell ref="D953:H953"/>
    <mergeCell ref="I953:M953"/>
    <mergeCell ref="D954:H954"/>
    <mergeCell ref="I954:M954"/>
    <mergeCell ref="D955:H955"/>
    <mergeCell ref="I955:M955"/>
    <mergeCell ref="D956:H956"/>
    <mergeCell ref="I956:M956"/>
    <mergeCell ref="D957:H957"/>
    <mergeCell ref="I957:M957"/>
    <mergeCell ref="D958:H958"/>
    <mergeCell ref="I958:M958"/>
    <mergeCell ref="D959:H959"/>
    <mergeCell ref="I959:M959"/>
    <mergeCell ref="D960:H960"/>
    <mergeCell ref="I960:M960"/>
    <mergeCell ref="D961:H961"/>
    <mergeCell ref="I961:M961"/>
    <mergeCell ref="D962:H962"/>
    <mergeCell ref="I962:M962"/>
    <mergeCell ref="D963:H963"/>
    <mergeCell ref="I963:M963"/>
    <mergeCell ref="D964:H964"/>
    <mergeCell ref="I964:M964"/>
    <mergeCell ref="D965:H965"/>
    <mergeCell ref="I965:M965"/>
    <mergeCell ref="D966:H966"/>
    <mergeCell ref="I966:M966"/>
    <mergeCell ref="D967:H967"/>
    <mergeCell ref="I967:M967"/>
    <mergeCell ref="D968:H968"/>
    <mergeCell ref="I968:M968"/>
    <mergeCell ref="D969:H969"/>
    <mergeCell ref="I969:M969"/>
    <mergeCell ref="D970:H970"/>
    <mergeCell ref="I970:M970"/>
    <mergeCell ref="D971:H971"/>
    <mergeCell ref="I971:M971"/>
    <mergeCell ref="D972:H972"/>
    <mergeCell ref="I972:M972"/>
    <mergeCell ref="D973:H973"/>
    <mergeCell ref="I973:M973"/>
    <mergeCell ref="D974:H974"/>
    <mergeCell ref="I974:M974"/>
    <mergeCell ref="D975:H975"/>
    <mergeCell ref="I975:M975"/>
    <mergeCell ref="D976:H976"/>
    <mergeCell ref="I976:M976"/>
    <mergeCell ref="D977:H977"/>
    <mergeCell ref="I977:M977"/>
    <mergeCell ref="D978:H978"/>
    <mergeCell ref="I978:M978"/>
    <mergeCell ref="D979:H979"/>
    <mergeCell ref="I979:M979"/>
    <mergeCell ref="D980:H980"/>
    <mergeCell ref="I980:M980"/>
    <mergeCell ref="D981:H981"/>
    <mergeCell ref="I981:M981"/>
    <mergeCell ref="D982:H982"/>
    <mergeCell ref="I982:M982"/>
    <mergeCell ref="D983:H983"/>
    <mergeCell ref="I983:M983"/>
    <mergeCell ref="D984:H984"/>
    <mergeCell ref="I984:M984"/>
    <mergeCell ref="D985:H985"/>
    <mergeCell ref="I985:M985"/>
    <mergeCell ref="D986:H986"/>
    <mergeCell ref="I986:M986"/>
    <mergeCell ref="D987:H987"/>
    <mergeCell ref="I987:M987"/>
    <mergeCell ref="D988:H988"/>
    <mergeCell ref="I988:M988"/>
    <mergeCell ref="D989:H989"/>
    <mergeCell ref="I989:M989"/>
    <mergeCell ref="D990:H990"/>
    <mergeCell ref="I990:M990"/>
    <mergeCell ref="D991:H991"/>
    <mergeCell ref="I991:M991"/>
    <mergeCell ref="D992:H992"/>
    <mergeCell ref="I992:M992"/>
    <mergeCell ref="D993:H993"/>
    <mergeCell ref="I993:M993"/>
    <mergeCell ref="D994:H994"/>
    <mergeCell ref="I994:M994"/>
    <mergeCell ref="D995:H995"/>
    <mergeCell ref="I995:M995"/>
    <mergeCell ref="D996:H996"/>
    <mergeCell ref="I996:M996"/>
    <mergeCell ref="D997:H997"/>
    <mergeCell ref="I997:M997"/>
    <mergeCell ref="D998:H998"/>
    <mergeCell ref="I998:M998"/>
    <mergeCell ref="D999:H999"/>
    <mergeCell ref="I999:M999"/>
    <mergeCell ref="D1000:H1000"/>
    <mergeCell ref="I1000:M1000"/>
  </mergeCell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0" showOutlineSymbols="1"/>
    <pageSetUpPr autoPageBreaks="1" fitToPage="0"/>
  </sheetPr>
  <sheetViews>
    <sheetView topLeftCell="A41" zoomScale="100" workbookViewId="0">
      <selection activeCell="A1" activeCellId="0" sqref="A1"/>
    </sheetView>
  </sheetViews>
  <sheetFormatPr defaultColWidth="12.630000000000001" defaultRowHeight="15.75" customHeight="1"/>
  <cols>
    <col customWidth="1" min="1" max="1" width="36.5"/>
    <col customWidth="1" min="11" max="16" width="12.630000000000001"/>
  </cols>
  <sheetData>
    <row r="1">
      <c r="A1" s="5"/>
      <c r="B1" s="43" t="s">
        <v>322</v>
      </c>
      <c r="C1" s="43" t="s">
        <v>323</v>
      </c>
      <c r="D1" s="44">
        <f>sum(D2:D21)</f>
        <v>515000000</v>
      </c>
      <c r="E1" s="45" t="s">
        <v>324</v>
      </c>
      <c r="F1" s="45" t="s">
        <v>323</v>
      </c>
      <c r="G1" s="46">
        <f>sum(G2:G21)</f>
        <v>1000000</v>
      </c>
      <c r="H1" s="25" t="s">
        <v>325</v>
      </c>
      <c r="I1" s="25" t="s">
        <v>323</v>
      </c>
      <c r="J1" s="47">
        <f>sum(J2:J14)</f>
        <v>1000000</v>
      </c>
      <c r="K1" s="48" t="s">
        <v>326</v>
      </c>
      <c r="L1" s="49" t="str">
        <f>CONCATENATE(B1," - ",D1)</f>
        <v xml:space="preserve">Winning Team - 515000000</v>
      </c>
      <c r="M1" s="49" t="str">
        <f>CONCATENATE(E1," - ",G1)</f>
        <v xml:space="preserve">MVP - 1000000</v>
      </c>
      <c r="N1" s="49" t="str">
        <f>CONCATENATE(H1," - ",J1)</f>
        <v xml:space="preserve">PotG - 1000000</v>
      </c>
      <c r="O1" s="49" t="str">
        <f>CONCATENATE(H15," - ",J15)</f>
        <v xml:space="preserve">Flub of the Game - 0</v>
      </c>
      <c r="P1" s="48" t="s">
        <v>327</v>
      </c>
    </row>
    <row r="2">
      <c r="A2" s="4"/>
      <c r="B2" s="50"/>
      <c r="C2" s="50" t="s">
        <v>328</v>
      </c>
      <c r="D2" s="51">
        <v>500000000</v>
      </c>
      <c r="E2" s="52"/>
      <c r="F2" s="52" t="s">
        <v>165</v>
      </c>
      <c r="G2" s="53">
        <v>1000000</v>
      </c>
      <c r="H2" s="54"/>
      <c r="I2" s="54" t="s">
        <v>165</v>
      </c>
      <c r="J2" s="55">
        <v>1000000</v>
      </c>
      <c r="K2" s="56">
        <f>sum(D24:D53,J15,J1,G1,D1)</f>
        <v>555666666</v>
      </c>
      <c r="L2" s="56" t="str">
        <f>JOIN(" - ",C2,D2)")," -</f>
        <v>#NAME?</v>
      </c>
      <c r="M2" s="56" t="str">
        <f t="shared" ref="M2:M21" si="0">CONCATENATE(F2," - ",G2)</f>
        <v xml:space="preserve">Nehtaro - 1000000</v>
      </c>
      <c r="N2" s="56" t="str">
        <f t="shared" ref="N2:N14" si="1">CONCATENATE(I2," - ",J2)</f>
        <v xml:space="preserve">Nehtaro - 1000000</v>
      </c>
      <c r="O2" s="56" t="str">
        <f t="shared" ref="O2:O7" si="2">CONCATENATE(I16," - ",J16)</f>
        <v>-</v>
      </c>
      <c r="P2" s="56" t="str">
        <f t="shared" ref="P2:P31" si="3">CONCATENATE(C24," - ",D24)</f>
        <v xml:space="preserve">armistice - 5000000</v>
      </c>
    </row>
    <row r="3" ht="1.5" customHeight="1">
      <c r="A3" s="4"/>
      <c r="B3" s="50"/>
      <c r="C3" s="50"/>
      <c r="D3" s="50"/>
      <c r="E3" s="52"/>
      <c r="F3" s="52"/>
      <c r="G3" s="52"/>
      <c r="H3" s="54"/>
      <c r="I3" s="54"/>
      <c r="J3" s="54"/>
      <c r="K3" s="57"/>
      <c r="L3" s="56" t="str">
        <f t="shared" ref="L3:L9" si="4">JOIN(" - ",C2,D2)")," -</f>
        <v>-</v>
      </c>
      <c r="M3" s="56" t="str">
        <f t="shared" si="0"/>
        <v>-</v>
      </c>
      <c r="N3" s="56" t="str">
        <f t="shared" si="1"/>
        <v>-</v>
      </c>
      <c r="O3" s="56" t="str">
        <f t="shared" si="2"/>
        <v>-</v>
      </c>
      <c r="P3" s="56" t="str">
        <f t="shared" si="3"/>
        <v xml:space="preserve">armistice - 5000000</v>
      </c>
    </row>
    <row r="4">
      <c r="A4" s="4"/>
      <c r="B4" s="50"/>
      <c r="C4" s="50" t="s">
        <v>165</v>
      </c>
      <c r="D4" s="51">
        <v>5000000</v>
      </c>
      <c r="E4" s="52"/>
      <c r="F4" s="52"/>
      <c r="G4" s="52"/>
      <c r="H4" s="54"/>
      <c r="I4" s="54"/>
      <c r="J4" s="54"/>
      <c r="K4" s="57"/>
      <c r="L4" s="56" t="str">
        <f t="shared" si="4"/>
        <v>-</v>
      </c>
      <c r="M4" s="56" t="str">
        <f t="shared" si="0"/>
        <v>-</v>
      </c>
      <c r="N4" s="56" t="str">
        <f t="shared" si="1"/>
        <v>-</v>
      </c>
      <c r="O4" s="56" t="str">
        <f t="shared" si="2"/>
        <v>-</v>
      </c>
      <c r="P4" s="56" t="str">
        <f t="shared" si="3"/>
        <v xml:space="preserve"> - </v>
      </c>
    </row>
    <row r="5">
      <c r="A5" s="4"/>
      <c r="B5" s="50"/>
      <c r="C5" s="50" t="s">
        <v>117</v>
      </c>
      <c r="D5" s="51">
        <v>10000000</v>
      </c>
      <c r="E5" s="58"/>
      <c r="F5" s="52"/>
      <c r="G5" s="52"/>
      <c r="H5" s="59"/>
      <c r="I5" s="54"/>
      <c r="J5" s="54"/>
      <c r="K5" s="57"/>
      <c r="L5" s="56" t="str">
        <f t="shared" si="4"/>
        <v>-</v>
      </c>
      <c r="M5" s="56" t="str">
        <f t="shared" si="0"/>
        <v>-</v>
      </c>
      <c r="N5" s="56" t="str">
        <f t="shared" si="1"/>
        <v>-</v>
      </c>
      <c r="O5" s="56" t="str">
        <f t="shared" si="2"/>
        <v>-</v>
      </c>
      <c r="P5" s="56" t="str">
        <f t="shared" si="3"/>
        <v xml:space="preserve">Nehtaro - 1000000</v>
      </c>
    </row>
    <row r="6">
      <c r="A6" s="20"/>
      <c r="B6" s="60"/>
      <c r="C6" s="50"/>
      <c r="D6" s="50"/>
      <c r="E6" s="58"/>
      <c r="F6" s="52"/>
      <c r="G6" s="52"/>
      <c r="H6" s="59"/>
      <c r="I6" s="54"/>
      <c r="J6" s="54"/>
      <c r="K6" s="57"/>
      <c r="L6" s="56" t="str">
        <f t="shared" si="4"/>
        <v>-</v>
      </c>
      <c r="M6" s="56" t="str">
        <f t="shared" si="0"/>
        <v>-</v>
      </c>
      <c r="N6" s="56" t="str">
        <f t="shared" si="1"/>
        <v>-</v>
      </c>
      <c r="O6" s="56" t="str">
        <f t="shared" si="2"/>
        <v>-</v>
      </c>
      <c r="P6" s="56" t="str">
        <f t="shared" si="3"/>
        <v xml:space="preserve">Flatline - 1000000</v>
      </c>
    </row>
    <row r="7">
      <c r="A7" s="4"/>
      <c r="B7" s="50"/>
      <c r="C7" s="50"/>
      <c r="D7" s="50"/>
      <c r="E7" s="58"/>
      <c r="F7" s="58"/>
      <c r="G7" s="58"/>
      <c r="H7" s="59"/>
      <c r="I7" s="59"/>
      <c r="J7" s="59"/>
      <c r="K7" s="57"/>
      <c r="L7" s="56" t="str">
        <f t="shared" si="4"/>
        <v>-</v>
      </c>
      <c r="M7" s="56" t="str">
        <f t="shared" si="0"/>
        <v>-</v>
      </c>
      <c r="N7" s="56" t="str">
        <f t="shared" si="1"/>
        <v>-</v>
      </c>
      <c r="O7" s="56" t="str">
        <f t="shared" si="2"/>
        <v>-</v>
      </c>
      <c r="P7" s="56" t="str">
        <f t="shared" si="3"/>
        <v xml:space="preserve">Flatline - 500000</v>
      </c>
    </row>
    <row r="8">
      <c r="A8" s="4"/>
      <c r="B8" s="50"/>
      <c r="C8" s="50"/>
      <c r="D8" s="50"/>
      <c r="E8" s="58"/>
      <c r="F8" s="58"/>
      <c r="G8" s="58"/>
      <c r="H8" s="59"/>
      <c r="I8" s="59"/>
      <c r="J8" s="59"/>
      <c r="K8" s="57"/>
      <c r="L8" s="56" t="str">
        <f t="shared" si="4"/>
        <v>-</v>
      </c>
      <c r="M8" s="56" t="str">
        <f t="shared" si="0"/>
        <v>-</v>
      </c>
      <c r="N8" s="56" t="str">
        <f t="shared" si="1"/>
        <v>-</v>
      </c>
      <c r="O8" s="57"/>
      <c r="P8" s="56" t="str">
        <f t="shared" si="3"/>
        <v xml:space="preserve">Flatline - 500000</v>
      </c>
    </row>
    <row r="9">
      <c r="A9" s="20"/>
      <c r="B9" s="60"/>
      <c r="C9" s="60"/>
      <c r="D9" s="60"/>
      <c r="E9" s="58"/>
      <c r="F9" s="58"/>
      <c r="G9" s="58"/>
      <c r="H9" s="59"/>
      <c r="I9" s="59"/>
      <c r="J9" s="59"/>
      <c r="K9" s="57"/>
      <c r="L9" s="56" t="str">
        <f t="shared" si="4"/>
        <v>-</v>
      </c>
      <c r="M9" s="56" t="str">
        <f t="shared" si="0"/>
        <v>-</v>
      </c>
      <c r="N9" s="56" t="str">
        <f t="shared" si="1"/>
        <v>-</v>
      </c>
      <c r="O9" s="57"/>
      <c r="P9" s="56" t="str">
        <f t="shared" si="3"/>
        <v xml:space="preserve">dyno10 - 666666</v>
      </c>
    </row>
    <row r="10">
      <c r="A10" s="20"/>
      <c r="B10" s="60"/>
      <c r="C10" s="60"/>
      <c r="D10" s="60"/>
      <c r="E10" s="58"/>
      <c r="F10" s="58"/>
      <c r="G10" s="58"/>
      <c r="H10" s="59"/>
      <c r="I10" s="59"/>
      <c r="J10" s="59"/>
      <c r="K10" s="57"/>
      <c r="L10" s="56" t="str">
        <f>JOIN(" - ",C10,D10)")," -</f>
        <v>#NAME?</v>
      </c>
      <c r="M10" s="56" t="str">
        <f t="shared" si="0"/>
        <v>-</v>
      </c>
      <c r="N10" s="56" t="str">
        <f t="shared" si="1"/>
        <v>-</v>
      </c>
      <c r="O10" s="57"/>
      <c r="P10" s="56" t="str">
        <f t="shared" si="3"/>
        <v xml:space="preserve">shogunsama - 10000000</v>
      </c>
    </row>
    <row r="11">
      <c r="A11" s="20"/>
      <c r="B11" s="60"/>
      <c r="C11" s="60"/>
      <c r="D11" s="60"/>
      <c r="E11" s="52"/>
      <c r="F11" s="58"/>
      <c r="G11" s="58"/>
      <c r="H11" s="59"/>
      <c r="I11" s="59"/>
      <c r="J11" s="59"/>
      <c r="K11" s="57"/>
      <c r="L11" s="56" t="str">
        <f t="shared" ref="L11:L21" si="5">JOIN(" - ",C10,D10)")," -</f>
        <v>-</v>
      </c>
      <c r="M11" s="56" t="str">
        <f t="shared" si="0"/>
        <v>-</v>
      </c>
      <c r="N11" s="56" t="str">
        <f t="shared" si="1"/>
        <v>-</v>
      </c>
      <c r="O11" s="57"/>
      <c r="P11" s="56" t="str">
        <f t="shared" si="3"/>
        <v xml:space="preserve">veecou - 500000</v>
      </c>
    </row>
    <row r="12">
      <c r="A12" s="20"/>
      <c r="B12" s="60"/>
      <c r="C12" s="60"/>
      <c r="D12" s="60"/>
      <c r="E12" s="52"/>
      <c r="F12" s="58"/>
      <c r="G12" s="58"/>
      <c r="H12" s="59"/>
      <c r="I12" s="59"/>
      <c r="J12" s="59"/>
      <c r="K12" s="57"/>
      <c r="L12" s="56" t="str">
        <f t="shared" si="5"/>
        <v>-</v>
      </c>
      <c r="M12" s="56" t="str">
        <f t="shared" si="0"/>
        <v>-</v>
      </c>
      <c r="N12" s="56" t="str">
        <f t="shared" si="1"/>
        <v>-</v>
      </c>
      <c r="O12" s="57"/>
      <c r="P12" s="56" t="str">
        <f t="shared" si="3"/>
        <v xml:space="preserve">veecou - 500000</v>
      </c>
    </row>
    <row r="13">
      <c r="A13" s="20"/>
      <c r="B13" s="60"/>
      <c r="C13" s="60"/>
      <c r="D13" s="60"/>
      <c r="E13" s="58"/>
      <c r="F13" s="58"/>
      <c r="G13" s="58"/>
      <c r="H13" s="59"/>
      <c r="I13" s="59"/>
      <c r="J13" s="59"/>
      <c r="K13" s="57"/>
      <c r="L13" s="56" t="str">
        <f t="shared" si="5"/>
        <v>-</v>
      </c>
      <c r="M13" s="56" t="str">
        <f t="shared" si="0"/>
        <v>-</v>
      </c>
      <c r="N13" s="56" t="str">
        <f t="shared" si="1"/>
        <v>-</v>
      </c>
      <c r="O13" s="57"/>
      <c r="P13" s="56" t="str">
        <f t="shared" si="3"/>
        <v xml:space="preserve">veecou - 500000</v>
      </c>
    </row>
    <row r="14">
      <c r="A14" s="20"/>
      <c r="B14" s="60"/>
      <c r="C14" s="60"/>
      <c r="D14" s="60"/>
      <c r="E14" s="58"/>
      <c r="F14" s="58"/>
      <c r="G14" s="58"/>
      <c r="H14" s="59"/>
      <c r="I14" s="59"/>
      <c r="J14" s="59"/>
      <c r="K14" s="57"/>
      <c r="L14" s="56" t="str">
        <f t="shared" si="5"/>
        <v>-</v>
      </c>
      <c r="M14" s="56" t="str">
        <f t="shared" si="0"/>
        <v>-</v>
      </c>
      <c r="N14" s="56" t="str">
        <f t="shared" si="1"/>
        <v>-</v>
      </c>
      <c r="O14" s="57"/>
      <c r="P14" s="56" t="str">
        <f t="shared" si="3"/>
        <v xml:space="preserve">veecou - 500000</v>
      </c>
    </row>
    <row r="15">
      <c r="A15" s="20"/>
      <c r="B15" s="60"/>
      <c r="C15" s="60"/>
      <c r="D15" s="60"/>
      <c r="E15" s="58"/>
      <c r="F15" s="58"/>
      <c r="G15" s="58"/>
      <c r="H15" s="29" t="s">
        <v>329</v>
      </c>
      <c r="I15" s="29" t="s">
        <v>323</v>
      </c>
      <c r="J15" s="61">
        <f>sum(J16:J21)</f>
        <v>0</v>
      </c>
      <c r="K15" s="57"/>
      <c r="L15" s="56" t="str">
        <f t="shared" si="5"/>
        <v>-</v>
      </c>
      <c r="M15" s="56" t="str">
        <f t="shared" si="0"/>
        <v>-</v>
      </c>
      <c r="N15" s="57"/>
      <c r="O15" s="57"/>
      <c r="P15" s="56" t="str">
        <f t="shared" si="3"/>
        <v xml:space="preserve">veecou - 500000</v>
      </c>
    </row>
    <row r="16">
      <c r="A16" s="20"/>
      <c r="B16" s="60"/>
      <c r="C16" s="60"/>
      <c r="D16" s="60"/>
      <c r="E16" s="58"/>
      <c r="F16" s="58"/>
      <c r="G16" s="52"/>
      <c r="H16" s="62"/>
      <c r="I16" s="62"/>
      <c r="J16" s="62"/>
      <c r="K16" s="57"/>
      <c r="L16" s="56" t="str">
        <f t="shared" si="5"/>
        <v>-</v>
      </c>
      <c r="M16" s="56" t="str">
        <f t="shared" si="0"/>
        <v>-</v>
      </c>
      <c r="N16" s="57"/>
      <c r="O16" s="57"/>
      <c r="P16" s="56" t="str">
        <f t="shared" si="3"/>
        <v xml:space="preserve">veecou - 500000</v>
      </c>
    </row>
    <row r="17">
      <c r="A17" s="20"/>
      <c r="B17" s="60"/>
      <c r="C17" s="60"/>
      <c r="D17" s="60"/>
      <c r="E17" s="58"/>
      <c r="F17" s="58"/>
      <c r="G17" s="58"/>
      <c r="H17" s="63"/>
      <c r="I17" s="63"/>
      <c r="J17" s="63"/>
      <c r="K17" s="57"/>
      <c r="L17" s="56" t="str">
        <f t="shared" si="5"/>
        <v>-</v>
      </c>
      <c r="M17" s="56" t="str">
        <f t="shared" si="0"/>
        <v>-</v>
      </c>
      <c r="N17" s="57"/>
      <c r="O17" s="57"/>
      <c r="P17" s="56" t="str">
        <f t="shared" si="3"/>
        <v>-</v>
      </c>
    </row>
    <row r="18">
      <c r="A18" s="4"/>
      <c r="B18" s="50"/>
      <c r="C18" s="50"/>
      <c r="D18" s="60"/>
      <c r="E18" s="58"/>
      <c r="F18" s="58"/>
      <c r="G18" s="58"/>
      <c r="H18" s="63"/>
      <c r="I18" s="63"/>
      <c r="J18" s="63"/>
      <c r="K18" s="57"/>
      <c r="L18" s="56" t="str">
        <f t="shared" si="5"/>
        <v>-</v>
      </c>
      <c r="M18" s="56" t="str">
        <f t="shared" si="0"/>
        <v>-</v>
      </c>
      <c r="N18" s="57"/>
      <c r="O18" s="57"/>
      <c r="P18" s="56" t="str">
        <f t="shared" si="3"/>
        <v>-</v>
      </c>
    </row>
    <row r="19">
      <c r="A19" s="20"/>
      <c r="B19" s="60"/>
      <c r="C19" s="60"/>
      <c r="D19" s="60"/>
      <c r="E19" s="58"/>
      <c r="F19" s="58"/>
      <c r="G19" s="58"/>
      <c r="H19" s="63"/>
      <c r="I19" s="63"/>
      <c r="J19" s="63"/>
      <c r="K19" s="57"/>
      <c r="L19" s="56" t="str">
        <f t="shared" si="5"/>
        <v>-</v>
      </c>
      <c r="M19" s="56" t="str">
        <f t="shared" si="0"/>
        <v>-</v>
      </c>
      <c r="N19" s="57"/>
      <c r="O19" s="57"/>
      <c r="P19" s="56" t="str">
        <f t="shared" si="3"/>
        <v>-</v>
      </c>
    </row>
    <row r="20">
      <c r="A20" s="20"/>
      <c r="B20" s="60"/>
      <c r="C20" s="60"/>
      <c r="D20" s="60"/>
      <c r="E20" s="58"/>
      <c r="F20" s="58"/>
      <c r="G20" s="58"/>
      <c r="H20" s="63"/>
      <c r="I20" s="63"/>
      <c r="J20" s="63"/>
      <c r="K20" s="57"/>
      <c r="L20" s="56" t="str">
        <f t="shared" si="5"/>
        <v>-</v>
      </c>
      <c r="M20" s="56" t="str">
        <f t="shared" si="0"/>
        <v>-</v>
      </c>
      <c r="N20" s="57"/>
      <c r="O20" s="57"/>
      <c r="P20" s="56" t="str">
        <f t="shared" si="3"/>
        <v>-</v>
      </c>
    </row>
    <row r="21">
      <c r="A21" s="4"/>
      <c r="B21" s="50"/>
      <c r="C21" s="50"/>
      <c r="D21" s="60"/>
      <c r="E21" s="58"/>
      <c r="F21" s="58"/>
      <c r="G21" s="58"/>
      <c r="H21" s="63"/>
      <c r="I21" s="63"/>
      <c r="J21" s="63"/>
      <c r="K21" s="57"/>
      <c r="L21" s="56" t="str">
        <f t="shared" si="5"/>
        <v>-</v>
      </c>
      <c r="M21" s="56" t="str">
        <f t="shared" si="0"/>
        <v>-</v>
      </c>
      <c r="N21" s="57"/>
      <c r="O21" s="57"/>
      <c r="P21" s="56" t="str">
        <f t="shared" si="3"/>
        <v>-</v>
      </c>
    </row>
    <row r="22">
      <c r="A22" s="20"/>
      <c r="B22" s="4"/>
      <c r="C22" s="4"/>
      <c r="P22" s="56" t="str">
        <f t="shared" si="3"/>
        <v>-</v>
      </c>
    </row>
    <row r="23">
      <c r="A23" s="20"/>
      <c r="B23" s="30" t="s">
        <v>330</v>
      </c>
      <c r="C23" s="30" t="s">
        <v>323</v>
      </c>
      <c r="D23" s="30" t="s">
        <v>331</v>
      </c>
      <c r="E23" s="64" t="s">
        <v>332</v>
      </c>
      <c r="F23" s="30" t="s">
        <v>333</v>
      </c>
      <c r="G23" s="65"/>
      <c r="H23" s="65"/>
      <c r="I23" s="65"/>
      <c r="J23" s="65"/>
      <c r="P23" s="56" t="str">
        <f t="shared" si="3"/>
        <v>-</v>
      </c>
    </row>
    <row r="24">
      <c r="A24" s="66"/>
      <c r="B24" s="67" t="s">
        <v>112</v>
      </c>
      <c r="C24" s="67" t="s">
        <v>178</v>
      </c>
      <c r="D24" s="68">
        <v>5000000</v>
      </c>
      <c r="E24" s="69">
        <v>1</v>
      </c>
      <c r="F24" s="67" t="s">
        <v>334</v>
      </c>
      <c r="G24" s="70"/>
      <c r="H24" s="70"/>
      <c r="I24" s="70"/>
      <c r="J24" s="70"/>
      <c r="P24" s="56" t="str">
        <f t="shared" si="3"/>
        <v xml:space="preserve">SFerris - 6000000</v>
      </c>
    </row>
    <row r="25">
      <c r="A25" s="66"/>
      <c r="B25" s="67" t="s">
        <v>161</v>
      </c>
      <c r="C25" s="67" t="s">
        <v>178</v>
      </c>
      <c r="D25" s="68">
        <v>5000000</v>
      </c>
      <c r="E25" s="69">
        <v>2</v>
      </c>
      <c r="F25" s="67" t="s">
        <v>335</v>
      </c>
      <c r="G25" s="70"/>
      <c r="H25" s="70"/>
      <c r="I25" s="70"/>
      <c r="J25" s="70"/>
      <c r="P25" s="56" t="str">
        <f t="shared" si="3"/>
        <v xml:space="preserve">SFerris - 6000000</v>
      </c>
    </row>
    <row r="26">
      <c r="A26" s="66"/>
      <c r="B26" s="67"/>
      <c r="C26" s="67"/>
      <c r="D26" s="68"/>
      <c r="E26" s="69">
        <v>3</v>
      </c>
      <c r="F26" s="67" t="s">
        <v>336</v>
      </c>
      <c r="G26" s="70"/>
      <c r="H26" s="70"/>
      <c r="I26" s="70"/>
      <c r="J26" s="70"/>
      <c r="P26" s="56" t="str">
        <f t="shared" si="3"/>
        <v>-</v>
      </c>
    </row>
    <row r="27">
      <c r="A27" s="66"/>
      <c r="B27" s="67"/>
      <c r="C27" s="67" t="s">
        <v>165</v>
      </c>
      <c r="D27" s="68">
        <v>1000000</v>
      </c>
      <c r="E27" s="69">
        <v>4</v>
      </c>
      <c r="F27" s="67" t="s">
        <v>337</v>
      </c>
      <c r="G27" s="70"/>
      <c r="H27" s="70"/>
      <c r="I27" s="70"/>
      <c r="J27" s="70"/>
      <c r="P27" s="56" t="str">
        <f t="shared" si="3"/>
        <v>-</v>
      </c>
    </row>
    <row r="28">
      <c r="A28" s="66"/>
      <c r="B28" s="67"/>
      <c r="C28" s="67" t="s">
        <v>117</v>
      </c>
      <c r="D28" s="68">
        <v>1000000</v>
      </c>
      <c r="E28" s="69">
        <v>5</v>
      </c>
      <c r="F28" s="67" t="s">
        <v>338</v>
      </c>
      <c r="G28" s="70"/>
      <c r="H28" s="70"/>
      <c r="I28" s="70"/>
      <c r="J28" s="70"/>
      <c r="P28" s="56" t="str">
        <f t="shared" si="3"/>
        <v>-</v>
      </c>
    </row>
    <row r="29">
      <c r="A29" s="66"/>
      <c r="B29" s="67" t="s">
        <v>251</v>
      </c>
      <c r="C29" s="67" t="s">
        <v>117</v>
      </c>
      <c r="D29" s="68">
        <v>500000</v>
      </c>
      <c r="E29" s="69">
        <v>6</v>
      </c>
      <c r="F29" s="67" t="s">
        <v>339</v>
      </c>
      <c r="G29" s="70"/>
      <c r="H29" s="70"/>
      <c r="I29" s="70"/>
      <c r="J29" s="70"/>
      <c r="P29" s="56" t="str">
        <f t="shared" si="3"/>
        <v>-</v>
      </c>
    </row>
    <row r="30">
      <c r="A30" s="66"/>
      <c r="B30" s="67"/>
      <c r="C30" s="67" t="s">
        <v>117</v>
      </c>
      <c r="D30" s="68">
        <v>500000</v>
      </c>
      <c r="E30" s="69">
        <v>7</v>
      </c>
      <c r="F30" s="67" t="s">
        <v>340</v>
      </c>
      <c r="G30" s="70"/>
      <c r="H30" s="70"/>
      <c r="I30" s="70"/>
      <c r="J30" s="70"/>
      <c r="P30" s="56" t="str">
        <f t="shared" si="3"/>
        <v>-</v>
      </c>
    </row>
    <row r="31">
      <c r="A31" s="66"/>
      <c r="B31" s="67" t="s">
        <v>119</v>
      </c>
      <c r="C31" s="67" t="s">
        <v>108</v>
      </c>
      <c r="D31" s="68">
        <v>666666</v>
      </c>
      <c r="E31" s="69">
        <v>8</v>
      </c>
      <c r="F31" s="67" t="s">
        <v>341</v>
      </c>
      <c r="G31" s="70"/>
      <c r="H31" s="70"/>
      <c r="I31" s="70"/>
      <c r="J31" s="70"/>
      <c r="P31" s="56" t="str">
        <f t="shared" si="3"/>
        <v>-</v>
      </c>
    </row>
    <row r="32">
      <c r="A32" s="66"/>
      <c r="B32" s="67" t="s">
        <v>227</v>
      </c>
      <c r="C32" s="67" t="s">
        <v>122</v>
      </c>
      <c r="D32" s="68">
        <v>10000000</v>
      </c>
      <c r="E32" s="69">
        <v>9</v>
      </c>
      <c r="F32" s="67" t="s">
        <v>342</v>
      </c>
      <c r="G32" s="70"/>
      <c r="H32" s="70"/>
      <c r="I32" s="70"/>
      <c r="J32" s="70"/>
    </row>
    <row r="33">
      <c r="A33" s="66"/>
      <c r="B33" s="67"/>
      <c r="C33" s="67" t="s">
        <v>157</v>
      </c>
      <c r="D33" s="68">
        <v>500000</v>
      </c>
      <c r="E33" s="69">
        <v>10</v>
      </c>
      <c r="F33" s="67" t="s">
        <v>343</v>
      </c>
      <c r="G33" s="70"/>
      <c r="H33" s="70"/>
      <c r="I33" s="70"/>
      <c r="J33" s="70"/>
    </row>
    <row r="34">
      <c r="A34" s="66"/>
      <c r="B34" s="67" t="s">
        <v>188</v>
      </c>
      <c r="C34" s="67" t="s">
        <v>157</v>
      </c>
      <c r="D34" s="68">
        <v>500000</v>
      </c>
      <c r="E34" s="69">
        <v>11</v>
      </c>
      <c r="F34" s="67" t="s">
        <v>344</v>
      </c>
      <c r="G34" s="70"/>
      <c r="H34" s="70"/>
      <c r="I34" s="70"/>
      <c r="J34" s="70"/>
    </row>
    <row r="35">
      <c r="A35" s="66"/>
      <c r="B35" s="67"/>
      <c r="C35" s="67" t="s">
        <v>157</v>
      </c>
      <c r="D35" s="68">
        <v>500000</v>
      </c>
      <c r="E35" s="69">
        <v>12</v>
      </c>
      <c r="F35" s="67" t="s">
        <v>345</v>
      </c>
      <c r="G35" s="70"/>
      <c r="H35" s="70"/>
      <c r="I35" s="70"/>
      <c r="J35" s="70"/>
    </row>
    <row r="36">
      <c r="A36" s="66"/>
      <c r="B36" s="70"/>
      <c r="C36" s="67" t="s">
        <v>157</v>
      </c>
      <c r="D36" s="68">
        <v>500000</v>
      </c>
      <c r="E36" s="69">
        <v>13</v>
      </c>
      <c r="F36" s="67" t="s">
        <v>346</v>
      </c>
      <c r="G36" s="70"/>
      <c r="H36" s="70"/>
      <c r="I36" s="70"/>
      <c r="J36" s="70"/>
    </row>
    <row r="37">
      <c r="A37" s="66"/>
      <c r="B37" s="67" t="s">
        <v>117</v>
      </c>
      <c r="C37" s="67" t="s">
        <v>157</v>
      </c>
      <c r="D37" s="68">
        <v>500000</v>
      </c>
      <c r="E37" s="69">
        <v>14</v>
      </c>
      <c r="F37" s="67" t="s">
        <v>347</v>
      </c>
      <c r="G37" s="70"/>
      <c r="H37" s="70"/>
      <c r="I37" s="70"/>
      <c r="J37" s="70"/>
    </row>
    <row r="38">
      <c r="A38" s="66"/>
      <c r="B38" s="70"/>
      <c r="C38" s="70" t="s">
        <v>157</v>
      </c>
      <c r="D38" s="71">
        <v>500000</v>
      </c>
      <c r="E38" s="69">
        <v>15</v>
      </c>
      <c r="F38" s="70" t="s">
        <v>348</v>
      </c>
      <c r="G38" s="70"/>
      <c r="H38" s="70"/>
      <c r="I38" s="70"/>
      <c r="J38" s="70"/>
    </row>
    <row r="39">
      <c r="A39" s="66"/>
      <c r="B39" s="70"/>
      <c r="C39" s="70"/>
      <c r="D39" s="70"/>
      <c r="E39" s="69">
        <v>16</v>
      </c>
      <c r="F39" s="70" t="s">
        <v>349</v>
      </c>
      <c r="G39" s="70"/>
      <c r="H39" s="70"/>
      <c r="I39" s="70"/>
      <c r="J39" s="70"/>
    </row>
    <row r="40">
      <c r="A40" s="66"/>
      <c r="B40" s="70"/>
      <c r="C40" s="70"/>
      <c r="D40" s="70"/>
      <c r="E40" s="69">
        <v>17</v>
      </c>
      <c r="F40" s="70" t="s">
        <v>350</v>
      </c>
      <c r="G40" s="70"/>
      <c r="H40" s="70"/>
      <c r="I40" s="70"/>
      <c r="J40" s="70"/>
    </row>
    <row r="41">
      <c r="A41" s="66"/>
      <c r="B41" s="70"/>
      <c r="C41" s="70"/>
      <c r="D41" s="70"/>
      <c r="E41" s="69">
        <v>18</v>
      </c>
      <c r="F41" s="70" t="s">
        <v>351</v>
      </c>
      <c r="G41" s="70"/>
      <c r="H41" s="70"/>
      <c r="I41" s="70"/>
      <c r="J41" s="70"/>
    </row>
    <row r="42">
      <c r="A42" s="66"/>
      <c r="B42" s="70"/>
      <c r="C42" s="70"/>
      <c r="D42" s="70"/>
      <c r="E42" s="69">
        <v>19</v>
      </c>
      <c r="F42" s="70" t="s">
        <v>352</v>
      </c>
      <c r="G42" s="70"/>
      <c r="H42" s="70"/>
      <c r="I42" s="70"/>
      <c r="J42" s="70"/>
    </row>
    <row r="43">
      <c r="A43" s="66"/>
      <c r="B43" s="70"/>
      <c r="C43" s="70"/>
      <c r="D43" s="70"/>
      <c r="E43" s="69">
        <v>20</v>
      </c>
      <c r="F43" s="70" t="s">
        <v>353</v>
      </c>
      <c r="G43" s="70"/>
      <c r="H43" s="70"/>
      <c r="I43" s="70"/>
      <c r="J43" s="70"/>
    </row>
    <row r="44">
      <c r="A44" s="66"/>
      <c r="B44" s="70"/>
      <c r="C44" s="70"/>
      <c r="D44" s="70"/>
      <c r="E44" s="69">
        <v>21</v>
      </c>
      <c r="F44" s="70" t="s">
        <v>354</v>
      </c>
      <c r="G44" s="70"/>
      <c r="H44" s="70"/>
      <c r="I44" s="70"/>
      <c r="J44" s="70"/>
    </row>
    <row r="45">
      <c r="A45" s="66"/>
      <c r="B45" s="70"/>
      <c r="C45" s="70"/>
      <c r="D45" s="70"/>
      <c r="E45" s="69">
        <v>22</v>
      </c>
      <c r="F45" s="70" t="s">
        <v>355</v>
      </c>
      <c r="G45" s="70"/>
      <c r="H45" s="70"/>
      <c r="I45" s="70"/>
      <c r="J45" s="70"/>
    </row>
    <row r="46" ht="191.25">
      <c r="A46" s="66"/>
      <c r="B46" s="70" t="s">
        <v>170</v>
      </c>
      <c r="C46" s="70" t="s">
        <v>98</v>
      </c>
      <c r="D46" s="71">
        <v>6000000</v>
      </c>
      <c r="E46" s="69">
        <v>23</v>
      </c>
      <c r="F46" s="72" t="s">
        <v>356</v>
      </c>
      <c r="G46" s="70"/>
      <c r="H46" s="70"/>
      <c r="I46" s="70"/>
      <c r="J46" s="70"/>
    </row>
    <row r="47">
      <c r="A47" s="66"/>
      <c r="B47" s="70"/>
      <c r="C47" s="70" t="s">
        <v>98</v>
      </c>
      <c r="D47" s="71">
        <v>6000000</v>
      </c>
      <c r="E47" s="69">
        <v>24</v>
      </c>
      <c r="F47" s="70" t="s">
        <v>357</v>
      </c>
      <c r="G47" s="70"/>
      <c r="H47" s="70"/>
      <c r="I47" s="70"/>
      <c r="J47" s="70"/>
    </row>
    <row r="48">
      <c r="A48" s="66"/>
      <c r="B48" s="70"/>
      <c r="C48" s="70"/>
      <c r="D48" s="70"/>
      <c r="E48" s="69">
        <v>25</v>
      </c>
      <c r="F48" s="70"/>
      <c r="G48" s="70"/>
      <c r="H48" s="70"/>
      <c r="I48" s="70"/>
      <c r="J48" s="70"/>
    </row>
    <row r="49">
      <c r="A49" s="66"/>
      <c r="B49" s="67"/>
      <c r="C49" s="70"/>
      <c r="D49" s="70"/>
      <c r="E49" s="69">
        <v>26</v>
      </c>
      <c r="F49" s="70"/>
      <c r="G49" s="70"/>
      <c r="H49" s="70"/>
      <c r="I49" s="70"/>
      <c r="J49" s="70"/>
    </row>
    <row r="50">
      <c r="A50" s="66"/>
      <c r="B50" s="70"/>
      <c r="C50" s="70"/>
      <c r="D50" s="70"/>
      <c r="E50" s="69">
        <v>27</v>
      </c>
      <c r="F50" s="70"/>
      <c r="G50" s="70"/>
      <c r="H50" s="70"/>
      <c r="I50" s="70"/>
      <c r="J50" s="70"/>
    </row>
    <row r="51">
      <c r="A51" s="66"/>
      <c r="B51" s="70"/>
      <c r="C51" s="70"/>
      <c r="D51" s="70"/>
      <c r="E51" s="69">
        <v>28</v>
      </c>
      <c r="F51" s="70"/>
      <c r="G51" s="70"/>
      <c r="H51" s="70"/>
      <c r="I51" s="70"/>
      <c r="J51" s="70"/>
    </row>
    <row r="52">
      <c r="A52" s="66"/>
      <c r="B52" s="70"/>
      <c r="C52" s="70"/>
      <c r="D52" s="70"/>
      <c r="E52" s="69">
        <v>29</v>
      </c>
      <c r="F52" s="70"/>
      <c r="G52" s="70"/>
      <c r="H52" s="70"/>
      <c r="I52" s="70"/>
      <c r="J52" s="70"/>
    </row>
    <row r="53">
      <c r="A53" s="66"/>
      <c r="B53" s="70"/>
      <c r="C53" s="70"/>
      <c r="D53" s="70"/>
      <c r="E53" s="69">
        <v>30</v>
      </c>
      <c r="F53" s="70"/>
      <c r="G53" s="70"/>
      <c r="H53" s="70"/>
      <c r="I53" s="70"/>
      <c r="J53" s="70"/>
    </row>
    <row r="54">
      <c r="A54" s="20"/>
      <c r="D54" s="73"/>
    </row>
    <row r="55">
      <c r="A55" s="74" t="s">
        <v>358</v>
      </c>
      <c r="B55" s="74" t="s">
        <v>6</v>
      </c>
      <c r="C55" s="74" t="s">
        <v>359</v>
      </c>
      <c r="D55" s="74" t="s">
        <v>322</v>
      </c>
      <c r="E55" s="74" t="s">
        <v>324</v>
      </c>
      <c r="F55" s="74" t="s">
        <v>325</v>
      </c>
      <c r="G55" s="74" t="s">
        <v>360</v>
      </c>
      <c r="H55" s="74" t="s">
        <v>361</v>
      </c>
      <c r="I55" s="74" t="s">
        <v>362</v>
      </c>
      <c r="J55" s="74" t="s">
        <v>363</v>
      </c>
      <c r="K55" s="74" t="s">
        <v>364</v>
      </c>
      <c r="L55" s="74" t="s">
        <v>365</v>
      </c>
      <c r="M55" s="74" t="s">
        <v>366</v>
      </c>
      <c r="N55" s="74" t="s">
        <v>367</v>
      </c>
      <c r="O55" s="74" t="s">
        <v>368</v>
      </c>
      <c r="P55" s="74" t="s">
        <v>369</v>
      </c>
      <c r="Q55" s="74" t="s">
        <v>370</v>
      </c>
      <c r="R55" s="74" t="s">
        <v>371</v>
      </c>
      <c r="S55" s="74" t="s">
        <v>372</v>
      </c>
      <c r="T55" s="74" t="s">
        <v>373</v>
      </c>
      <c r="U55" s="74" t="s">
        <v>374</v>
      </c>
      <c r="V55" s="74" t="s">
        <v>375</v>
      </c>
      <c r="W55" s="74" t="s">
        <v>376</v>
      </c>
      <c r="X55" s="74" t="s">
        <v>377</v>
      </c>
      <c r="Y55" s="74" t="s">
        <v>378</v>
      </c>
      <c r="Z55" s="74" t="s">
        <v>379</v>
      </c>
      <c r="AA55" s="74" t="s">
        <v>380</v>
      </c>
      <c r="AB55" s="74" t="s">
        <v>381</v>
      </c>
      <c r="AC55" s="74" t="s">
        <v>382</v>
      </c>
      <c r="AD55" s="74" t="s">
        <v>383</v>
      </c>
      <c r="AE55" s="74" t="s">
        <v>384</v>
      </c>
      <c r="AF55" s="74" t="s">
        <v>385</v>
      </c>
      <c r="AG55" s="74" t="s">
        <v>386</v>
      </c>
      <c r="AH55" s="74" t="s">
        <v>387</v>
      </c>
      <c r="AI55" s="74" t="s">
        <v>388</v>
      </c>
      <c r="AJ55" s="74" t="s">
        <v>389</v>
      </c>
      <c r="AK55" s="74" t="s">
        <v>390</v>
      </c>
    </row>
    <row r="56">
      <c r="A56" s="75" t="str">
        <f>CONCATENATE("!tip ",B56," ",C56," GGn Mafia #: ",textjoin(", ",true,if(D56&gt;0,D$55,""), if(E56&gt;0,E$55,""), if(F56&gt;0,F$55,""), if(G56&gt;0,G$55,""), if(H56&gt;0,H$55,""), if(I56&gt;0,I$55,""), if(J56&gt;0,J$55,""), if(K56&gt;0,K$55,""), if(L56&gt;0,L$55,""), if(M56&gt;0,M$55,""), if(N56&gt;0,N$55,""), if(O56&gt;0,O$55,""), if(P56&gt;0,P$55,""), if(Q56&gt;0,Q$55,""), if(R56&gt;0,R$55,""), if(S56&gt;0,S$55,""), if(T56&gt;0,T$55,""), if(U56&gt;0,U$55,""), if(V56&gt;0,V$55,""), if(W56&gt;0,W$55,""), if(X56&gt;0,X$55,""), if(Y56&gt;0,Y$55,""), if(Z56&gt;0,Z$55,""), if(AA56&gt;0,AA$55,""), if(AB56&gt;0,AB$55,""), if(AC56&gt;0,AC$55,""), if(AD56&gt;0,AD$55,""), if(AE56&gt;0,AE$55,""), if(AF56&gt;0,AF$55,""), if(AG56&gt;0,AG$55,""), if(AH56&gt;0,AH$55,""), if(AI56&gt;0,AI$55,""), if(AJ56&gt;0,AJ$55,""), if(AK56&gt;0,AK$55,"")))</f>
        <v xml:space="preserve">!tip  0 GGn Mafia #:</v>
      </c>
      <c r="B56" s="76"/>
      <c r="C56" s="75">
        <f t="shared" ref="C56:C94" si="6">round(sum(D56:AK56),0)</f>
        <v>0</v>
      </c>
      <c r="D56" s="76"/>
      <c r="E56" s="76"/>
      <c r="F56" s="76"/>
      <c r="G56" s="76"/>
      <c r="H56" s="76"/>
      <c r="I56" s="76"/>
      <c r="J56" s="76"/>
      <c r="K56" s="76"/>
      <c r="L56" s="76"/>
      <c r="M56" s="76"/>
      <c r="N56" s="76"/>
      <c r="O56" s="76"/>
      <c r="P56" s="76"/>
      <c r="Q56" s="76"/>
      <c r="R56" s="76"/>
      <c r="S56" s="76"/>
      <c r="T56" s="76"/>
      <c r="U56" s="76"/>
      <c r="V56" s="76"/>
      <c r="W56" s="76"/>
      <c r="X56" s="76"/>
      <c r="Y56" s="76"/>
      <c r="Z56" s="76"/>
      <c r="AA56" s="76"/>
      <c r="AB56" s="76"/>
      <c r="AC56" s="76"/>
      <c r="AD56" s="76"/>
      <c r="AE56" s="76"/>
      <c r="AF56" s="76"/>
      <c r="AG56" s="76"/>
      <c r="AH56" s="76"/>
      <c r="AI56" s="76"/>
      <c r="AJ56" s="76"/>
      <c r="AK56" s="76"/>
    </row>
    <row r="57">
      <c r="A57" s="75" t="str">
        <f>CONCATENATE("!tip ",B57," ",C57," GGn Mafia #:",textjoin(", ",true,if(D57&gt;0," Winning Team",""),if(E57&gt;0,"MVP",""),if(F57&gt;0,"PotG",""),if(G57&gt;0,"Screwup",""),if(H57&gt;0,"Secret 1",""),if(I57&gt;0,"Secret 2",""),if(J57&gt;0,"Secret 3",""),if(K57&gt;0,"Secret 4",""),if(L57&gt;0,"Secret 5",""),if(M57&gt;0,"Secret 6",""),if(N57&gt;0,"Secret 7",""),if(O57&gt;0,"Secret 8",""),if(P57&gt;0,"Secret 9",""),if(Q57&gt;0,"Secret 10",""),if(R57&gt;0,"Secret 11",""),if(S57&gt;0,"Secret 12",""),if(T57&gt;0,"Secret 13",""),if(U57&gt;0,"Secret 14",""),if(V57&gt;0,"Secret 15",""),if(W57&gt;0,"Secret 16",""),if(X57&gt;0,"Secret 17",""),if(Y57&gt;0,"Secret 18",""),if(Z57&gt;0,"Secret 19",""),if(AA57&gt;0,"Secret 20",""),if(AB57&gt;0,"Secret 21",""),if(AC57&gt;0,"Secret 22",""),if(AD57&gt;0,"Secret 23",""),if(AE57&gt;0,"Secret 24",""),if(AF57&gt;0,"Secret 25",""),if(AG57&gt;0,"Secret 26",""),if(AH57&gt;0,"Secret 27",""),if(AI57&gt;0,"Secret 28",""),if(AJ57&gt;0,"Secret 29",""),if(AK57&gt;0,"Secret 30","")))</f>
        <v xml:space="preserve">!tip  0 GGn Mafia #:</v>
      </c>
      <c r="B57" s="76"/>
      <c r="C57" s="75">
        <f t="shared" si="6"/>
        <v>0</v>
      </c>
      <c r="D57" s="76"/>
      <c r="E57" s="76"/>
      <c r="F57" s="76"/>
      <c r="G57" s="75"/>
      <c r="H57" s="76"/>
      <c r="I57" s="76"/>
      <c r="J57" s="75"/>
      <c r="K57" s="76"/>
      <c r="L57" s="75"/>
      <c r="M57" s="75"/>
      <c r="N57" s="75"/>
      <c r="O57" s="75"/>
      <c r="P57" s="75"/>
      <c r="Q57" s="75"/>
      <c r="R57" s="75"/>
      <c r="S57" s="75"/>
      <c r="T57" s="75"/>
      <c r="U57" s="75"/>
      <c r="V57" s="75"/>
      <c r="W57" s="75"/>
      <c r="X57" s="75"/>
      <c r="Y57" s="75"/>
      <c r="Z57" s="75"/>
      <c r="AA57" s="75"/>
      <c r="AB57" s="75"/>
      <c r="AC57" s="75"/>
      <c r="AD57" s="75"/>
      <c r="AE57" s="75"/>
      <c r="AF57" s="75"/>
      <c r="AG57" s="75"/>
      <c r="AH57" s="75"/>
      <c r="AI57" s="75"/>
      <c r="AJ57" s="75"/>
      <c r="AK57" s="75"/>
    </row>
    <row r="58">
      <c r="A58" s="75"/>
      <c r="B58" s="75"/>
      <c r="C58" s="75">
        <f t="shared" si="6"/>
        <v>0</v>
      </c>
      <c r="D58" s="75"/>
      <c r="E58" s="75"/>
      <c r="F58" s="75"/>
      <c r="G58" s="75"/>
      <c r="H58" s="75"/>
      <c r="I58" s="75"/>
      <c r="J58" s="75"/>
      <c r="K58" s="75"/>
      <c r="L58" s="75"/>
      <c r="M58" s="75"/>
      <c r="N58" s="75"/>
      <c r="O58" s="75"/>
      <c r="P58" s="75"/>
      <c r="Q58" s="75"/>
      <c r="R58" s="75"/>
      <c r="S58" s="75"/>
      <c r="T58" s="75"/>
      <c r="U58" s="75"/>
      <c r="V58" s="75"/>
      <c r="W58" s="75"/>
      <c r="X58" s="75"/>
      <c r="Y58" s="75"/>
      <c r="Z58" s="75"/>
      <c r="AA58" s="75"/>
      <c r="AB58" s="75"/>
      <c r="AC58" s="75"/>
      <c r="AD58" s="75"/>
      <c r="AE58" s="75"/>
      <c r="AF58" s="75"/>
      <c r="AG58" s="75"/>
      <c r="AH58" s="75"/>
      <c r="AI58" s="75"/>
      <c r="AJ58" s="75"/>
      <c r="AK58" s="75"/>
    </row>
    <row r="59">
      <c r="A59" s="75"/>
      <c r="B59" s="75"/>
      <c r="C59" s="75">
        <f t="shared" si="6"/>
        <v>0</v>
      </c>
      <c r="D59" s="75"/>
      <c r="E59" s="75"/>
      <c r="F59" s="75"/>
      <c r="G59" s="75"/>
      <c r="H59" s="75"/>
      <c r="I59" s="75"/>
      <c r="J59" s="75"/>
      <c r="K59" s="75"/>
      <c r="L59" s="75"/>
      <c r="M59" s="75"/>
      <c r="N59" s="75"/>
      <c r="O59" s="75"/>
      <c r="P59" s="75"/>
      <c r="Q59" s="75"/>
      <c r="R59" s="75"/>
      <c r="S59" s="75"/>
      <c r="T59" s="75"/>
      <c r="U59" s="75"/>
      <c r="V59" s="75"/>
      <c r="W59" s="75"/>
      <c r="X59" s="75"/>
      <c r="Y59" s="75"/>
      <c r="Z59" s="75"/>
      <c r="AA59" s="75"/>
      <c r="AB59" s="75"/>
      <c r="AC59" s="75"/>
      <c r="AD59" s="75"/>
      <c r="AE59" s="75"/>
      <c r="AF59" s="75"/>
      <c r="AG59" s="75"/>
      <c r="AH59" s="75"/>
      <c r="AI59" s="75"/>
      <c r="AJ59" s="75"/>
      <c r="AK59" s="75"/>
    </row>
    <row r="60">
      <c r="A60" s="75"/>
      <c r="B60" s="75"/>
      <c r="C60" s="75">
        <f t="shared" si="6"/>
        <v>0</v>
      </c>
      <c r="D60" s="75"/>
      <c r="E60" s="75"/>
      <c r="F60" s="75"/>
      <c r="G60" s="75"/>
      <c r="H60" s="75"/>
      <c r="I60" s="75"/>
      <c r="J60" s="75"/>
      <c r="K60" s="75"/>
      <c r="L60" s="75"/>
      <c r="M60" s="75"/>
      <c r="N60" s="75"/>
      <c r="O60" s="75"/>
      <c r="P60" s="75"/>
      <c r="Q60" s="75"/>
      <c r="R60" s="75"/>
      <c r="S60" s="75"/>
      <c r="T60" s="75"/>
      <c r="U60" s="75"/>
      <c r="V60" s="75"/>
      <c r="W60" s="75"/>
      <c r="X60" s="75"/>
      <c r="Y60" s="75"/>
      <c r="Z60" s="75"/>
      <c r="AA60" s="75"/>
      <c r="AB60" s="75"/>
      <c r="AC60" s="75"/>
      <c r="AD60" s="75"/>
      <c r="AE60" s="75"/>
      <c r="AF60" s="75"/>
      <c r="AG60" s="75"/>
      <c r="AH60" s="75"/>
      <c r="AI60" s="75"/>
      <c r="AJ60" s="75"/>
      <c r="AK60" s="75"/>
    </row>
    <row r="61">
      <c r="A61" s="75"/>
      <c r="B61" s="75"/>
      <c r="C61" s="75">
        <f t="shared" si="6"/>
        <v>0</v>
      </c>
      <c r="D61" s="75"/>
      <c r="E61" s="75"/>
      <c r="F61" s="75"/>
      <c r="G61" s="75"/>
      <c r="H61" s="75"/>
      <c r="I61" s="75"/>
      <c r="J61" s="75"/>
      <c r="K61" s="75"/>
      <c r="L61" s="75"/>
      <c r="M61" s="75"/>
      <c r="N61" s="75"/>
      <c r="O61" s="75"/>
      <c r="P61" s="75"/>
      <c r="Q61" s="75"/>
      <c r="R61" s="75"/>
      <c r="S61" s="75"/>
      <c r="T61" s="75"/>
      <c r="U61" s="75"/>
      <c r="V61" s="75"/>
      <c r="W61" s="75"/>
      <c r="X61" s="75"/>
      <c r="Y61" s="75"/>
      <c r="Z61" s="75"/>
      <c r="AA61" s="75"/>
      <c r="AB61" s="75"/>
      <c r="AC61" s="75"/>
      <c r="AD61" s="75"/>
      <c r="AE61" s="75"/>
      <c r="AF61" s="75"/>
      <c r="AG61" s="75"/>
      <c r="AH61" s="75"/>
      <c r="AI61" s="75"/>
      <c r="AJ61" s="75"/>
      <c r="AK61" s="75"/>
    </row>
    <row r="62">
      <c r="A62" s="75"/>
      <c r="B62" s="75"/>
      <c r="C62" s="75">
        <f t="shared" si="6"/>
        <v>0</v>
      </c>
      <c r="D62" s="75"/>
      <c r="E62" s="75"/>
      <c r="F62" s="75"/>
      <c r="G62" s="75"/>
      <c r="H62" s="75"/>
      <c r="I62" s="75"/>
      <c r="J62" s="75"/>
      <c r="K62" s="75"/>
      <c r="L62" s="75"/>
      <c r="M62" s="75"/>
      <c r="N62" s="75"/>
      <c r="O62" s="75"/>
      <c r="P62" s="75"/>
      <c r="Q62" s="75"/>
      <c r="R62" s="75"/>
      <c r="S62" s="75"/>
      <c r="T62" s="75"/>
      <c r="U62" s="75"/>
      <c r="V62" s="75"/>
      <c r="W62" s="75"/>
      <c r="X62" s="75"/>
      <c r="Y62" s="75"/>
      <c r="Z62" s="75"/>
      <c r="AA62" s="75"/>
      <c r="AB62" s="75"/>
      <c r="AC62" s="75"/>
      <c r="AD62" s="75"/>
      <c r="AE62" s="75"/>
      <c r="AF62" s="75"/>
      <c r="AG62" s="75"/>
      <c r="AH62" s="75"/>
      <c r="AI62" s="75"/>
      <c r="AJ62" s="75"/>
      <c r="AK62" s="75"/>
    </row>
    <row r="63">
      <c r="A63" s="75"/>
      <c r="B63" s="75"/>
      <c r="C63" s="75">
        <f t="shared" si="6"/>
        <v>0</v>
      </c>
      <c r="D63" s="75"/>
      <c r="E63" s="75"/>
      <c r="F63" s="75"/>
      <c r="G63" s="75"/>
      <c r="H63" s="75"/>
      <c r="I63" s="75"/>
      <c r="J63" s="75"/>
      <c r="K63" s="75"/>
      <c r="L63" s="75"/>
      <c r="M63" s="75"/>
      <c r="N63" s="75"/>
      <c r="O63" s="75"/>
      <c r="P63" s="75"/>
      <c r="Q63" s="75"/>
      <c r="R63" s="75"/>
      <c r="S63" s="75"/>
      <c r="T63" s="75"/>
      <c r="U63" s="75"/>
      <c r="V63" s="75"/>
      <c r="W63" s="75"/>
      <c r="X63" s="75"/>
      <c r="Y63" s="75"/>
      <c r="Z63" s="75"/>
      <c r="AA63" s="75"/>
      <c r="AB63" s="75"/>
      <c r="AC63" s="75"/>
      <c r="AD63" s="75"/>
      <c r="AE63" s="75"/>
      <c r="AF63" s="75"/>
      <c r="AG63" s="75"/>
      <c r="AH63" s="75"/>
      <c r="AI63" s="75"/>
      <c r="AJ63" s="75"/>
      <c r="AK63" s="75"/>
    </row>
    <row r="64">
      <c r="A64" s="75"/>
      <c r="B64" s="75"/>
      <c r="C64" s="75">
        <f t="shared" si="6"/>
        <v>0</v>
      </c>
      <c r="D64" s="75"/>
      <c r="E64" s="75"/>
      <c r="F64" s="75"/>
      <c r="G64" s="75"/>
      <c r="H64" s="75"/>
      <c r="I64" s="75"/>
      <c r="J64" s="75"/>
      <c r="K64" s="75"/>
      <c r="L64" s="75"/>
      <c r="M64" s="75"/>
      <c r="N64" s="75"/>
      <c r="O64" s="75"/>
      <c r="P64" s="75"/>
      <c r="Q64" s="75"/>
      <c r="R64" s="75"/>
      <c r="S64" s="75"/>
      <c r="T64" s="75"/>
      <c r="U64" s="75"/>
      <c r="V64" s="75"/>
      <c r="W64" s="75"/>
      <c r="X64" s="75"/>
      <c r="Y64" s="75"/>
      <c r="Z64" s="75"/>
      <c r="AA64" s="75"/>
      <c r="AB64" s="75"/>
      <c r="AC64" s="75"/>
      <c r="AD64" s="75"/>
      <c r="AE64" s="75"/>
      <c r="AF64" s="75"/>
      <c r="AG64" s="75"/>
      <c r="AH64" s="75"/>
      <c r="AI64" s="75"/>
      <c r="AJ64" s="75"/>
      <c r="AK64" s="75"/>
    </row>
    <row r="65">
      <c r="A65" s="75"/>
      <c r="B65" s="75"/>
      <c r="C65" s="75">
        <f t="shared" si="6"/>
        <v>0</v>
      </c>
      <c r="D65" s="75"/>
      <c r="E65" s="75"/>
      <c r="F65" s="75"/>
      <c r="G65" s="75"/>
      <c r="H65" s="75"/>
      <c r="I65" s="75"/>
      <c r="J65" s="75"/>
      <c r="K65" s="75"/>
      <c r="L65" s="75"/>
      <c r="M65" s="75"/>
      <c r="N65" s="75"/>
      <c r="O65" s="75"/>
      <c r="P65" s="75"/>
      <c r="Q65" s="75"/>
      <c r="R65" s="75"/>
      <c r="S65" s="75"/>
      <c r="T65" s="75"/>
      <c r="U65" s="75"/>
      <c r="V65" s="75"/>
      <c r="W65" s="75"/>
      <c r="X65" s="75"/>
      <c r="Y65" s="75"/>
      <c r="Z65" s="75"/>
      <c r="AA65" s="75"/>
      <c r="AB65" s="75"/>
      <c r="AC65" s="75"/>
      <c r="AD65" s="75"/>
      <c r="AE65" s="75"/>
      <c r="AF65" s="75"/>
      <c r="AG65" s="75"/>
      <c r="AH65" s="75"/>
      <c r="AI65" s="75"/>
      <c r="AJ65" s="75"/>
      <c r="AK65" s="75"/>
    </row>
    <row r="66">
      <c r="A66" s="75"/>
      <c r="B66" s="75"/>
      <c r="C66" s="75">
        <f t="shared" si="6"/>
        <v>0</v>
      </c>
      <c r="D66" s="75"/>
      <c r="E66" s="75"/>
      <c r="F66" s="75"/>
      <c r="G66" s="75"/>
      <c r="H66" s="75"/>
      <c r="I66" s="75"/>
      <c r="J66" s="75"/>
      <c r="K66" s="75"/>
      <c r="L66" s="75"/>
      <c r="M66" s="75"/>
      <c r="N66" s="75"/>
      <c r="O66" s="75"/>
      <c r="P66" s="75"/>
      <c r="Q66" s="75"/>
      <c r="R66" s="75"/>
      <c r="S66" s="75"/>
      <c r="T66" s="75"/>
      <c r="U66" s="75"/>
      <c r="V66" s="75"/>
      <c r="W66" s="75"/>
      <c r="X66" s="75"/>
      <c r="Y66" s="75"/>
      <c r="Z66" s="75"/>
      <c r="AA66" s="75"/>
      <c r="AB66" s="75"/>
      <c r="AC66" s="75"/>
      <c r="AD66" s="75"/>
      <c r="AE66" s="75"/>
      <c r="AF66" s="75"/>
      <c r="AG66" s="75"/>
      <c r="AH66" s="75"/>
      <c r="AI66" s="75"/>
      <c r="AJ66" s="75"/>
      <c r="AK66" s="75"/>
    </row>
    <row r="67">
      <c r="A67" s="75"/>
      <c r="B67" s="75"/>
      <c r="C67" s="75">
        <f t="shared" si="6"/>
        <v>0</v>
      </c>
      <c r="D67" s="75"/>
      <c r="E67" s="75"/>
      <c r="F67" s="75"/>
      <c r="G67" s="75"/>
      <c r="H67" s="75"/>
      <c r="I67" s="75"/>
      <c r="J67" s="75"/>
      <c r="K67" s="75"/>
      <c r="L67" s="75"/>
      <c r="M67" s="75"/>
      <c r="N67" s="75"/>
      <c r="O67" s="75"/>
      <c r="P67" s="75"/>
      <c r="Q67" s="75"/>
      <c r="R67" s="75"/>
      <c r="S67" s="75"/>
      <c r="T67" s="75"/>
      <c r="U67" s="75"/>
      <c r="V67" s="75"/>
      <c r="W67" s="75"/>
      <c r="X67" s="75"/>
      <c r="Y67" s="75"/>
      <c r="Z67" s="75"/>
      <c r="AA67" s="75"/>
      <c r="AB67" s="75"/>
      <c r="AC67" s="75"/>
      <c r="AD67" s="75"/>
      <c r="AE67" s="75"/>
      <c r="AF67" s="75"/>
      <c r="AG67" s="75"/>
      <c r="AH67" s="75"/>
      <c r="AI67" s="75"/>
      <c r="AJ67" s="75"/>
      <c r="AK67" s="75"/>
    </row>
    <row r="68">
      <c r="A68" s="75"/>
      <c r="B68" s="75"/>
      <c r="C68" s="75">
        <f t="shared" si="6"/>
        <v>0</v>
      </c>
      <c r="D68" s="75"/>
      <c r="E68" s="75"/>
      <c r="F68" s="75"/>
      <c r="G68" s="75"/>
      <c r="H68" s="75"/>
      <c r="I68" s="75"/>
      <c r="J68" s="75"/>
      <c r="K68" s="75"/>
      <c r="L68" s="75"/>
      <c r="M68" s="75"/>
      <c r="N68" s="75"/>
      <c r="O68" s="75"/>
      <c r="P68" s="75"/>
      <c r="Q68" s="75"/>
      <c r="R68" s="75"/>
      <c r="S68" s="75"/>
      <c r="T68" s="75"/>
      <c r="U68" s="75"/>
      <c r="V68" s="75"/>
      <c r="W68" s="75"/>
      <c r="X68" s="75"/>
      <c r="Y68" s="75"/>
      <c r="Z68" s="75"/>
      <c r="AA68" s="75"/>
      <c r="AB68" s="75"/>
      <c r="AC68" s="75"/>
      <c r="AD68" s="75"/>
      <c r="AE68" s="75"/>
      <c r="AF68" s="75"/>
      <c r="AG68" s="75"/>
      <c r="AH68" s="75"/>
      <c r="AI68" s="75"/>
      <c r="AJ68" s="75"/>
      <c r="AK68" s="75"/>
    </row>
    <row r="69">
      <c r="A69" s="75"/>
      <c r="B69" s="75"/>
      <c r="C69" s="75">
        <f t="shared" si="6"/>
        <v>0</v>
      </c>
      <c r="D69" s="75"/>
      <c r="E69" s="75"/>
      <c r="F69" s="75"/>
      <c r="G69" s="75"/>
      <c r="H69" s="75"/>
      <c r="I69" s="75"/>
      <c r="J69" s="75"/>
      <c r="K69" s="75"/>
      <c r="L69" s="75"/>
      <c r="M69" s="75"/>
      <c r="N69" s="75"/>
      <c r="O69" s="75"/>
      <c r="P69" s="75"/>
      <c r="Q69" s="75"/>
      <c r="R69" s="75"/>
      <c r="S69" s="75"/>
      <c r="T69" s="75"/>
      <c r="U69" s="75"/>
      <c r="V69" s="75"/>
      <c r="W69" s="75"/>
      <c r="X69" s="75"/>
      <c r="Y69" s="75"/>
      <c r="Z69" s="75"/>
      <c r="AA69" s="75"/>
      <c r="AB69" s="75"/>
      <c r="AC69" s="75"/>
      <c r="AD69" s="75"/>
      <c r="AE69" s="75"/>
      <c r="AF69" s="75"/>
      <c r="AG69" s="75"/>
      <c r="AH69" s="75"/>
      <c r="AI69" s="75"/>
      <c r="AJ69" s="75"/>
      <c r="AK69" s="75"/>
    </row>
    <row r="70">
      <c r="A70" s="75"/>
      <c r="B70" s="75"/>
      <c r="C70" s="75">
        <f t="shared" si="6"/>
        <v>0</v>
      </c>
      <c r="D70" s="75"/>
      <c r="E70" s="75"/>
      <c r="F70" s="75"/>
      <c r="G70" s="75"/>
      <c r="H70" s="75"/>
      <c r="I70" s="75"/>
      <c r="J70" s="75"/>
      <c r="K70" s="75"/>
      <c r="L70" s="75"/>
      <c r="M70" s="75"/>
      <c r="N70" s="75"/>
      <c r="O70" s="75"/>
      <c r="P70" s="75"/>
      <c r="Q70" s="75"/>
      <c r="R70" s="75"/>
      <c r="S70" s="75"/>
      <c r="T70" s="75"/>
      <c r="U70" s="75"/>
      <c r="V70" s="75"/>
      <c r="W70" s="75"/>
      <c r="X70" s="75"/>
      <c r="Y70" s="75"/>
      <c r="Z70" s="75"/>
      <c r="AA70" s="75"/>
      <c r="AB70" s="75"/>
      <c r="AC70" s="75"/>
      <c r="AD70" s="75"/>
      <c r="AE70" s="75"/>
      <c r="AF70" s="75"/>
      <c r="AG70" s="75"/>
      <c r="AH70" s="75"/>
      <c r="AI70" s="75"/>
      <c r="AJ70" s="75"/>
      <c r="AK70" s="75"/>
    </row>
    <row r="71">
      <c r="A71" s="75"/>
      <c r="B71" s="75"/>
      <c r="C71" s="75">
        <f t="shared" si="6"/>
        <v>0</v>
      </c>
      <c r="D71" s="75"/>
      <c r="E71" s="75"/>
      <c r="F71" s="75"/>
      <c r="G71" s="75"/>
      <c r="H71" s="75"/>
      <c r="I71" s="75"/>
      <c r="J71" s="75"/>
      <c r="K71" s="75"/>
      <c r="L71" s="75"/>
      <c r="M71" s="75"/>
      <c r="N71" s="75"/>
      <c r="O71" s="75"/>
      <c r="P71" s="75"/>
      <c r="Q71" s="75"/>
      <c r="R71" s="75"/>
      <c r="S71" s="75"/>
      <c r="T71" s="75"/>
      <c r="U71" s="75"/>
      <c r="V71" s="75"/>
      <c r="W71" s="75"/>
      <c r="X71" s="75"/>
      <c r="Y71" s="75"/>
      <c r="Z71" s="75"/>
      <c r="AA71" s="75"/>
      <c r="AB71" s="75"/>
      <c r="AC71" s="75"/>
      <c r="AD71" s="75"/>
      <c r="AE71" s="75"/>
      <c r="AF71" s="75"/>
      <c r="AG71" s="75"/>
      <c r="AH71" s="75"/>
      <c r="AI71" s="75"/>
      <c r="AJ71" s="75"/>
      <c r="AK71" s="75"/>
    </row>
    <row r="72">
      <c r="A72" s="75"/>
      <c r="B72" s="75"/>
      <c r="C72" s="75">
        <f t="shared" si="6"/>
        <v>0</v>
      </c>
      <c r="D72" s="75"/>
      <c r="E72" s="75"/>
      <c r="F72" s="75"/>
      <c r="G72" s="75"/>
      <c r="H72" s="75"/>
      <c r="I72" s="75"/>
      <c r="J72" s="75"/>
      <c r="K72" s="75"/>
      <c r="L72" s="75"/>
      <c r="M72" s="75"/>
      <c r="N72" s="75"/>
      <c r="O72" s="75"/>
      <c r="P72" s="75"/>
      <c r="Q72" s="75"/>
      <c r="R72" s="75"/>
      <c r="S72" s="75"/>
      <c r="T72" s="75"/>
      <c r="U72" s="75"/>
      <c r="V72" s="75"/>
      <c r="W72" s="75"/>
      <c r="X72" s="75"/>
      <c r="Y72" s="75"/>
      <c r="Z72" s="75"/>
      <c r="AA72" s="75"/>
      <c r="AB72" s="75"/>
      <c r="AC72" s="75"/>
      <c r="AD72" s="75"/>
      <c r="AE72" s="75"/>
      <c r="AF72" s="75"/>
      <c r="AG72" s="75"/>
      <c r="AH72" s="75"/>
      <c r="AI72" s="75"/>
      <c r="AJ72" s="75"/>
      <c r="AK72" s="75"/>
    </row>
    <row r="73">
      <c r="A73" s="75"/>
      <c r="B73" s="75"/>
      <c r="C73" s="75">
        <f t="shared" si="6"/>
        <v>0</v>
      </c>
      <c r="D73" s="75"/>
      <c r="E73" s="75"/>
      <c r="F73" s="75"/>
      <c r="G73" s="75"/>
      <c r="H73" s="75"/>
      <c r="I73" s="75"/>
      <c r="J73" s="75"/>
      <c r="K73" s="75"/>
      <c r="L73" s="75"/>
      <c r="M73" s="75"/>
      <c r="N73" s="75"/>
      <c r="O73" s="75"/>
      <c r="P73" s="75"/>
      <c r="Q73" s="75"/>
      <c r="R73" s="75"/>
      <c r="S73" s="75"/>
      <c r="T73" s="75"/>
      <c r="U73" s="75"/>
      <c r="V73" s="75"/>
      <c r="W73" s="75"/>
      <c r="X73" s="75"/>
      <c r="Y73" s="75"/>
      <c r="Z73" s="75"/>
      <c r="AA73" s="75"/>
      <c r="AB73" s="75"/>
      <c r="AC73" s="75"/>
      <c r="AD73" s="75"/>
      <c r="AE73" s="75"/>
      <c r="AF73" s="75"/>
      <c r="AG73" s="75"/>
      <c r="AH73" s="75"/>
      <c r="AI73" s="75"/>
      <c r="AJ73" s="75"/>
      <c r="AK73" s="75"/>
    </row>
    <row r="74">
      <c r="A74" s="75"/>
      <c r="B74" s="75"/>
      <c r="C74" s="75">
        <f t="shared" si="6"/>
        <v>0</v>
      </c>
      <c r="D74" s="75"/>
      <c r="E74" s="75"/>
      <c r="F74" s="75"/>
      <c r="G74" s="75"/>
      <c r="H74" s="75"/>
      <c r="I74" s="75"/>
      <c r="J74" s="75"/>
      <c r="K74" s="75"/>
      <c r="L74" s="75"/>
      <c r="M74" s="75"/>
      <c r="N74" s="75"/>
      <c r="O74" s="75"/>
      <c r="P74" s="75"/>
      <c r="Q74" s="75"/>
      <c r="R74" s="75"/>
      <c r="S74" s="75"/>
      <c r="T74" s="75"/>
      <c r="U74" s="75"/>
      <c r="V74" s="75"/>
      <c r="W74" s="75"/>
      <c r="X74" s="75"/>
      <c r="Y74" s="75"/>
      <c r="Z74" s="75"/>
      <c r="AA74" s="75"/>
      <c r="AB74" s="75"/>
      <c r="AC74" s="75"/>
      <c r="AD74" s="75"/>
      <c r="AE74" s="75"/>
      <c r="AF74" s="75"/>
      <c r="AG74" s="75"/>
      <c r="AH74" s="75"/>
      <c r="AI74" s="75"/>
      <c r="AJ74" s="75"/>
      <c r="AK74" s="75"/>
    </row>
    <row r="75">
      <c r="A75" s="75"/>
      <c r="B75" s="75"/>
      <c r="C75" s="75">
        <f t="shared" si="6"/>
        <v>0</v>
      </c>
      <c r="D75" s="75"/>
      <c r="E75" s="75"/>
      <c r="F75" s="75"/>
      <c r="G75" s="75"/>
      <c r="H75" s="75"/>
      <c r="I75" s="75"/>
      <c r="J75" s="75"/>
      <c r="K75" s="75"/>
      <c r="L75" s="75"/>
      <c r="M75" s="75"/>
      <c r="N75" s="75"/>
      <c r="O75" s="75"/>
      <c r="P75" s="75"/>
      <c r="Q75" s="75"/>
      <c r="R75" s="75"/>
      <c r="S75" s="75"/>
      <c r="T75" s="75"/>
      <c r="U75" s="75"/>
      <c r="V75" s="75"/>
      <c r="W75" s="75"/>
      <c r="X75" s="75"/>
      <c r="Y75" s="75"/>
      <c r="Z75" s="75"/>
      <c r="AA75" s="75"/>
      <c r="AB75" s="75"/>
      <c r="AC75" s="75"/>
      <c r="AD75" s="75"/>
      <c r="AE75" s="75"/>
      <c r="AF75" s="75"/>
      <c r="AG75" s="75"/>
      <c r="AH75" s="75"/>
      <c r="AI75" s="75"/>
      <c r="AJ75" s="75"/>
      <c r="AK75" s="75"/>
    </row>
    <row r="76">
      <c r="A76" s="75"/>
      <c r="B76" s="75"/>
      <c r="C76" s="75">
        <f t="shared" si="6"/>
        <v>0</v>
      </c>
      <c r="D76" s="75"/>
      <c r="E76" s="75"/>
      <c r="F76" s="75"/>
      <c r="G76" s="75"/>
      <c r="H76" s="75"/>
      <c r="I76" s="75"/>
      <c r="J76" s="75"/>
      <c r="K76" s="75"/>
      <c r="L76" s="75"/>
      <c r="M76" s="75"/>
      <c r="N76" s="75"/>
      <c r="O76" s="75"/>
      <c r="P76" s="75"/>
      <c r="Q76" s="75"/>
      <c r="R76" s="75"/>
      <c r="S76" s="75"/>
      <c r="T76" s="75"/>
      <c r="U76" s="75"/>
      <c r="V76" s="75"/>
      <c r="W76" s="75"/>
      <c r="X76" s="75"/>
      <c r="Y76" s="75"/>
      <c r="Z76" s="75"/>
      <c r="AA76" s="75"/>
      <c r="AB76" s="75"/>
      <c r="AC76" s="75"/>
      <c r="AD76" s="75"/>
      <c r="AE76" s="75"/>
      <c r="AF76" s="75"/>
      <c r="AG76" s="75"/>
      <c r="AH76" s="75"/>
      <c r="AI76" s="75"/>
      <c r="AJ76" s="75"/>
      <c r="AK76" s="75"/>
    </row>
    <row r="77">
      <c r="A77" s="75"/>
      <c r="B77" s="75"/>
      <c r="C77" s="75">
        <f t="shared" si="6"/>
        <v>0</v>
      </c>
      <c r="D77" s="75"/>
      <c r="E77" s="75"/>
      <c r="F77" s="75"/>
      <c r="G77" s="75"/>
      <c r="H77" s="75"/>
      <c r="I77" s="75"/>
      <c r="J77" s="75"/>
      <c r="K77" s="75"/>
      <c r="L77" s="75"/>
      <c r="M77" s="75"/>
      <c r="N77" s="75"/>
      <c r="O77" s="75"/>
      <c r="P77" s="75"/>
      <c r="Q77" s="75"/>
      <c r="R77" s="75"/>
      <c r="S77" s="75"/>
      <c r="T77" s="75"/>
      <c r="U77" s="75"/>
      <c r="V77" s="75"/>
      <c r="W77" s="75"/>
      <c r="X77" s="75"/>
      <c r="Y77" s="75"/>
      <c r="Z77" s="75"/>
      <c r="AA77" s="75"/>
      <c r="AB77" s="75"/>
      <c r="AC77" s="75"/>
      <c r="AD77" s="75"/>
      <c r="AE77" s="75"/>
      <c r="AF77" s="75"/>
      <c r="AG77" s="75"/>
      <c r="AH77" s="75"/>
      <c r="AI77" s="75"/>
      <c r="AJ77" s="75"/>
      <c r="AK77" s="75"/>
    </row>
    <row r="78">
      <c r="A78" s="75"/>
      <c r="B78" s="75"/>
      <c r="C78" s="75">
        <f t="shared" si="6"/>
        <v>0</v>
      </c>
      <c r="D78" s="75"/>
      <c r="E78" s="75"/>
      <c r="F78" s="75"/>
      <c r="G78" s="75"/>
      <c r="H78" s="75"/>
      <c r="I78" s="75"/>
      <c r="J78" s="75"/>
      <c r="K78" s="75"/>
      <c r="L78" s="75"/>
      <c r="M78" s="75"/>
      <c r="N78" s="75"/>
      <c r="O78" s="75"/>
      <c r="P78" s="75"/>
      <c r="Q78" s="75"/>
      <c r="R78" s="75"/>
      <c r="S78" s="75"/>
      <c r="T78" s="75"/>
      <c r="U78" s="75"/>
      <c r="V78" s="75"/>
      <c r="W78" s="75"/>
      <c r="X78" s="75"/>
      <c r="Y78" s="75"/>
      <c r="Z78" s="75"/>
      <c r="AA78" s="75"/>
      <c r="AB78" s="75"/>
      <c r="AC78" s="75"/>
      <c r="AD78" s="75"/>
      <c r="AE78" s="75"/>
      <c r="AF78" s="75"/>
      <c r="AG78" s="75"/>
      <c r="AH78" s="75"/>
      <c r="AI78" s="75"/>
      <c r="AJ78" s="75"/>
      <c r="AK78" s="75"/>
    </row>
    <row r="79">
      <c r="A79" s="75"/>
      <c r="B79" s="75"/>
      <c r="C79" s="75">
        <f t="shared" si="6"/>
        <v>0</v>
      </c>
      <c r="D79" s="75"/>
      <c r="E79" s="75"/>
      <c r="F79" s="75"/>
      <c r="G79" s="75"/>
      <c r="H79" s="75"/>
      <c r="I79" s="75"/>
      <c r="J79" s="75"/>
      <c r="K79" s="75"/>
      <c r="L79" s="75"/>
      <c r="M79" s="75"/>
      <c r="N79" s="75"/>
      <c r="O79" s="75"/>
      <c r="P79" s="75"/>
      <c r="Q79" s="75"/>
      <c r="R79" s="75"/>
      <c r="S79" s="75"/>
      <c r="T79" s="75"/>
      <c r="U79" s="75"/>
      <c r="V79" s="75"/>
      <c r="W79" s="75"/>
      <c r="X79" s="75"/>
      <c r="Y79" s="75"/>
      <c r="Z79" s="75"/>
      <c r="AA79" s="75"/>
      <c r="AB79" s="75"/>
      <c r="AC79" s="75"/>
      <c r="AD79" s="75"/>
      <c r="AE79" s="75"/>
      <c r="AF79" s="75"/>
      <c r="AG79" s="75"/>
      <c r="AH79" s="75"/>
      <c r="AI79" s="75"/>
      <c r="AJ79" s="75"/>
      <c r="AK79" s="75"/>
    </row>
    <row r="80">
      <c r="A80" s="75"/>
      <c r="B80" s="75"/>
      <c r="C80" s="75">
        <f t="shared" si="6"/>
        <v>0</v>
      </c>
      <c r="D80" s="75"/>
      <c r="E80" s="75"/>
      <c r="F80" s="75"/>
      <c r="G80" s="75"/>
      <c r="H80" s="75"/>
      <c r="I80" s="75"/>
      <c r="J80" s="75"/>
      <c r="K80" s="75"/>
      <c r="L80" s="75"/>
      <c r="M80" s="75"/>
      <c r="N80" s="75"/>
      <c r="O80" s="75"/>
      <c r="P80" s="75"/>
      <c r="Q80" s="75"/>
      <c r="R80" s="75"/>
      <c r="S80" s="75"/>
      <c r="T80" s="75"/>
      <c r="U80" s="75"/>
      <c r="V80" s="75"/>
      <c r="W80" s="75"/>
      <c r="X80" s="75"/>
      <c r="Y80" s="75"/>
      <c r="Z80" s="75"/>
      <c r="AA80" s="75"/>
      <c r="AB80" s="75"/>
      <c r="AC80" s="75"/>
      <c r="AD80" s="75"/>
      <c r="AE80" s="75"/>
      <c r="AF80" s="75"/>
      <c r="AG80" s="75"/>
      <c r="AH80" s="75"/>
      <c r="AI80" s="75"/>
      <c r="AJ80" s="75"/>
      <c r="AK80" s="75"/>
    </row>
    <row r="81">
      <c r="A81" s="75"/>
      <c r="B81" s="75"/>
      <c r="C81" s="75">
        <f t="shared" si="6"/>
        <v>0</v>
      </c>
      <c r="D81" s="75"/>
      <c r="E81" s="75"/>
      <c r="F81" s="75"/>
      <c r="G81" s="75"/>
      <c r="H81" s="75"/>
      <c r="I81" s="75"/>
      <c r="J81" s="75"/>
      <c r="K81" s="75"/>
      <c r="L81" s="75"/>
      <c r="M81" s="75"/>
      <c r="N81" s="75"/>
      <c r="O81" s="75"/>
      <c r="P81" s="75"/>
      <c r="Q81" s="75"/>
      <c r="R81" s="75"/>
      <c r="S81" s="75"/>
      <c r="T81" s="75"/>
      <c r="U81" s="75"/>
      <c r="V81" s="75"/>
      <c r="W81" s="75"/>
      <c r="X81" s="75"/>
      <c r="Y81" s="75"/>
      <c r="Z81" s="75"/>
      <c r="AA81" s="75"/>
      <c r="AB81" s="75"/>
      <c r="AC81" s="75"/>
      <c r="AD81" s="75"/>
      <c r="AE81" s="75"/>
      <c r="AF81" s="75"/>
      <c r="AG81" s="75"/>
      <c r="AH81" s="75"/>
      <c r="AI81" s="75"/>
      <c r="AJ81" s="75"/>
      <c r="AK81" s="75"/>
    </row>
    <row r="82">
      <c r="A82" s="75"/>
      <c r="B82" s="75"/>
      <c r="C82" s="75">
        <f t="shared" si="6"/>
        <v>0</v>
      </c>
      <c r="D82" s="75"/>
      <c r="E82" s="75"/>
      <c r="F82" s="75"/>
      <c r="G82" s="75"/>
      <c r="H82" s="75"/>
      <c r="I82" s="75"/>
      <c r="J82" s="75"/>
      <c r="K82" s="75"/>
      <c r="L82" s="75"/>
      <c r="M82" s="75"/>
      <c r="N82" s="75"/>
      <c r="O82" s="75"/>
      <c r="P82" s="75"/>
      <c r="Q82" s="75"/>
      <c r="R82" s="75"/>
      <c r="S82" s="75"/>
      <c r="T82" s="75"/>
      <c r="U82" s="75"/>
      <c r="V82" s="75"/>
      <c r="W82" s="75"/>
      <c r="X82" s="75"/>
      <c r="Y82" s="75"/>
      <c r="Z82" s="75"/>
      <c r="AA82" s="75"/>
      <c r="AB82" s="75"/>
      <c r="AC82" s="75"/>
      <c r="AD82" s="75"/>
      <c r="AE82" s="75"/>
      <c r="AF82" s="75"/>
      <c r="AG82" s="75"/>
      <c r="AH82" s="75"/>
      <c r="AI82" s="75"/>
      <c r="AJ82" s="75"/>
      <c r="AK82" s="75"/>
    </row>
    <row r="83">
      <c r="A83" s="75"/>
      <c r="B83" s="75"/>
      <c r="C83" s="75">
        <f t="shared" si="6"/>
        <v>0</v>
      </c>
      <c r="D83" s="75"/>
      <c r="E83" s="75"/>
      <c r="F83" s="75"/>
      <c r="G83" s="75"/>
      <c r="H83" s="75"/>
      <c r="I83" s="75"/>
      <c r="J83" s="75"/>
      <c r="K83" s="75"/>
      <c r="L83" s="75"/>
      <c r="M83" s="75"/>
      <c r="N83" s="75"/>
      <c r="O83" s="75"/>
      <c r="P83" s="75"/>
      <c r="Q83" s="75"/>
      <c r="R83" s="75"/>
      <c r="S83" s="75"/>
      <c r="T83" s="75"/>
      <c r="U83" s="75"/>
      <c r="V83" s="75"/>
      <c r="W83" s="75"/>
      <c r="X83" s="75"/>
      <c r="Y83" s="75"/>
      <c r="Z83" s="75"/>
      <c r="AA83" s="75"/>
      <c r="AB83" s="75"/>
      <c r="AC83" s="75"/>
      <c r="AD83" s="75"/>
      <c r="AE83" s="75"/>
      <c r="AF83" s="75"/>
      <c r="AG83" s="75"/>
      <c r="AH83" s="75"/>
      <c r="AI83" s="75"/>
      <c r="AJ83" s="75"/>
      <c r="AK83" s="75"/>
    </row>
    <row r="84">
      <c r="A84" s="75"/>
      <c r="B84" s="75"/>
      <c r="C84" s="75">
        <f t="shared" si="6"/>
        <v>0</v>
      </c>
      <c r="D84" s="75"/>
      <c r="E84" s="75"/>
      <c r="F84" s="75"/>
      <c r="G84" s="75"/>
      <c r="H84" s="75"/>
      <c r="I84" s="75"/>
      <c r="J84" s="75"/>
      <c r="K84" s="75"/>
      <c r="L84" s="75"/>
      <c r="M84" s="75"/>
      <c r="N84" s="75"/>
      <c r="O84" s="75"/>
      <c r="P84" s="75"/>
      <c r="Q84" s="75"/>
      <c r="R84" s="75"/>
      <c r="S84" s="75"/>
      <c r="T84" s="75"/>
      <c r="U84" s="75"/>
      <c r="V84" s="75"/>
      <c r="W84" s="75"/>
      <c r="X84" s="75"/>
      <c r="Y84" s="75"/>
      <c r="Z84" s="75"/>
      <c r="AA84" s="75"/>
      <c r="AB84" s="75"/>
      <c r="AC84" s="75"/>
      <c r="AD84" s="75"/>
      <c r="AE84" s="75"/>
      <c r="AF84" s="75"/>
      <c r="AG84" s="75"/>
      <c r="AH84" s="75"/>
      <c r="AI84" s="75"/>
      <c r="AJ84" s="75"/>
      <c r="AK84" s="75"/>
    </row>
    <row r="85">
      <c r="A85" s="75"/>
      <c r="B85" s="75"/>
      <c r="C85" s="75">
        <f t="shared" si="6"/>
        <v>0</v>
      </c>
      <c r="D85" s="75"/>
      <c r="E85" s="75"/>
      <c r="F85" s="75"/>
      <c r="G85" s="75"/>
      <c r="H85" s="75"/>
      <c r="I85" s="75"/>
      <c r="J85" s="75"/>
      <c r="K85" s="75"/>
      <c r="L85" s="75"/>
      <c r="M85" s="75"/>
      <c r="N85" s="75"/>
      <c r="O85" s="75"/>
      <c r="P85" s="75"/>
      <c r="Q85" s="75"/>
      <c r="R85" s="75"/>
      <c r="S85" s="75"/>
      <c r="T85" s="75"/>
      <c r="U85" s="75"/>
      <c r="V85" s="75"/>
      <c r="W85" s="75"/>
      <c r="X85" s="75"/>
      <c r="Y85" s="75"/>
      <c r="Z85" s="75"/>
      <c r="AA85" s="75"/>
      <c r="AB85" s="75"/>
      <c r="AC85" s="75"/>
      <c r="AD85" s="75"/>
      <c r="AE85" s="75"/>
      <c r="AF85" s="75"/>
      <c r="AG85" s="75"/>
      <c r="AH85" s="75"/>
      <c r="AI85" s="75"/>
      <c r="AJ85" s="75"/>
      <c r="AK85" s="75"/>
    </row>
    <row r="86">
      <c r="A86" s="75"/>
      <c r="B86" s="75"/>
      <c r="C86" s="75">
        <f t="shared" si="6"/>
        <v>0</v>
      </c>
      <c r="D86" s="75"/>
      <c r="E86" s="75"/>
      <c r="F86" s="75"/>
      <c r="G86" s="75"/>
      <c r="H86" s="75"/>
      <c r="I86" s="75"/>
      <c r="J86" s="75"/>
      <c r="K86" s="75"/>
      <c r="L86" s="75"/>
      <c r="M86" s="75"/>
      <c r="N86" s="75"/>
      <c r="O86" s="75"/>
      <c r="P86" s="75"/>
      <c r="Q86" s="75"/>
      <c r="R86" s="75"/>
      <c r="S86" s="75"/>
      <c r="T86" s="75"/>
      <c r="U86" s="75"/>
      <c r="V86" s="75"/>
      <c r="W86" s="75"/>
      <c r="X86" s="75"/>
      <c r="Y86" s="75"/>
      <c r="Z86" s="75"/>
      <c r="AA86" s="75"/>
      <c r="AB86" s="75"/>
      <c r="AC86" s="75"/>
      <c r="AD86" s="75"/>
      <c r="AE86" s="75"/>
      <c r="AF86" s="75"/>
      <c r="AG86" s="75"/>
      <c r="AH86" s="75"/>
      <c r="AI86" s="75"/>
      <c r="AJ86" s="75"/>
      <c r="AK86" s="75"/>
    </row>
    <row r="87">
      <c r="A87" s="75"/>
      <c r="B87" s="75"/>
      <c r="C87" s="75">
        <f t="shared" si="6"/>
        <v>0</v>
      </c>
      <c r="D87" s="75"/>
      <c r="E87" s="75"/>
      <c r="F87" s="75"/>
      <c r="G87" s="75"/>
      <c r="H87" s="75"/>
      <c r="I87" s="75"/>
      <c r="J87" s="75"/>
      <c r="K87" s="75"/>
      <c r="L87" s="75"/>
      <c r="M87" s="75"/>
      <c r="N87" s="75"/>
      <c r="O87" s="75"/>
      <c r="P87" s="75"/>
      <c r="Q87" s="75"/>
      <c r="R87" s="75"/>
      <c r="S87" s="75"/>
      <c r="T87" s="75"/>
      <c r="U87" s="75"/>
      <c r="V87" s="75"/>
      <c r="W87" s="75"/>
      <c r="X87" s="75"/>
      <c r="Y87" s="75"/>
      <c r="Z87" s="75"/>
      <c r="AA87" s="75"/>
      <c r="AB87" s="75"/>
      <c r="AC87" s="75"/>
      <c r="AD87" s="75"/>
      <c r="AE87" s="75"/>
      <c r="AF87" s="75"/>
      <c r="AG87" s="75"/>
      <c r="AH87" s="75"/>
      <c r="AI87" s="75"/>
      <c r="AJ87" s="75"/>
      <c r="AK87" s="75"/>
    </row>
    <row r="88">
      <c r="A88" s="75"/>
      <c r="B88" s="75"/>
      <c r="C88" s="75">
        <f t="shared" si="6"/>
        <v>0</v>
      </c>
      <c r="D88" s="75"/>
      <c r="E88" s="75"/>
      <c r="F88" s="75"/>
      <c r="G88" s="75"/>
      <c r="H88" s="75"/>
      <c r="I88" s="75"/>
      <c r="J88" s="75"/>
      <c r="K88" s="75"/>
      <c r="L88" s="75"/>
      <c r="M88" s="75"/>
      <c r="N88" s="75"/>
      <c r="O88" s="75"/>
      <c r="P88" s="75"/>
      <c r="Q88" s="75"/>
      <c r="R88" s="75"/>
      <c r="S88" s="75"/>
      <c r="T88" s="75"/>
      <c r="U88" s="75"/>
      <c r="V88" s="75"/>
      <c r="W88" s="75"/>
      <c r="X88" s="75"/>
      <c r="Y88" s="75"/>
      <c r="Z88" s="75"/>
      <c r="AA88" s="75"/>
      <c r="AB88" s="75"/>
      <c r="AC88" s="75"/>
      <c r="AD88" s="75"/>
      <c r="AE88" s="75"/>
      <c r="AF88" s="75"/>
      <c r="AG88" s="75"/>
      <c r="AH88" s="75"/>
      <c r="AI88" s="75"/>
      <c r="AJ88" s="75"/>
      <c r="AK88" s="75"/>
    </row>
    <row r="89">
      <c r="A89" s="75"/>
      <c r="B89" s="75"/>
      <c r="C89" s="75">
        <f t="shared" si="6"/>
        <v>0</v>
      </c>
      <c r="D89" s="75"/>
      <c r="E89" s="75"/>
      <c r="F89" s="75"/>
      <c r="G89" s="75"/>
      <c r="H89" s="75"/>
      <c r="I89" s="75"/>
      <c r="J89" s="75"/>
      <c r="K89" s="75"/>
      <c r="L89" s="75"/>
      <c r="M89" s="75"/>
      <c r="N89" s="75"/>
      <c r="O89" s="75"/>
      <c r="P89" s="75"/>
      <c r="Q89" s="75"/>
      <c r="R89" s="75"/>
      <c r="S89" s="75"/>
      <c r="T89" s="75"/>
      <c r="U89" s="75"/>
      <c r="V89" s="75"/>
      <c r="W89" s="75"/>
      <c r="X89" s="75"/>
      <c r="Y89" s="75"/>
      <c r="Z89" s="75"/>
      <c r="AA89" s="75"/>
      <c r="AB89" s="75"/>
      <c r="AC89" s="75"/>
      <c r="AD89" s="75"/>
      <c r="AE89" s="75"/>
      <c r="AF89" s="75"/>
      <c r="AG89" s="75"/>
      <c r="AH89" s="75"/>
      <c r="AI89" s="75"/>
      <c r="AJ89" s="75"/>
      <c r="AK89" s="75"/>
    </row>
    <row r="90">
      <c r="A90" s="75"/>
      <c r="B90" s="75"/>
      <c r="C90" s="75">
        <f t="shared" si="6"/>
        <v>0</v>
      </c>
      <c r="D90" s="75"/>
      <c r="E90" s="75"/>
      <c r="F90" s="75"/>
      <c r="G90" s="75"/>
      <c r="H90" s="75"/>
      <c r="I90" s="75"/>
      <c r="J90" s="75"/>
      <c r="K90" s="75"/>
      <c r="L90" s="75"/>
      <c r="M90" s="75"/>
      <c r="N90" s="75"/>
      <c r="O90" s="75"/>
      <c r="P90" s="75"/>
      <c r="Q90" s="75"/>
      <c r="R90" s="75"/>
      <c r="S90" s="75"/>
      <c r="T90" s="75"/>
      <c r="U90" s="75"/>
      <c r="V90" s="75"/>
      <c r="W90" s="75"/>
      <c r="X90" s="75"/>
      <c r="Y90" s="75"/>
      <c r="Z90" s="75"/>
      <c r="AA90" s="75"/>
      <c r="AB90" s="75"/>
      <c r="AC90" s="75"/>
      <c r="AD90" s="75"/>
      <c r="AE90" s="75"/>
      <c r="AF90" s="75"/>
      <c r="AG90" s="75"/>
      <c r="AH90" s="75"/>
      <c r="AI90" s="75"/>
      <c r="AJ90" s="75"/>
      <c r="AK90" s="75"/>
    </row>
    <row r="91">
      <c r="A91" s="75"/>
      <c r="B91" s="75"/>
      <c r="C91" s="75">
        <f t="shared" si="6"/>
        <v>0</v>
      </c>
      <c r="D91" s="75"/>
      <c r="E91" s="75"/>
      <c r="F91" s="75"/>
      <c r="G91" s="75"/>
      <c r="H91" s="75"/>
      <c r="I91" s="75"/>
      <c r="J91" s="75"/>
      <c r="K91" s="75"/>
      <c r="L91" s="75"/>
      <c r="M91" s="75"/>
      <c r="N91" s="75"/>
      <c r="O91" s="75"/>
      <c r="P91" s="75"/>
      <c r="Q91" s="75"/>
      <c r="R91" s="75"/>
      <c r="S91" s="75"/>
      <c r="T91" s="75"/>
      <c r="U91" s="75"/>
      <c r="V91" s="75"/>
      <c r="W91" s="75"/>
      <c r="X91" s="75"/>
      <c r="Y91" s="75"/>
      <c r="Z91" s="75"/>
      <c r="AA91" s="75"/>
      <c r="AB91" s="75"/>
      <c r="AC91" s="75"/>
      <c r="AD91" s="75"/>
      <c r="AE91" s="75"/>
      <c r="AF91" s="75"/>
      <c r="AG91" s="75"/>
      <c r="AH91" s="75"/>
      <c r="AI91" s="75"/>
      <c r="AJ91" s="75"/>
      <c r="AK91" s="75"/>
    </row>
    <row r="92">
      <c r="A92" s="75"/>
      <c r="B92" s="75"/>
      <c r="C92" s="75">
        <f t="shared" si="6"/>
        <v>0</v>
      </c>
      <c r="D92" s="75"/>
      <c r="E92" s="75"/>
      <c r="F92" s="75"/>
      <c r="G92" s="75"/>
      <c r="H92" s="75"/>
      <c r="I92" s="75"/>
      <c r="J92" s="75"/>
      <c r="K92" s="75"/>
      <c r="L92" s="75"/>
      <c r="M92" s="75"/>
      <c r="N92" s="75"/>
      <c r="O92" s="75"/>
      <c r="P92" s="75"/>
      <c r="Q92" s="75"/>
      <c r="R92" s="75"/>
      <c r="S92" s="75"/>
      <c r="T92" s="75"/>
      <c r="U92" s="75"/>
      <c r="V92" s="75"/>
      <c r="W92" s="75"/>
      <c r="X92" s="75"/>
      <c r="Y92" s="75"/>
      <c r="Z92" s="75"/>
      <c r="AA92" s="75"/>
      <c r="AB92" s="75"/>
      <c r="AC92" s="75"/>
      <c r="AD92" s="75"/>
      <c r="AE92" s="75"/>
      <c r="AF92" s="75"/>
      <c r="AG92" s="75"/>
      <c r="AH92" s="75"/>
      <c r="AI92" s="75"/>
      <c r="AJ92" s="75"/>
      <c r="AK92" s="75"/>
    </row>
    <row r="93">
      <c r="A93" s="75"/>
      <c r="B93" s="75"/>
      <c r="C93" s="75">
        <f t="shared" si="6"/>
        <v>0</v>
      </c>
      <c r="D93" s="75"/>
      <c r="E93" s="75"/>
      <c r="F93" s="75"/>
      <c r="G93" s="75"/>
      <c r="H93" s="75"/>
      <c r="I93" s="75"/>
      <c r="J93" s="75"/>
      <c r="K93" s="75"/>
      <c r="L93" s="75"/>
      <c r="M93" s="75"/>
      <c r="N93" s="75"/>
      <c r="O93" s="75"/>
      <c r="P93" s="75"/>
      <c r="Q93" s="75"/>
      <c r="R93" s="75"/>
      <c r="S93" s="75"/>
      <c r="T93" s="75"/>
      <c r="U93" s="75"/>
      <c r="V93" s="75"/>
      <c r="W93" s="75"/>
      <c r="X93" s="75"/>
      <c r="Y93" s="75"/>
      <c r="Z93" s="75"/>
      <c r="AA93" s="75"/>
      <c r="AB93" s="75"/>
      <c r="AC93" s="75"/>
      <c r="AD93" s="75"/>
      <c r="AE93" s="75"/>
      <c r="AF93" s="75"/>
      <c r="AG93" s="75"/>
      <c r="AH93" s="75"/>
      <c r="AI93" s="75"/>
      <c r="AJ93" s="75"/>
      <c r="AK93" s="75"/>
    </row>
    <row r="94">
      <c r="A94" s="75"/>
      <c r="B94" s="75"/>
      <c r="C94" s="75">
        <f t="shared" si="6"/>
        <v>0</v>
      </c>
      <c r="D94" s="75"/>
      <c r="E94" s="75"/>
      <c r="F94" s="75"/>
      <c r="G94" s="75"/>
      <c r="H94" s="75"/>
      <c r="I94" s="75"/>
      <c r="J94" s="75"/>
      <c r="K94" s="75"/>
      <c r="L94" s="75"/>
      <c r="M94" s="75"/>
      <c r="N94" s="75"/>
      <c r="O94" s="75"/>
      <c r="P94" s="75"/>
      <c r="Q94" s="75"/>
      <c r="R94" s="75"/>
      <c r="S94" s="75"/>
      <c r="T94" s="75"/>
      <c r="U94" s="75"/>
      <c r="V94" s="75"/>
      <c r="W94" s="75"/>
      <c r="X94" s="75"/>
      <c r="Y94" s="75"/>
      <c r="Z94" s="75"/>
      <c r="AA94" s="75"/>
      <c r="AB94" s="75"/>
      <c r="AC94" s="75"/>
      <c r="AD94" s="75"/>
      <c r="AE94" s="75"/>
      <c r="AF94" s="75"/>
      <c r="AG94" s="75"/>
      <c r="AH94" s="75"/>
      <c r="AI94" s="75"/>
      <c r="AJ94" s="75"/>
      <c r="AK94" s="75"/>
    </row>
    <row r="95">
      <c r="A95" s="20"/>
    </row>
    <row r="96">
      <c r="A96" s="20"/>
    </row>
    <row r="97">
      <c r="A97" s="20"/>
    </row>
    <row r="98">
      <c r="A98" s="20"/>
    </row>
    <row r="99">
      <c r="A99" s="20"/>
    </row>
    <row r="100">
      <c r="A100" s="20"/>
    </row>
    <row r="101">
      <c r="A101" s="20"/>
    </row>
    <row r="102">
      <c r="A102" s="20"/>
    </row>
    <row r="103">
      <c r="A103" s="20"/>
    </row>
    <row r="104">
      <c r="A104" s="20"/>
    </row>
    <row r="105">
      <c r="A105" s="20"/>
    </row>
    <row r="106">
      <c r="A106" s="20"/>
    </row>
    <row r="107">
      <c r="A107" s="20"/>
    </row>
    <row r="108">
      <c r="A108" s="20"/>
    </row>
    <row r="109">
      <c r="A109" s="20"/>
    </row>
    <row r="110">
      <c r="A110" s="20"/>
    </row>
    <row r="111">
      <c r="A111" s="20"/>
    </row>
    <row r="112">
      <c r="A112" s="20"/>
    </row>
    <row r="113">
      <c r="A113" s="20"/>
    </row>
    <row r="114">
      <c r="A114" s="20"/>
    </row>
    <row r="115">
      <c r="A115" s="20"/>
    </row>
    <row r="116">
      <c r="A116" s="20"/>
    </row>
    <row r="117">
      <c r="A117" s="20"/>
    </row>
    <row r="118">
      <c r="A118" s="20"/>
    </row>
    <row r="119">
      <c r="A119" s="20"/>
    </row>
    <row r="120">
      <c r="A120" s="20"/>
    </row>
    <row r="121">
      <c r="A121" s="20"/>
    </row>
    <row r="122">
      <c r="A122" s="20"/>
    </row>
    <row r="123">
      <c r="A123" s="20"/>
    </row>
    <row r="124">
      <c r="A124" s="20"/>
    </row>
    <row r="125">
      <c r="A125" s="20"/>
    </row>
    <row r="126">
      <c r="A126" s="20"/>
    </row>
    <row r="127">
      <c r="A127" s="20"/>
    </row>
    <row r="128">
      <c r="A128" s="20"/>
    </row>
    <row r="129">
      <c r="A129" s="20"/>
    </row>
    <row r="130">
      <c r="A130" s="20"/>
    </row>
    <row r="131">
      <c r="A131" s="20"/>
    </row>
    <row r="132">
      <c r="A132" s="20"/>
    </row>
    <row r="133">
      <c r="A133" s="20"/>
    </row>
    <row r="134">
      <c r="A134" s="20"/>
    </row>
    <row r="135">
      <c r="A135" s="20"/>
    </row>
    <row r="136">
      <c r="A136" s="20"/>
    </row>
    <row r="137">
      <c r="A137" s="20"/>
    </row>
    <row r="138">
      <c r="A138" s="20"/>
    </row>
    <row r="139">
      <c r="A139" s="20"/>
    </row>
    <row r="140">
      <c r="A140" s="20"/>
    </row>
    <row r="141">
      <c r="A141" s="20"/>
    </row>
    <row r="142">
      <c r="A142" s="20"/>
    </row>
    <row r="143">
      <c r="A143" s="20"/>
    </row>
    <row r="144">
      <c r="A144" s="20"/>
    </row>
    <row r="145">
      <c r="A145" s="20"/>
    </row>
    <row r="146">
      <c r="A146" s="20"/>
    </row>
    <row r="147">
      <c r="A147" s="20"/>
    </row>
    <row r="148">
      <c r="A148" s="20"/>
    </row>
    <row r="149">
      <c r="A149" s="20"/>
    </row>
    <row r="150">
      <c r="A150" s="20"/>
    </row>
    <row r="151">
      <c r="A151" s="20"/>
    </row>
    <row r="152">
      <c r="A152" s="20"/>
    </row>
    <row r="153">
      <c r="A153" s="20"/>
    </row>
    <row r="154">
      <c r="A154" s="20"/>
    </row>
    <row r="155">
      <c r="A155" s="20"/>
    </row>
    <row r="156">
      <c r="A156" s="20"/>
    </row>
    <row r="157">
      <c r="A157" s="20"/>
    </row>
    <row r="158">
      <c r="A158" s="20"/>
    </row>
    <row r="159">
      <c r="A159" s="20"/>
    </row>
    <row r="160">
      <c r="A160" s="20"/>
    </row>
    <row r="161">
      <c r="A161" s="20"/>
    </row>
    <row r="162">
      <c r="A162" s="20"/>
    </row>
    <row r="163">
      <c r="A163" s="20"/>
    </row>
    <row r="164">
      <c r="A164" s="20"/>
    </row>
    <row r="165">
      <c r="A165" s="20"/>
    </row>
    <row r="166">
      <c r="A166" s="20"/>
    </row>
    <row r="167">
      <c r="A167" s="20"/>
    </row>
    <row r="168">
      <c r="A168" s="20"/>
    </row>
    <row r="169">
      <c r="A169" s="20"/>
    </row>
    <row r="170">
      <c r="A170" s="20"/>
    </row>
    <row r="171">
      <c r="A171" s="20"/>
    </row>
    <row r="172">
      <c r="A172" s="20"/>
    </row>
    <row r="173">
      <c r="A173" s="20"/>
    </row>
    <row r="174">
      <c r="A174" s="20"/>
    </row>
    <row r="175">
      <c r="A175" s="20"/>
    </row>
    <row r="176">
      <c r="A176" s="20"/>
    </row>
    <row r="177">
      <c r="A177" s="20"/>
    </row>
    <row r="178">
      <c r="A178" s="20"/>
    </row>
    <row r="179">
      <c r="A179" s="20"/>
    </row>
    <row r="180">
      <c r="A180" s="20"/>
    </row>
    <row r="181">
      <c r="A181" s="20"/>
    </row>
    <row r="182">
      <c r="A182" s="20"/>
    </row>
    <row r="183">
      <c r="A183" s="20"/>
    </row>
    <row r="184">
      <c r="A184" s="20"/>
    </row>
    <row r="185">
      <c r="A185" s="20"/>
    </row>
    <row r="186">
      <c r="A186" s="20"/>
    </row>
    <row r="187">
      <c r="A187" s="20"/>
    </row>
    <row r="188">
      <c r="A188" s="20"/>
    </row>
    <row r="189">
      <c r="A189" s="20"/>
    </row>
    <row r="190">
      <c r="A190" s="20"/>
    </row>
    <row r="191">
      <c r="A191" s="20"/>
    </row>
    <row r="192">
      <c r="A192" s="20"/>
    </row>
    <row r="193">
      <c r="A193" s="20"/>
    </row>
    <row r="194">
      <c r="A194" s="20"/>
    </row>
    <row r="195">
      <c r="A195" s="20"/>
    </row>
    <row r="196">
      <c r="A196" s="20"/>
    </row>
    <row r="197">
      <c r="A197" s="20"/>
    </row>
    <row r="198">
      <c r="A198" s="20"/>
    </row>
    <row r="199">
      <c r="A199" s="20"/>
    </row>
    <row r="200">
      <c r="A200" s="20"/>
    </row>
    <row r="201">
      <c r="A201" s="20"/>
    </row>
    <row r="202">
      <c r="A202" s="20"/>
    </row>
    <row r="203">
      <c r="A203" s="20"/>
    </row>
    <row r="204">
      <c r="A204" s="20"/>
    </row>
    <row r="205">
      <c r="A205" s="20"/>
    </row>
    <row r="206">
      <c r="A206" s="20"/>
    </row>
    <row r="207">
      <c r="A207" s="20"/>
    </row>
    <row r="208">
      <c r="A208" s="20"/>
    </row>
    <row r="209">
      <c r="A209" s="20"/>
    </row>
    <row r="210">
      <c r="A210" s="20"/>
    </row>
    <row r="211">
      <c r="A211" s="20"/>
    </row>
    <row r="212">
      <c r="A212" s="20"/>
    </row>
    <row r="213">
      <c r="A213" s="20"/>
    </row>
    <row r="214">
      <c r="A214" s="20"/>
    </row>
    <row r="215">
      <c r="A215" s="20"/>
    </row>
    <row r="216">
      <c r="A216" s="20"/>
    </row>
    <row r="217">
      <c r="A217" s="20"/>
    </row>
    <row r="218">
      <c r="A218" s="20"/>
    </row>
    <row r="219">
      <c r="A219" s="20"/>
    </row>
    <row r="220">
      <c r="A220" s="20"/>
    </row>
    <row r="221">
      <c r="A221" s="20"/>
    </row>
    <row r="222">
      <c r="A222" s="20"/>
    </row>
    <row r="223">
      <c r="A223" s="20"/>
    </row>
    <row r="224">
      <c r="A224" s="20"/>
    </row>
    <row r="225">
      <c r="A225" s="20"/>
    </row>
    <row r="226">
      <c r="A226" s="20"/>
    </row>
    <row r="227">
      <c r="A227" s="20"/>
    </row>
    <row r="228">
      <c r="A228" s="20"/>
    </row>
    <row r="229">
      <c r="A229" s="20"/>
    </row>
    <row r="230">
      <c r="A230" s="20"/>
    </row>
    <row r="231">
      <c r="A231" s="20"/>
    </row>
    <row r="232">
      <c r="A232" s="20"/>
    </row>
    <row r="233">
      <c r="A233" s="20"/>
    </row>
    <row r="234">
      <c r="A234" s="20"/>
    </row>
    <row r="235">
      <c r="A235" s="20"/>
    </row>
    <row r="236">
      <c r="A236" s="20"/>
    </row>
    <row r="237">
      <c r="A237" s="20"/>
    </row>
    <row r="238">
      <c r="A238" s="20"/>
    </row>
    <row r="239">
      <c r="A239" s="20"/>
    </row>
    <row r="240">
      <c r="A240" s="20"/>
    </row>
    <row r="241">
      <c r="A241" s="20"/>
    </row>
    <row r="242">
      <c r="A242" s="20"/>
    </row>
    <row r="243">
      <c r="A243" s="20"/>
    </row>
    <row r="244">
      <c r="A244" s="20"/>
    </row>
    <row r="245">
      <c r="A245" s="20"/>
    </row>
    <row r="246">
      <c r="A246" s="20"/>
    </row>
    <row r="247">
      <c r="A247" s="20"/>
    </row>
    <row r="248">
      <c r="A248" s="20"/>
    </row>
    <row r="249">
      <c r="A249" s="20"/>
    </row>
    <row r="250">
      <c r="A250" s="20"/>
    </row>
    <row r="251">
      <c r="A251" s="20"/>
    </row>
    <row r="252">
      <c r="A252" s="20"/>
    </row>
    <row r="253">
      <c r="A253" s="20"/>
    </row>
    <row r="254">
      <c r="A254" s="20"/>
    </row>
    <row r="255">
      <c r="A255" s="20"/>
    </row>
    <row r="256">
      <c r="A256" s="20"/>
    </row>
    <row r="257">
      <c r="A257" s="20"/>
    </row>
    <row r="258">
      <c r="A258" s="20"/>
    </row>
    <row r="259">
      <c r="A259" s="20"/>
    </row>
    <row r="260">
      <c r="A260" s="20"/>
    </row>
    <row r="261">
      <c r="A261" s="20"/>
    </row>
    <row r="262">
      <c r="A262" s="20"/>
    </row>
    <row r="263">
      <c r="A263" s="20"/>
    </row>
    <row r="264">
      <c r="A264" s="20"/>
    </row>
    <row r="265">
      <c r="A265" s="20"/>
    </row>
    <row r="266">
      <c r="A266" s="20"/>
    </row>
    <row r="267">
      <c r="A267" s="20"/>
    </row>
    <row r="268">
      <c r="A268" s="20"/>
    </row>
    <row r="269">
      <c r="A269" s="20"/>
    </row>
    <row r="270">
      <c r="A270" s="20"/>
    </row>
    <row r="271">
      <c r="A271" s="20"/>
    </row>
    <row r="272">
      <c r="A272" s="20"/>
    </row>
    <row r="273">
      <c r="A273" s="20"/>
    </row>
    <row r="274">
      <c r="A274" s="20"/>
    </row>
    <row r="275">
      <c r="A275" s="20"/>
    </row>
    <row r="276">
      <c r="A276" s="20"/>
    </row>
    <row r="277">
      <c r="A277" s="20"/>
    </row>
    <row r="278">
      <c r="A278" s="20"/>
    </row>
    <row r="279">
      <c r="A279" s="20"/>
    </row>
    <row r="280">
      <c r="A280" s="20"/>
    </row>
    <row r="281">
      <c r="A281" s="20"/>
    </row>
    <row r="282">
      <c r="A282" s="20"/>
    </row>
    <row r="283">
      <c r="A283" s="20"/>
    </row>
    <row r="284">
      <c r="A284" s="20"/>
    </row>
    <row r="285">
      <c r="A285" s="20"/>
    </row>
    <row r="286">
      <c r="A286" s="20"/>
    </row>
    <row r="287">
      <c r="A287" s="20"/>
    </row>
    <row r="288">
      <c r="A288" s="20"/>
    </row>
    <row r="289">
      <c r="A289" s="20"/>
    </row>
    <row r="290">
      <c r="A290" s="20"/>
    </row>
    <row r="291">
      <c r="A291" s="20"/>
    </row>
    <row r="292">
      <c r="A292" s="20"/>
    </row>
    <row r="293">
      <c r="A293" s="20"/>
    </row>
    <row r="294">
      <c r="A294" s="20"/>
    </row>
    <row r="295">
      <c r="A295" s="20"/>
    </row>
    <row r="296">
      <c r="A296" s="20"/>
    </row>
    <row r="297">
      <c r="A297" s="20"/>
    </row>
    <row r="298">
      <c r="A298" s="20"/>
    </row>
    <row r="299">
      <c r="A299" s="20"/>
    </row>
    <row r="300">
      <c r="A300" s="20"/>
    </row>
    <row r="301">
      <c r="A301" s="20"/>
    </row>
    <row r="302">
      <c r="A302" s="20"/>
    </row>
    <row r="303">
      <c r="A303" s="20"/>
    </row>
    <row r="304">
      <c r="A304" s="20"/>
    </row>
    <row r="305">
      <c r="A305" s="20"/>
    </row>
    <row r="306">
      <c r="A306" s="20"/>
    </row>
    <row r="307">
      <c r="A307" s="20"/>
    </row>
    <row r="308">
      <c r="A308" s="20"/>
    </row>
    <row r="309">
      <c r="A309" s="20"/>
    </row>
    <row r="310">
      <c r="A310" s="20"/>
    </row>
    <row r="311">
      <c r="A311" s="20"/>
    </row>
    <row r="312">
      <c r="A312" s="20"/>
    </row>
    <row r="313">
      <c r="A313" s="20"/>
    </row>
    <row r="314">
      <c r="A314" s="20"/>
    </row>
    <row r="315">
      <c r="A315" s="20"/>
    </row>
    <row r="316">
      <c r="A316" s="20"/>
    </row>
    <row r="317">
      <c r="A317" s="20"/>
    </row>
    <row r="318">
      <c r="A318" s="20"/>
    </row>
    <row r="319">
      <c r="A319" s="20"/>
    </row>
    <row r="320">
      <c r="A320" s="20"/>
    </row>
    <row r="321">
      <c r="A321" s="20"/>
    </row>
    <row r="322">
      <c r="A322" s="20"/>
    </row>
    <row r="323">
      <c r="A323" s="20"/>
    </row>
    <row r="324">
      <c r="A324" s="20"/>
    </row>
    <row r="325">
      <c r="A325" s="20"/>
    </row>
    <row r="326">
      <c r="A326" s="20"/>
    </row>
    <row r="327">
      <c r="A327" s="20"/>
    </row>
    <row r="328">
      <c r="A328" s="20"/>
    </row>
    <row r="329">
      <c r="A329" s="20"/>
    </row>
    <row r="330">
      <c r="A330" s="20"/>
    </row>
    <row r="331">
      <c r="A331" s="20"/>
    </row>
    <row r="332">
      <c r="A332" s="20"/>
    </row>
    <row r="333">
      <c r="A333" s="20"/>
    </row>
    <row r="334">
      <c r="A334" s="20"/>
    </row>
    <row r="335">
      <c r="A335" s="20"/>
    </row>
    <row r="336">
      <c r="A336" s="20"/>
    </row>
    <row r="337">
      <c r="A337" s="20"/>
    </row>
    <row r="338">
      <c r="A338" s="20"/>
    </row>
    <row r="339">
      <c r="A339" s="20"/>
    </row>
    <row r="340">
      <c r="A340" s="20"/>
    </row>
    <row r="341">
      <c r="A341" s="20"/>
    </row>
    <row r="342">
      <c r="A342" s="20"/>
    </row>
    <row r="343">
      <c r="A343" s="20"/>
    </row>
    <row r="344">
      <c r="A344" s="20"/>
    </row>
    <row r="345">
      <c r="A345" s="20"/>
    </row>
    <row r="346">
      <c r="A346" s="20"/>
    </row>
    <row r="347">
      <c r="A347" s="20"/>
    </row>
    <row r="348">
      <c r="A348" s="20"/>
    </row>
    <row r="349">
      <c r="A349" s="20"/>
    </row>
    <row r="350">
      <c r="A350" s="20"/>
    </row>
    <row r="351">
      <c r="A351" s="20"/>
    </row>
    <row r="352">
      <c r="A352" s="20"/>
    </row>
    <row r="353">
      <c r="A353" s="20"/>
    </row>
    <row r="354">
      <c r="A354" s="20"/>
    </row>
    <row r="355">
      <c r="A355" s="20"/>
    </row>
    <row r="356">
      <c r="A356" s="20"/>
    </row>
    <row r="357">
      <c r="A357" s="20"/>
    </row>
    <row r="358">
      <c r="A358" s="20"/>
    </row>
    <row r="359">
      <c r="A359" s="20"/>
    </row>
    <row r="360">
      <c r="A360" s="20"/>
    </row>
    <row r="361">
      <c r="A361" s="20"/>
    </row>
    <row r="362">
      <c r="A362" s="20"/>
    </row>
    <row r="363">
      <c r="A363" s="20"/>
    </row>
    <row r="364">
      <c r="A364" s="20"/>
    </row>
    <row r="365">
      <c r="A365" s="20"/>
    </row>
    <row r="366">
      <c r="A366" s="20"/>
    </row>
    <row r="367">
      <c r="A367" s="20"/>
    </row>
    <row r="368">
      <c r="A368" s="20"/>
    </row>
    <row r="369">
      <c r="A369" s="20"/>
    </row>
    <row r="370">
      <c r="A370" s="20"/>
    </row>
    <row r="371">
      <c r="A371" s="20"/>
    </row>
    <row r="372">
      <c r="A372" s="20"/>
    </row>
    <row r="373">
      <c r="A373" s="20"/>
    </row>
    <row r="374">
      <c r="A374" s="20"/>
    </row>
    <row r="375">
      <c r="A375" s="20"/>
    </row>
    <row r="376">
      <c r="A376" s="20"/>
    </row>
    <row r="377">
      <c r="A377" s="20"/>
    </row>
    <row r="378">
      <c r="A378" s="20"/>
    </row>
    <row r="379">
      <c r="A379" s="20"/>
    </row>
    <row r="380">
      <c r="A380" s="20"/>
    </row>
    <row r="381">
      <c r="A381" s="20"/>
    </row>
    <row r="382">
      <c r="A382" s="20"/>
    </row>
    <row r="383">
      <c r="A383" s="20"/>
    </row>
    <row r="384">
      <c r="A384" s="20"/>
    </row>
    <row r="385">
      <c r="A385" s="20"/>
    </row>
    <row r="386">
      <c r="A386" s="20"/>
    </row>
    <row r="387">
      <c r="A387" s="20"/>
    </row>
    <row r="388">
      <c r="A388" s="20"/>
    </row>
    <row r="389">
      <c r="A389" s="20"/>
    </row>
    <row r="390">
      <c r="A390" s="20"/>
    </row>
    <row r="391">
      <c r="A391" s="20"/>
    </row>
    <row r="392">
      <c r="A392" s="20"/>
    </row>
    <row r="393">
      <c r="A393" s="20"/>
    </row>
    <row r="394">
      <c r="A394" s="20"/>
    </row>
    <row r="395">
      <c r="A395" s="20"/>
    </row>
    <row r="396">
      <c r="A396" s="20"/>
    </row>
    <row r="397">
      <c r="A397" s="20"/>
    </row>
    <row r="398">
      <c r="A398" s="20"/>
    </row>
    <row r="399">
      <c r="A399" s="20"/>
    </row>
    <row r="400">
      <c r="A400" s="20"/>
    </row>
    <row r="401">
      <c r="A401" s="20"/>
    </row>
    <row r="402">
      <c r="A402" s="20"/>
    </row>
    <row r="403">
      <c r="A403" s="20"/>
    </row>
    <row r="404">
      <c r="A404" s="20"/>
    </row>
    <row r="405">
      <c r="A405" s="20"/>
    </row>
    <row r="406">
      <c r="A406" s="20"/>
    </row>
    <row r="407">
      <c r="A407" s="20"/>
    </row>
    <row r="408">
      <c r="A408" s="20"/>
    </row>
    <row r="409">
      <c r="A409" s="20"/>
    </row>
    <row r="410">
      <c r="A410" s="20"/>
    </row>
    <row r="411">
      <c r="A411" s="20"/>
    </row>
    <row r="412">
      <c r="A412" s="20"/>
    </row>
    <row r="413">
      <c r="A413" s="20"/>
    </row>
    <row r="414">
      <c r="A414" s="20"/>
    </row>
    <row r="415">
      <c r="A415" s="20"/>
    </row>
    <row r="416">
      <c r="A416" s="20"/>
    </row>
    <row r="417">
      <c r="A417" s="20"/>
    </row>
    <row r="418">
      <c r="A418" s="20"/>
    </row>
    <row r="419">
      <c r="A419" s="20"/>
    </row>
    <row r="420">
      <c r="A420" s="20"/>
    </row>
    <row r="421">
      <c r="A421" s="20"/>
    </row>
    <row r="422">
      <c r="A422" s="20"/>
    </row>
    <row r="423">
      <c r="A423" s="20"/>
    </row>
    <row r="424">
      <c r="A424" s="20"/>
    </row>
    <row r="425">
      <c r="A425" s="20"/>
    </row>
    <row r="426">
      <c r="A426" s="20"/>
    </row>
    <row r="427">
      <c r="A427" s="20"/>
    </row>
    <row r="428">
      <c r="A428" s="20"/>
    </row>
    <row r="429">
      <c r="A429" s="20"/>
    </row>
    <row r="430">
      <c r="A430" s="20"/>
    </row>
    <row r="431">
      <c r="A431" s="20"/>
    </row>
    <row r="432">
      <c r="A432" s="20"/>
    </row>
    <row r="433">
      <c r="A433" s="20"/>
    </row>
    <row r="434">
      <c r="A434" s="20"/>
    </row>
    <row r="435">
      <c r="A435" s="20"/>
    </row>
    <row r="436">
      <c r="A436" s="20"/>
    </row>
    <row r="437">
      <c r="A437" s="20"/>
    </row>
    <row r="438">
      <c r="A438" s="20"/>
    </row>
    <row r="439">
      <c r="A439" s="20"/>
    </row>
    <row r="440">
      <c r="A440" s="20"/>
    </row>
    <row r="441">
      <c r="A441" s="20"/>
    </row>
    <row r="442">
      <c r="A442" s="20"/>
    </row>
    <row r="443">
      <c r="A443" s="20"/>
    </row>
    <row r="444">
      <c r="A444" s="20"/>
    </row>
    <row r="445">
      <c r="A445" s="20"/>
    </row>
    <row r="446">
      <c r="A446" s="20"/>
    </row>
    <row r="447">
      <c r="A447" s="20"/>
    </row>
    <row r="448">
      <c r="A448" s="20"/>
    </row>
    <row r="449">
      <c r="A449" s="20"/>
    </row>
    <row r="450">
      <c r="A450" s="20"/>
    </row>
    <row r="451">
      <c r="A451" s="20"/>
    </row>
    <row r="452">
      <c r="A452" s="20"/>
    </row>
    <row r="453">
      <c r="A453" s="20"/>
    </row>
    <row r="454">
      <c r="A454" s="20"/>
    </row>
    <row r="455">
      <c r="A455" s="20"/>
    </row>
    <row r="456">
      <c r="A456" s="20"/>
    </row>
    <row r="457">
      <c r="A457" s="20"/>
    </row>
    <row r="458">
      <c r="A458" s="20"/>
    </row>
    <row r="459">
      <c r="A459" s="20"/>
    </row>
    <row r="460">
      <c r="A460" s="20"/>
    </row>
    <row r="461">
      <c r="A461" s="20"/>
    </row>
    <row r="462">
      <c r="A462" s="20"/>
    </row>
    <row r="463">
      <c r="A463" s="20"/>
    </row>
    <row r="464">
      <c r="A464" s="20"/>
    </row>
    <row r="465">
      <c r="A465" s="20"/>
    </row>
    <row r="466">
      <c r="A466" s="20"/>
    </row>
    <row r="467">
      <c r="A467" s="20"/>
    </row>
    <row r="468">
      <c r="A468" s="20"/>
    </row>
    <row r="469">
      <c r="A469" s="20"/>
    </row>
    <row r="470">
      <c r="A470" s="20"/>
    </row>
    <row r="471">
      <c r="A471" s="20"/>
    </row>
    <row r="472">
      <c r="A472" s="20"/>
    </row>
    <row r="473">
      <c r="A473" s="20"/>
    </row>
    <row r="474">
      <c r="A474" s="20"/>
    </row>
    <row r="475">
      <c r="A475" s="20"/>
    </row>
    <row r="476">
      <c r="A476" s="20"/>
    </row>
    <row r="477">
      <c r="A477" s="20"/>
    </row>
    <row r="478">
      <c r="A478" s="20"/>
    </row>
    <row r="479">
      <c r="A479" s="20"/>
    </row>
    <row r="480">
      <c r="A480" s="20"/>
    </row>
    <row r="481">
      <c r="A481" s="20"/>
    </row>
    <row r="482">
      <c r="A482" s="20"/>
    </row>
    <row r="483">
      <c r="A483" s="20"/>
    </row>
    <row r="484">
      <c r="A484" s="20"/>
    </row>
    <row r="485">
      <c r="A485" s="20"/>
    </row>
    <row r="486">
      <c r="A486" s="20"/>
    </row>
    <row r="487">
      <c r="A487" s="20"/>
    </row>
    <row r="488">
      <c r="A488" s="20"/>
    </row>
    <row r="489">
      <c r="A489" s="20"/>
    </row>
    <row r="490">
      <c r="A490" s="20"/>
    </row>
    <row r="491">
      <c r="A491" s="20"/>
    </row>
    <row r="492">
      <c r="A492" s="20"/>
    </row>
    <row r="493">
      <c r="A493" s="20"/>
    </row>
    <row r="494">
      <c r="A494" s="20"/>
    </row>
    <row r="495">
      <c r="A495" s="20"/>
    </row>
    <row r="496">
      <c r="A496" s="20"/>
    </row>
    <row r="497">
      <c r="A497" s="20"/>
    </row>
    <row r="498">
      <c r="A498" s="20"/>
    </row>
    <row r="499">
      <c r="A499" s="20"/>
    </row>
    <row r="500">
      <c r="A500" s="20"/>
    </row>
    <row r="501">
      <c r="A501" s="20"/>
    </row>
    <row r="502">
      <c r="A502" s="20"/>
    </row>
    <row r="503">
      <c r="A503" s="20"/>
    </row>
    <row r="504">
      <c r="A504" s="20"/>
    </row>
    <row r="505">
      <c r="A505" s="20"/>
    </row>
    <row r="506">
      <c r="A506" s="20"/>
    </row>
    <row r="507">
      <c r="A507" s="20"/>
    </row>
    <row r="508">
      <c r="A508" s="20"/>
    </row>
    <row r="509">
      <c r="A509" s="20"/>
    </row>
    <row r="510">
      <c r="A510" s="20"/>
    </row>
    <row r="511">
      <c r="A511" s="20"/>
    </row>
    <row r="512">
      <c r="A512" s="20"/>
    </row>
    <row r="513">
      <c r="A513" s="20"/>
    </row>
    <row r="514">
      <c r="A514" s="20"/>
    </row>
    <row r="515">
      <c r="A515" s="20"/>
    </row>
    <row r="516">
      <c r="A516" s="20"/>
    </row>
    <row r="517">
      <c r="A517" s="20"/>
    </row>
    <row r="518">
      <c r="A518" s="20"/>
    </row>
    <row r="519">
      <c r="A519" s="20"/>
    </row>
    <row r="520">
      <c r="A520" s="20"/>
    </row>
    <row r="521">
      <c r="A521" s="20"/>
    </row>
    <row r="522">
      <c r="A522" s="20"/>
    </row>
    <row r="523">
      <c r="A523" s="20"/>
    </row>
    <row r="524">
      <c r="A524" s="20"/>
    </row>
    <row r="525">
      <c r="A525" s="20"/>
    </row>
    <row r="526">
      <c r="A526" s="20"/>
    </row>
    <row r="527">
      <c r="A527" s="20"/>
    </row>
    <row r="528">
      <c r="A528" s="20"/>
    </row>
    <row r="529">
      <c r="A529" s="20"/>
    </row>
    <row r="530">
      <c r="A530" s="20"/>
    </row>
    <row r="531">
      <c r="A531" s="20"/>
    </row>
    <row r="532">
      <c r="A532" s="20"/>
    </row>
    <row r="533">
      <c r="A533" s="20"/>
    </row>
    <row r="534">
      <c r="A534" s="20"/>
    </row>
    <row r="535">
      <c r="A535" s="20"/>
    </row>
    <row r="536">
      <c r="A536" s="20"/>
    </row>
    <row r="537">
      <c r="A537" s="20"/>
    </row>
    <row r="538">
      <c r="A538" s="20"/>
    </row>
    <row r="539">
      <c r="A539" s="20"/>
    </row>
    <row r="540">
      <c r="A540" s="20"/>
    </row>
    <row r="541">
      <c r="A541" s="20"/>
    </row>
    <row r="542">
      <c r="A542" s="20"/>
    </row>
    <row r="543">
      <c r="A543" s="20"/>
    </row>
    <row r="544">
      <c r="A544" s="20"/>
    </row>
    <row r="545">
      <c r="A545" s="20"/>
    </row>
    <row r="546">
      <c r="A546" s="20"/>
    </row>
    <row r="547">
      <c r="A547" s="20"/>
    </row>
    <row r="548">
      <c r="A548" s="20"/>
    </row>
    <row r="549">
      <c r="A549" s="20"/>
    </row>
    <row r="550">
      <c r="A550" s="20"/>
    </row>
    <row r="551">
      <c r="A551" s="20"/>
    </row>
    <row r="552">
      <c r="A552" s="20"/>
    </row>
    <row r="553">
      <c r="A553" s="20"/>
    </row>
    <row r="554">
      <c r="A554" s="20"/>
    </row>
    <row r="555">
      <c r="A555" s="20"/>
    </row>
    <row r="556">
      <c r="A556" s="20"/>
    </row>
    <row r="557">
      <c r="A557" s="20"/>
    </row>
    <row r="558">
      <c r="A558" s="20"/>
    </row>
    <row r="559">
      <c r="A559" s="20"/>
    </row>
    <row r="560">
      <c r="A560" s="20"/>
    </row>
    <row r="561">
      <c r="A561" s="20"/>
    </row>
    <row r="562">
      <c r="A562" s="20"/>
    </row>
    <row r="563">
      <c r="A563" s="20"/>
    </row>
    <row r="564">
      <c r="A564" s="20"/>
    </row>
    <row r="565">
      <c r="A565" s="20"/>
    </row>
    <row r="566">
      <c r="A566" s="20"/>
    </row>
    <row r="567">
      <c r="A567" s="20"/>
    </row>
    <row r="568">
      <c r="A568" s="20"/>
    </row>
    <row r="569">
      <c r="A569" s="20"/>
    </row>
    <row r="570">
      <c r="A570" s="20"/>
    </row>
    <row r="571">
      <c r="A571" s="20"/>
    </row>
    <row r="572">
      <c r="A572" s="20"/>
    </row>
    <row r="573">
      <c r="A573" s="20"/>
    </row>
    <row r="574">
      <c r="A574" s="20"/>
    </row>
    <row r="575">
      <c r="A575" s="20"/>
    </row>
    <row r="576">
      <c r="A576" s="20"/>
    </row>
    <row r="577">
      <c r="A577" s="20"/>
    </row>
    <row r="578">
      <c r="A578" s="20"/>
    </row>
    <row r="579">
      <c r="A579" s="20"/>
    </row>
    <row r="580">
      <c r="A580" s="20"/>
    </row>
    <row r="581">
      <c r="A581" s="20"/>
    </row>
    <row r="582">
      <c r="A582" s="20"/>
    </row>
    <row r="583">
      <c r="A583" s="20"/>
    </row>
    <row r="584">
      <c r="A584" s="20"/>
    </row>
    <row r="585">
      <c r="A585" s="20"/>
    </row>
    <row r="586">
      <c r="A586" s="20"/>
    </row>
    <row r="587">
      <c r="A587" s="20"/>
    </row>
    <row r="588">
      <c r="A588" s="20"/>
    </row>
    <row r="589">
      <c r="A589" s="20"/>
    </row>
    <row r="590">
      <c r="A590" s="20"/>
    </row>
    <row r="591">
      <c r="A591" s="20"/>
    </row>
    <row r="592">
      <c r="A592" s="20"/>
    </row>
    <row r="593">
      <c r="A593" s="20"/>
    </row>
    <row r="594">
      <c r="A594" s="20"/>
    </row>
    <row r="595">
      <c r="A595" s="20"/>
    </row>
    <row r="596">
      <c r="A596" s="20"/>
    </row>
    <row r="597">
      <c r="A597" s="20"/>
    </row>
    <row r="598">
      <c r="A598" s="20"/>
    </row>
    <row r="599">
      <c r="A599" s="20"/>
    </row>
    <row r="600">
      <c r="A600" s="20"/>
    </row>
    <row r="601">
      <c r="A601" s="20"/>
    </row>
    <row r="602">
      <c r="A602" s="20"/>
    </row>
    <row r="603">
      <c r="A603" s="20"/>
    </row>
    <row r="604">
      <c r="A604" s="20"/>
    </row>
    <row r="605">
      <c r="A605" s="20"/>
    </row>
    <row r="606">
      <c r="A606" s="20"/>
    </row>
    <row r="607">
      <c r="A607" s="20"/>
    </row>
    <row r="608">
      <c r="A608" s="20"/>
    </row>
    <row r="609">
      <c r="A609" s="20"/>
    </row>
    <row r="610">
      <c r="A610" s="20"/>
    </row>
    <row r="611">
      <c r="A611" s="20"/>
    </row>
    <row r="612">
      <c r="A612" s="20"/>
    </row>
    <row r="613">
      <c r="A613" s="20"/>
    </row>
    <row r="614">
      <c r="A614" s="20"/>
    </row>
    <row r="615">
      <c r="A615" s="20"/>
    </row>
    <row r="616">
      <c r="A616" s="20"/>
    </row>
    <row r="617">
      <c r="A617" s="20"/>
    </row>
    <row r="618">
      <c r="A618" s="20"/>
    </row>
    <row r="619">
      <c r="A619" s="20"/>
    </row>
    <row r="620">
      <c r="A620" s="20"/>
    </row>
    <row r="621">
      <c r="A621" s="20"/>
    </row>
    <row r="622">
      <c r="A622" s="20"/>
    </row>
    <row r="623">
      <c r="A623" s="20"/>
    </row>
    <row r="624">
      <c r="A624" s="20"/>
    </row>
    <row r="625">
      <c r="A625" s="20"/>
    </row>
    <row r="626">
      <c r="A626" s="20"/>
    </row>
    <row r="627">
      <c r="A627" s="20"/>
    </row>
    <row r="628">
      <c r="A628" s="20"/>
    </row>
    <row r="629">
      <c r="A629" s="20"/>
    </row>
    <row r="630">
      <c r="A630" s="20"/>
    </row>
    <row r="631">
      <c r="A631" s="20"/>
    </row>
    <row r="632">
      <c r="A632" s="20"/>
    </row>
    <row r="633">
      <c r="A633" s="20"/>
    </row>
    <row r="634">
      <c r="A634" s="20"/>
    </row>
    <row r="635">
      <c r="A635" s="20"/>
    </row>
    <row r="636">
      <c r="A636" s="20"/>
    </row>
    <row r="637">
      <c r="A637" s="20"/>
    </row>
    <row r="638">
      <c r="A638" s="20"/>
    </row>
    <row r="639">
      <c r="A639" s="20"/>
    </row>
    <row r="640">
      <c r="A640" s="20"/>
    </row>
    <row r="641">
      <c r="A641" s="20"/>
    </row>
    <row r="642">
      <c r="A642" s="20"/>
    </row>
    <row r="643">
      <c r="A643" s="20"/>
    </row>
    <row r="644">
      <c r="A644" s="20"/>
    </row>
    <row r="645">
      <c r="A645" s="20"/>
    </row>
    <row r="646">
      <c r="A646" s="20"/>
    </row>
    <row r="647">
      <c r="A647" s="20"/>
    </row>
    <row r="648">
      <c r="A648" s="20"/>
    </row>
    <row r="649">
      <c r="A649" s="20"/>
    </row>
    <row r="650">
      <c r="A650" s="20"/>
    </row>
    <row r="651">
      <c r="A651" s="20"/>
    </row>
    <row r="652">
      <c r="A652" s="20"/>
    </row>
    <row r="653">
      <c r="A653" s="20"/>
    </row>
    <row r="654">
      <c r="A654" s="20"/>
    </row>
    <row r="655">
      <c r="A655" s="20"/>
    </row>
    <row r="656">
      <c r="A656" s="20"/>
    </row>
    <row r="657">
      <c r="A657" s="20"/>
    </row>
    <row r="658">
      <c r="A658" s="20"/>
    </row>
    <row r="659">
      <c r="A659" s="20"/>
    </row>
    <row r="660">
      <c r="A660" s="20"/>
    </row>
    <row r="661">
      <c r="A661" s="20"/>
    </row>
    <row r="662">
      <c r="A662" s="20"/>
    </row>
    <row r="663">
      <c r="A663" s="20"/>
    </row>
    <row r="664">
      <c r="A664" s="20"/>
    </row>
    <row r="665">
      <c r="A665" s="20"/>
    </row>
    <row r="666">
      <c r="A666" s="20"/>
    </row>
    <row r="667">
      <c r="A667" s="20"/>
    </row>
    <row r="668">
      <c r="A668" s="20"/>
    </row>
    <row r="669">
      <c r="A669" s="20"/>
    </row>
    <row r="670">
      <c r="A670" s="20"/>
    </row>
    <row r="671">
      <c r="A671" s="20"/>
    </row>
    <row r="672">
      <c r="A672" s="20"/>
    </row>
    <row r="673">
      <c r="A673" s="20"/>
    </row>
    <row r="674">
      <c r="A674" s="20"/>
    </row>
    <row r="675">
      <c r="A675" s="20"/>
    </row>
    <row r="676">
      <c r="A676" s="20"/>
    </row>
    <row r="677">
      <c r="A677" s="20"/>
    </row>
    <row r="678">
      <c r="A678" s="20"/>
    </row>
    <row r="679">
      <c r="A679" s="20"/>
    </row>
    <row r="680">
      <c r="A680" s="20"/>
    </row>
    <row r="681">
      <c r="A681" s="20"/>
    </row>
    <row r="682">
      <c r="A682" s="20"/>
    </row>
    <row r="683">
      <c r="A683" s="20"/>
    </row>
    <row r="684">
      <c r="A684" s="20"/>
    </row>
    <row r="685">
      <c r="A685" s="20"/>
    </row>
    <row r="686">
      <c r="A686" s="20"/>
    </row>
    <row r="687">
      <c r="A687" s="20"/>
    </row>
    <row r="688">
      <c r="A688" s="20"/>
    </row>
    <row r="689">
      <c r="A689" s="20"/>
    </row>
    <row r="690">
      <c r="A690" s="20"/>
    </row>
    <row r="691">
      <c r="A691" s="20"/>
    </row>
    <row r="692">
      <c r="A692" s="20"/>
    </row>
    <row r="693">
      <c r="A693" s="20"/>
    </row>
    <row r="694">
      <c r="A694" s="20"/>
    </row>
    <row r="695">
      <c r="A695" s="20"/>
    </row>
    <row r="696">
      <c r="A696" s="20"/>
    </row>
    <row r="697">
      <c r="A697" s="20"/>
    </row>
    <row r="698">
      <c r="A698" s="20"/>
    </row>
    <row r="699">
      <c r="A699" s="20"/>
    </row>
    <row r="700">
      <c r="A700" s="20"/>
    </row>
    <row r="701">
      <c r="A701" s="20"/>
    </row>
    <row r="702">
      <c r="A702" s="20"/>
    </row>
    <row r="703">
      <c r="A703" s="20"/>
    </row>
    <row r="704">
      <c r="A704" s="20"/>
    </row>
    <row r="705">
      <c r="A705" s="20"/>
    </row>
    <row r="706">
      <c r="A706" s="20"/>
    </row>
    <row r="707">
      <c r="A707" s="20"/>
    </row>
    <row r="708">
      <c r="A708" s="20"/>
    </row>
    <row r="709">
      <c r="A709" s="20"/>
    </row>
    <row r="710">
      <c r="A710" s="20"/>
    </row>
    <row r="711">
      <c r="A711" s="20"/>
    </row>
    <row r="712">
      <c r="A712" s="20"/>
    </row>
    <row r="713">
      <c r="A713" s="20"/>
    </row>
    <row r="714">
      <c r="A714" s="20"/>
    </row>
    <row r="715">
      <c r="A715" s="20"/>
    </row>
    <row r="716">
      <c r="A716" s="20"/>
    </row>
    <row r="717">
      <c r="A717" s="20"/>
    </row>
    <row r="718">
      <c r="A718" s="20"/>
    </row>
    <row r="719">
      <c r="A719" s="20"/>
    </row>
    <row r="720">
      <c r="A720" s="20"/>
    </row>
    <row r="721">
      <c r="A721" s="20"/>
    </row>
    <row r="722">
      <c r="A722" s="20"/>
    </row>
    <row r="723">
      <c r="A723" s="20"/>
    </row>
    <row r="724">
      <c r="A724" s="20"/>
    </row>
    <row r="725">
      <c r="A725" s="20"/>
    </row>
    <row r="726">
      <c r="A726" s="20"/>
    </row>
    <row r="727">
      <c r="A727" s="20"/>
    </row>
    <row r="728">
      <c r="A728" s="20"/>
    </row>
    <row r="729">
      <c r="A729" s="20"/>
    </row>
    <row r="730">
      <c r="A730" s="20"/>
    </row>
    <row r="731">
      <c r="A731" s="20"/>
    </row>
    <row r="732">
      <c r="A732" s="20"/>
    </row>
    <row r="733">
      <c r="A733" s="20"/>
    </row>
    <row r="734">
      <c r="A734" s="20"/>
    </row>
    <row r="735">
      <c r="A735" s="20"/>
    </row>
    <row r="736">
      <c r="A736" s="20"/>
    </row>
    <row r="737">
      <c r="A737" s="20"/>
    </row>
    <row r="738">
      <c r="A738" s="20"/>
    </row>
    <row r="739">
      <c r="A739" s="20"/>
    </row>
    <row r="740">
      <c r="A740" s="20"/>
    </row>
    <row r="741">
      <c r="A741" s="20"/>
    </row>
    <row r="742">
      <c r="A742" s="20"/>
    </row>
    <row r="743">
      <c r="A743" s="20"/>
    </row>
    <row r="744">
      <c r="A744" s="20"/>
    </row>
    <row r="745">
      <c r="A745" s="20"/>
    </row>
    <row r="746">
      <c r="A746" s="20"/>
    </row>
    <row r="747">
      <c r="A747" s="20"/>
    </row>
    <row r="748">
      <c r="A748" s="20"/>
    </row>
    <row r="749">
      <c r="A749" s="20"/>
    </row>
    <row r="750">
      <c r="A750" s="20"/>
    </row>
    <row r="751">
      <c r="A751" s="20"/>
    </row>
    <row r="752">
      <c r="A752" s="20"/>
    </row>
    <row r="753">
      <c r="A753" s="20"/>
    </row>
    <row r="754">
      <c r="A754" s="20"/>
    </row>
    <row r="755">
      <c r="A755" s="20"/>
    </row>
    <row r="756">
      <c r="A756" s="20"/>
    </row>
    <row r="757">
      <c r="A757" s="20"/>
    </row>
    <row r="758">
      <c r="A758" s="20"/>
    </row>
    <row r="759">
      <c r="A759" s="20"/>
    </row>
    <row r="760">
      <c r="A760" s="20"/>
    </row>
    <row r="761">
      <c r="A761" s="20"/>
    </row>
    <row r="762">
      <c r="A762" s="20"/>
    </row>
    <row r="763">
      <c r="A763" s="20"/>
    </row>
    <row r="764">
      <c r="A764" s="20"/>
    </row>
    <row r="765">
      <c r="A765" s="20"/>
    </row>
    <row r="766">
      <c r="A766" s="20"/>
    </row>
    <row r="767">
      <c r="A767" s="20"/>
    </row>
    <row r="768">
      <c r="A768" s="20"/>
    </row>
    <row r="769">
      <c r="A769" s="20"/>
    </row>
    <row r="770">
      <c r="A770" s="20"/>
    </row>
    <row r="771">
      <c r="A771" s="20"/>
    </row>
    <row r="772">
      <c r="A772" s="20"/>
    </row>
    <row r="773">
      <c r="A773" s="20"/>
    </row>
    <row r="774">
      <c r="A774" s="20"/>
    </row>
    <row r="775">
      <c r="A775" s="20"/>
    </row>
    <row r="776">
      <c r="A776" s="20"/>
    </row>
    <row r="777">
      <c r="A777" s="20"/>
    </row>
    <row r="778">
      <c r="A778" s="20"/>
    </row>
    <row r="779">
      <c r="A779" s="20"/>
    </row>
    <row r="780">
      <c r="A780" s="20"/>
    </row>
    <row r="781">
      <c r="A781" s="20"/>
    </row>
    <row r="782">
      <c r="A782" s="20"/>
    </row>
    <row r="783">
      <c r="A783" s="20"/>
    </row>
    <row r="784">
      <c r="A784" s="20"/>
    </row>
    <row r="785">
      <c r="A785" s="20"/>
    </row>
    <row r="786">
      <c r="A786" s="20"/>
    </row>
    <row r="787">
      <c r="A787" s="20"/>
    </row>
    <row r="788">
      <c r="A788" s="20"/>
    </row>
    <row r="789">
      <c r="A789" s="20"/>
    </row>
    <row r="790">
      <c r="A790" s="20"/>
    </row>
    <row r="791">
      <c r="A791" s="20"/>
    </row>
    <row r="792">
      <c r="A792" s="20"/>
    </row>
    <row r="793">
      <c r="A793" s="20"/>
    </row>
    <row r="794">
      <c r="A794" s="20"/>
    </row>
    <row r="795">
      <c r="A795" s="20"/>
    </row>
    <row r="796">
      <c r="A796" s="20"/>
    </row>
    <row r="797">
      <c r="A797" s="20"/>
    </row>
    <row r="798">
      <c r="A798" s="20"/>
    </row>
    <row r="799">
      <c r="A799" s="20"/>
    </row>
    <row r="800">
      <c r="A800" s="20"/>
    </row>
    <row r="801">
      <c r="A801" s="20"/>
    </row>
    <row r="802">
      <c r="A802" s="20"/>
    </row>
    <row r="803">
      <c r="A803" s="20"/>
    </row>
    <row r="804">
      <c r="A804" s="20"/>
    </row>
    <row r="805">
      <c r="A805" s="20"/>
    </row>
    <row r="806">
      <c r="A806" s="20"/>
    </row>
    <row r="807">
      <c r="A807" s="20"/>
    </row>
    <row r="808">
      <c r="A808" s="20"/>
    </row>
    <row r="809">
      <c r="A809" s="20"/>
    </row>
    <row r="810">
      <c r="A810" s="20"/>
    </row>
    <row r="811">
      <c r="A811" s="20"/>
    </row>
    <row r="812">
      <c r="A812" s="20"/>
    </row>
    <row r="813">
      <c r="A813" s="20"/>
    </row>
    <row r="814">
      <c r="A814" s="20"/>
    </row>
    <row r="815">
      <c r="A815" s="20"/>
    </row>
    <row r="816">
      <c r="A816" s="20"/>
    </row>
    <row r="817">
      <c r="A817" s="20"/>
    </row>
    <row r="818">
      <c r="A818" s="20"/>
    </row>
    <row r="819">
      <c r="A819" s="20"/>
    </row>
    <row r="820">
      <c r="A820" s="20"/>
    </row>
    <row r="821">
      <c r="A821" s="20"/>
    </row>
    <row r="822">
      <c r="A822" s="20"/>
    </row>
    <row r="823">
      <c r="A823" s="20"/>
    </row>
    <row r="824">
      <c r="A824" s="20"/>
    </row>
    <row r="825">
      <c r="A825" s="20"/>
    </row>
    <row r="826">
      <c r="A826" s="20"/>
    </row>
    <row r="827">
      <c r="A827" s="20"/>
    </row>
    <row r="828">
      <c r="A828" s="20"/>
    </row>
    <row r="829">
      <c r="A829" s="20"/>
    </row>
    <row r="830">
      <c r="A830" s="20"/>
    </row>
    <row r="831">
      <c r="A831" s="20"/>
    </row>
    <row r="832">
      <c r="A832" s="20"/>
    </row>
    <row r="833">
      <c r="A833" s="20"/>
    </row>
    <row r="834">
      <c r="A834" s="20"/>
    </row>
    <row r="835">
      <c r="A835" s="20"/>
    </row>
    <row r="836">
      <c r="A836" s="20"/>
    </row>
    <row r="837">
      <c r="A837" s="20"/>
    </row>
    <row r="838">
      <c r="A838" s="20"/>
    </row>
    <row r="839">
      <c r="A839" s="20"/>
    </row>
    <row r="840">
      <c r="A840" s="20"/>
    </row>
    <row r="841">
      <c r="A841" s="20"/>
    </row>
    <row r="842">
      <c r="A842" s="20"/>
    </row>
    <row r="843">
      <c r="A843" s="20"/>
    </row>
    <row r="844">
      <c r="A844" s="20"/>
    </row>
    <row r="845">
      <c r="A845" s="20"/>
    </row>
    <row r="846">
      <c r="A846" s="20"/>
    </row>
    <row r="847">
      <c r="A847" s="20"/>
    </row>
    <row r="848">
      <c r="A848" s="20"/>
    </row>
    <row r="849">
      <c r="A849" s="20"/>
    </row>
    <row r="850">
      <c r="A850" s="20"/>
    </row>
    <row r="851">
      <c r="A851" s="20"/>
    </row>
    <row r="852">
      <c r="A852" s="20"/>
    </row>
    <row r="853">
      <c r="A853" s="20"/>
    </row>
    <row r="854">
      <c r="A854" s="20"/>
    </row>
    <row r="855">
      <c r="A855" s="20"/>
    </row>
    <row r="856">
      <c r="A856" s="20"/>
    </row>
    <row r="857">
      <c r="A857" s="20"/>
    </row>
    <row r="858">
      <c r="A858" s="20"/>
    </row>
    <row r="859">
      <c r="A859" s="20"/>
    </row>
    <row r="860">
      <c r="A860" s="20"/>
    </row>
    <row r="861">
      <c r="A861" s="20"/>
    </row>
    <row r="862">
      <c r="A862" s="20"/>
    </row>
    <row r="863">
      <c r="A863" s="20"/>
    </row>
    <row r="864">
      <c r="A864" s="20"/>
    </row>
    <row r="865">
      <c r="A865" s="20"/>
    </row>
    <row r="866">
      <c r="A866" s="20"/>
    </row>
    <row r="867">
      <c r="A867" s="20"/>
    </row>
    <row r="868">
      <c r="A868" s="20"/>
    </row>
    <row r="869">
      <c r="A869" s="20"/>
    </row>
    <row r="870">
      <c r="A870" s="20"/>
    </row>
    <row r="871">
      <c r="A871" s="20"/>
    </row>
    <row r="872">
      <c r="A872" s="20"/>
    </row>
    <row r="873">
      <c r="A873" s="20"/>
    </row>
    <row r="874">
      <c r="A874" s="20"/>
    </row>
    <row r="875">
      <c r="A875" s="20"/>
    </row>
    <row r="876">
      <c r="A876" s="20"/>
    </row>
    <row r="877">
      <c r="A877" s="20"/>
    </row>
    <row r="878">
      <c r="A878" s="20"/>
    </row>
    <row r="879">
      <c r="A879" s="20"/>
    </row>
    <row r="880">
      <c r="A880" s="20"/>
    </row>
    <row r="881">
      <c r="A881" s="20"/>
    </row>
    <row r="882">
      <c r="A882" s="20"/>
    </row>
    <row r="883">
      <c r="A883" s="20"/>
    </row>
    <row r="884">
      <c r="A884" s="20"/>
    </row>
    <row r="885">
      <c r="A885" s="20"/>
    </row>
    <row r="886">
      <c r="A886" s="20"/>
    </row>
    <row r="887">
      <c r="A887" s="20"/>
    </row>
    <row r="888">
      <c r="A888" s="20"/>
    </row>
    <row r="889">
      <c r="A889" s="20"/>
    </row>
    <row r="890">
      <c r="A890" s="20"/>
    </row>
    <row r="891">
      <c r="A891" s="20"/>
    </row>
    <row r="892">
      <c r="A892" s="20"/>
    </row>
    <row r="893">
      <c r="A893" s="20"/>
    </row>
    <row r="894">
      <c r="A894" s="20"/>
    </row>
    <row r="895">
      <c r="A895" s="20"/>
    </row>
    <row r="896">
      <c r="A896" s="20"/>
    </row>
    <row r="897">
      <c r="A897" s="20"/>
    </row>
    <row r="898">
      <c r="A898" s="20"/>
    </row>
    <row r="899">
      <c r="A899" s="20"/>
    </row>
    <row r="900">
      <c r="A900" s="20"/>
    </row>
    <row r="901">
      <c r="A901" s="20"/>
    </row>
    <row r="902">
      <c r="A902" s="20"/>
    </row>
    <row r="903">
      <c r="A903" s="20"/>
    </row>
    <row r="904">
      <c r="A904" s="20"/>
    </row>
    <row r="905">
      <c r="A905" s="20"/>
    </row>
    <row r="906">
      <c r="A906" s="20"/>
    </row>
    <row r="907">
      <c r="A907" s="20"/>
    </row>
    <row r="908">
      <c r="A908" s="20"/>
    </row>
    <row r="909">
      <c r="A909" s="20"/>
    </row>
    <row r="910">
      <c r="A910" s="20"/>
    </row>
    <row r="911">
      <c r="A911" s="20"/>
    </row>
    <row r="912">
      <c r="A912" s="20"/>
    </row>
    <row r="913">
      <c r="A913" s="20"/>
    </row>
    <row r="914">
      <c r="A914" s="20"/>
    </row>
    <row r="915">
      <c r="A915" s="20"/>
    </row>
    <row r="916">
      <c r="A916" s="20"/>
    </row>
    <row r="917">
      <c r="A917" s="20"/>
    </row>
    <row r="918">
      <c r="A918" s="20"/>
    </row>
    <row r="919">
      <c r="A919" s="20"/>
    </row>
    <row r="920">
      <c r="A920" s="20"/>
    </row>
    <row r="921">
      <c r="A921" s="20"/>
    </row>
    <row r="922">
      <c r="A922" s="20"/>
    </row>
    <row r="923">
      <c r="A923" s="20"/>
    </row>
    <row r="924">
      <c r="A924" s="20"/>
    </row>
    <row r="925">
      <c r="A925" s="20"/>
    </row>
    <row r="926">
      <c r="A926" s="20"/>
    </row>
    <row r="927">
      <c r="A927" s="20"/>
    </row>
    <row r="928">
      <c r="A928" s="20"/>
    </row>
    <row r="929">
      <c r="A929" s="20"/>
    </row>
    <row r="930">
      <c r="A930" s="20"/>
    </row>
    <row r="931">
      <c r="A931" s="20"/>
    </row>
    <row r="932">
      <c r="A932" s="20"/>
    </row>
    <row r="933">
      <c r="A933" s="20"/>
    </row>
    <row r="934">
      <c r="A934" s="20"/>
    </row>
    <row r="935">
      <c r="A935" s="20"/>
    </row>
    <row r="936">
      <c r="A936" s="20"/>
    </row>
    <row r="937">
      <c r="A937" s="20"/>
    </row>
    <row r="938">
      <c r="A938" s="20"/>
    </row>
    <row r="939">
      <c r="A939" s="20"/>
    </row>
    <row r="940">
      <c r="A940" s="20"/>
    </row>
    <row r="941">
      <c r="A941" s="20"/>
    </row>
    <row r="942">
      <c r="A942" s="20"/>
    </row>
    <row r="943">
      <c r="A943" s="20"/>
    </row>
    <row r="944">
      <c r="A944" s="20"/>
    </row>
    <row r="945">
      <c r="A945" s="20"/>
    </row>
    <row r="946">
      <c r="A946" s="20"/>
    </row>
    <row r="947">
      <c r="A947" s="20"/>
    </row>
    <row r="948">
      <c r="A948" s="20"/>
    </row>
    <row r="949">
      <c r="A949" s="20"/>
    </row>
    <row r="950">
      <c r="A950" s="20"/>
    </row>
    <row r="951">
      <c r="A951" s="20"/>
    </row>
    <row r="952">
      <c r="A952" s="20"/>
    </row>
    <row r="953">
      <c r="A953" s="20"/>
    </row>
    <row r="954">
      <c r="A954" s="20"/>
    </row>
    <row r="955">
      <c r="A955" s="20"/>
    </row>
    <row r="956">
      <c r="A956" s="20"/>
    </row>
    <row r="957">
      <c r="A957" s="20"/>
    </row>
    <row r="958">
      <c r="A958" s="20"/>
    </row>
    <row r="959">
      <c r="A959" s="20"/>
    </row>
    <row r="960">
      <c r="A960" s="20"/>
    </row>
    <row r="961">
      <c r="A961" s="20"/>
    </row>
    <row r="962">
      <c r="A962" s="20"/>
    </row>
    <row r="963">
      <c r="A963" s="20"/>
    </row>
    <row r="964">
      <c r="A964" s="20"/>
    </row>
    <row r="965">
      <c r="A965" s="20"/>
    </row>
    <row r="966">
      <c r="A966" s="20"/>
    </row>
    <row r="967">
      <c r="A967" s="20"/>
    </row>
    <row r="968">
      <c r="A968" s="20"/>
    </row>
    <row r="969">
      <c r="A969" s="20"/>
    </row>
    <row r="970">
      <c r="A970" s="20"/>
    </row>
    <row r="971">
      <c r="A971" s="20"/>
    </row>
    <row r="972">
      <c r="A972" s="20"/>
    </row>
    <row r="973">
      <c r="A973" s="20"/>
    </row>
    <row r="974">
      <c r="A974" s="20"/>
    </row>
    <row r="975">
      <c r="A975" s="20"/>
    </row>
    <row r="976">
      <c r="A976" s="20"/>
    </row>
    <row r="977">
      <c r="A977" s="20"/>
    </row>
    <row r="978">
      <c r="A978" s="20"/>
    </row>
    <row r="979">
      <c r="A979" s="20"/>
    </row>
    <row r="980">
      <c r="A980" s="20"/>
    </row>
    <row r="981">
      <c r="A981" s="20"/>
    </row>
    <row r="982">
      <c r="A982" s="20"/>
    </row>
    <row r="983">
      <c r="A983" s="20"/>
    </row>
    <row r="984">
      <c r="A984" s="20"/>
    </row>
    <row r="985">
      <c r="A985" s="20"/>
    </row>
    <row r="986">
      <c r="A986" s="20"/>
    </row>
    <row r="987">
      <c r="A987" s="20"/>
    </row>
    <row r="988">
      <c r="A988" s="20"/>
    </row>
    <row r="989">
      <c r="A989" s="20"/>
    </row>
    <row r="990">
      <c r="A990" s="20"/>
    </row>
    <row r="991">
      <c r="A991" s="20"/>
    </row>
    <row r="992">
      <c r="A992" s="20"/>
    </row>
    <row r="993">
      <c r="A993" s="20"/>
    </row>
    <row r="994">
      <c r="A994" s="20"/>
    </row>
    <row r="995">
      <c r="A995" s="20"/>
    </row>
    <row r="996">
      <c r="A996" s="20"/>
    </row>
    <row r="997">
      <c r="A997" s="20"/>
    </row>
    <row r="998">
      <c r="A998" s="20"/>
    </row>
    <row r="999">
      <c r="A999" s="20"/>
    </row>
    <row r="1000">
      <c r="A1000" s="20"/>
    </row>
    <row r="1001">
      <c r="A1001" s="20"/>
    </row>
    <row r="1002">
      <c r="A1002" s="20"/>
    </row>
    <row r="1003">
      <c r="A1003" s="20"/>
    </row>
    <row r="1004">
      <c r="A1004" s="20"/>
    </row>
    <row r="1005">
      <c r="A1005" s="20"/>
    </row>
    <row r="1006">
      <c r="A1006" s="20"/>
    </row>
    <row r="1007">
      <c r="A1007" s="20"/>
    </row>
    <row r="1008">
      <c r="A1008" s="20"/>
    </row>
    <row r="1009">
      <c r="A1009" s="20"/>
    </row>
    <row r="1010">
      <c r="A1010" s="20"/>
    </row>
    <row r="1011">
      <c r="A1011" s="20"/>
    </row>
    <row r="1012">
      <c r="A1012" s="20"/>
    </row>
    <row r="1013">
      <c r="A1013" s="20"/>
    </row>
    <row r="1014">
      <c r="A1014" s="20"/>
    </row>
    <row r="1015">
      <c r="A1015" s="20"/>
    </row>
    <row r="1016">
      <c r="A1016" s="20"/>
    </row>
    <row r="1017">
      <c r="A1017" s="20"/>
    </row>
    <row r="1018">
      <c r="A1018" s="20"/>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pane ySplit="1" topLeftCell="A2" activePane="bottomLeft" state="frozen"/>
      <selection activeCell="B3" activeCellId="0" sqref="B3"/>
    </sheetView>
  </sheetViews>
  <sheetFormatPr defaultColWidth="12.630000000000001" defaultRowHeight="15.75" customHeight="1"/>
  <cols>
    <col customWidth="1" hidden="1" min="1" max="1" width="14.630000000000001"/>
    <col customWidth="1" min="2" max="2" width="17.379999999999999"/>
    <col customWidth="1" min="3" max="3" width="64.629999999999995"/>
  </cols>
  <sheetData>
    <row r="1">
      <c r="A1" s="40" t="s">
        <v>391</v>
      </c>
      <c r="B1" s="40" t="s">
        <v>7</v>
      </c>
      <c r="C1" s="77" t="s">
        <v>392</v>
      </c>
      <c r="E1" s="41"/>
      <c r="F1" s="41"/>
      <c r="G1" s="41"/>
      <c r="H1" s="41"/>
      <c r="I1" s="41"/>
      <c r="J1" s="41"/>
      <c r="K1" s="41"/>
      <c r="L1" s="41"/>
      <c r="M1" s="41"/>
      <c r="N1" s="41"/>
      <c r="O1" s="41"/>
      <c r="P1" s="41"/>
      <c r="Q1" s="41"/>
      <c r="R1" s="41"/>
      <c r="S1" s="41"/>
      <c r="T1" s="41"/>
      <c r="U1" s="41"/>
      <c r="V1" s="41"/>
      <c r="W1" s="41"/>
      <c r="X1" s="41"/>
      <c r="Y1" s="41"/>
      <c r="Z1" s="41"/>
      <c r="AA1" s="41"/>
      <c r="AB1" s="41"/>
      <c r="AC1" s="41"/>
      <c r="AD1" s="41"/>
      <c r="AE1" s="41"/>
      <c r="AF1" s="41"/>
      <c r="AG1" s="41"/>
      <c r="AH1" s="41"/>
      <c r="AI1" s="41"/>
      <c r="AJ1" s="41"/>
      <c r="AK1" s="41"/>
      <c r="AL1" s="41"/>
      <c r="AM1" s="41"/>
      <c r="AN1" s="41"/>
      <c r="AO1" s="41"/>
      <c r="AP1" s="41"/>
      <c r="AQ1" s="41"/>
      <c r="AR1" s="41"/>
      <c r="AS1" s="41"/>
      <c r="AT1" s="41"/>
      <c r="AU1" s="41"/>
      <c r="AV1" s="41"/>
      <c r="AW1" s="41"/>
      <c r="AX1" s="41"/>
      <c r="AY1" s="41"/>
      <c r="AZ1" s="41"/>
      <c r="BA1" s="41"/>
      <c r="BB1" s="41"/>
      <c r="BC1" s="41"/>
      <c r="BD1" s="41"/>
      <c r="BE1" s="41"/>
      <c r="BF1" s="41"/>
      <c r="BG1" s="41"/>
      <c r="BH1" s="41"/>
      <c r="BI1" s="41"/>
      <c r="BJ1" s="41"/>
      <c r="BK1" s="41"/>
      <c r="BL1" s="41"/>
      <c r="BM1" s="41"/>
      <c r="BN1" s="41"/>
      <c r="BO1" s="41"/>
      <c r="BP1" s="41"/>
      <c r="BQ1" s="41"/>
      <c r="BR1" s="41"/>
      <c r="BS1" s="41"/>
      <c r="BT1" s="41"/>
      <c r="BU1" s="41"/>
      <c r="BV1" s="41"/>
      <c r="BW1" s="41"/>
      <c r="BX1" s="41"/>
      <c r="BY1" s="41"/>
      <c r="BZ1" s="41"/>
      <c r="CA1" s="41"/>
      <c r="CB1" s="41"/>
      <c r="CC1" s="41"/>
      <c r="CD1" s="41"/>
      <c r="CE1" s="41"/>
      <c r="CF1" s="41"/>
      <c r="CG1" s="41"/>
      <c r="CH1" s="41"/>
      <c r="CI1" s="41"/>
      <c r="CJ1" s="41"/>
      <c r="CK1" s="41"/>
      <c r="CL1" s="41"/>
      <c r="CM1" s="41"/>
      <c r="CN1" s="41"/>
      <c r="CO1" s="41"/>
      <c r="CP1" s="41"/>
      <c r="CQ1" s="41"/>
      <c r="CR1" s="41"/>
      <c r="CS1" s="41"/>
    </row>
    <row r="2" hidden="1">
      <c r="A2" s="4"/>
      <c r="B2" s="78" t="s">
        <v>393</v>
      </c>
      <c r="C2" s="3" t="s">
        <v>394</v>
      </c>
    </row>
    <row r="3" hidden="1">
      <c r="B3" s="78" t="s">
        <v>395</v>
      </c>
      <c r="C3" s="3" t="s">
        <v>396</v>
      </c>
    </row>
    <row r="4" hidden="1">
      <c r="A4" s="4"/>
      <c r="B4" s="79" t="s">
        <v>397</v>
      </c>
      <c r="C4" s="3" t="s">
        <v>398</v>
      </c>
    </row>
    <row r="5" hidden="1">
      <c r="A5" s="4"/>
      <c r="B5" s="79" t="s">
        <v>399</v>
      </c>
      <c r="C5" s="3" t="s">
        <v>400</v>
      </c>
    </row>
    <row r="6" hidden="1">
      <c r="B6" s="80" t="s">
        <v>401</v>
      </c>
      <c r="C6" s="3" t="s">
        <v>402</v>
      </c>
    </row>
    <row r="7" hidden="1">
      <c r="B7" s="4"/>
      <c r="C7" s="3"/>
    </row>
    <row r="8">
      <c r="A8" s="4" t="s">
        <v>403</v>
      </c>
      <c r="B8" s="81" t="str">
        <f>split(substitute(A8," - ","~!@^&amp;*#",1),"~!@^&amp;*#",false)"),"Absorber</f>
        <v>#NAME?</v>
      </c>
      <c r="C8" s="20" t="str">
        <f>"COMPUTED_VALUE""),"An Absorber passively and reflexively copies all active abilities that target them. The Absorber can then use the "absorbed" abilities on subsequent nights (but only one ability per night). If the absorber is targeted by a JoAT or similar, it will only "&amp;"absorb the ability actively in use that night, not all the possible abilities. Each ability learned will be a one-shot action (a failed attempt does not count against the limit). The absorber is affected normally by the actions that target it.</f>
        <v xml:space="preserve">An Absorber passively and reflexively copies all active abilities that target them. The Absorber can then use the "absorbed" abilities on subsequent nights (but only one ability per night). If the absorber is targeted by a JoAT or similar, it will only absorb the ability actively in use that night, not all the possible abilities. Each ability learned will be a one-shot action (a failed attempt does not count against the limit). The absorber is affected normally by the actions that target it.</v>
      </c>
    </row>
    <row r="9">
      <c r="A9" s="4" t="s">
        <v>404</v>
      </c>
      <c r="B9" s="81" t="str">
        <f>split(substitute(A9," - ","~!@^&amp;*#",1),"~!@^&amp;*#",false)"),"Amnesiac</f>
        <v>#NAME?</v>
      </c>
      <c r="C9" s="20" t="str">
        <f>"COMPUTED_VALUE""),"An Amnesiac can take over the role of any dead town member, but can only use this action once. However, it CAN take over the role of another dead town Amnesiac. This is not a visiting role.</f>
        <v xml:space="preserve">An Amnesiac can take over the role of any dead town member, but can only use this action once. However, it CAN take over the role of another dead town Amnesiac. This is not a visiting role.</v>
      </c>
    </row>
    <row r="10">
      <c r="A10" s="4" t="s">
        <v>405</v>
      </c>
      <c r="B10" s="81" t="str">
        <f>split(substitute(A10," - ","~!@^&amp;*#",1),"~!@^&amp;*#",false)"),"Apprentice</f>
        <v>#NAME?</v>
      </c>
      <c r="C10" s="20" t="str">
        <f>"COMPUTED_VALUE""),"An Apprentice targets one player each night and learns that player's ability. The Apprentice then can use its learned ability on subsequent nights, but only one ability per night. When using the ability, the Apprentice will NOT learn a new one. The Appren"&amp;"tice can only learn active abilities and the learned ability will be a one-shot action (where a failed attempt does not count against this limit). If the Apprentice targets a player that has more than one action, such as a JoAT, it will only learn the act"&amp;"ion that player is actively using that night. This is a visiting role.</f>
        <v xml:space="preserve">An Apprentice targets one player each night and learns that player's ability. The Apprentice then can use its learned ability on subsequent nights, but only one ability per night. When using the ability, the Apprentice will NOT learn a new one. The Apprentice can only learn active abilities and the learned ability will be a one-shot action (where a failed attempt does not count against this limit). If the Apprentice targets a player that has more than one action, such as a JoAT, it will only learn the action that player is actively using that night. This is a visiting role.</v>
      </c>
    </row>
    <row r="11">
      <c r="A11" s="4" t="s">
        <v>406</v>
      </c>
      <c r="B11" s="81" t="str">
        <f>split(substitute(A11," - ","~!@^&amp;*#",1),"~!@^&amp;*#",false)"),"Armourer</f>
        <v>#NAME?</v>
      </c>
      <c r="C11" s="20" t="str">
        <f>"COMPUTED_VALUE""),"An Armourer can give out a total of three shields during the game, including one shield to itself (and a failed attempt does not count against this limit). The shields are given out as an item and the targeted player can then choose when to use their shie"&amp;"ld. They will forfeit their night action when equipping the shield and it cannot be given out to another person. All actions targeting the shielded player will rebound onto the original player using that action. The shield will break after it is used. Shi"&amp;"elds do not stack. The player targeted by the Armourer will know it received a shield, but not the Armourer’s identity. The Armourer does not carry a gun. This is a visiting role.</f>
        <v xml:space="preserve">An Armourer can give out a total of three shields during the game, including one shield to itself (and a failed attempt does not count against this limit). The shields are given out as an item and the targeted player can then choose when to use their shield. They will forfeit their night action when equipping the shield and it cannot be given out to another person. All actions targeting the shielded player will rebound onto the original player using that action. The shield will break after it is used. Shields do not stack. The player targeted by the Armourer will know it received a shield, but not the Armourer’s identity. The Armourer does not carry a gun. This is a visiting role.</v>
      </c>
    </row>
    <row r="12">
      <c r="A12" s="4" t="s">
        <v>407</v>
      </c>
      <c r="B12" s="81" t="str">
        <f>split(substitute(A12," - ","~!@^&amp;*#",1),"~!@^&amp;*#",false)"),"Arms Dealer</f>
        <v>#NAME?</v>
      </c>
      <c r="C12" s="20" t="str">
        <f>"COMPUTED_VALUE""),"An Arms Dealer can give out a total of three guns during the game, including one gun to itself (and a failed attempt does not count against this limit). The gun allows the player to perform a one-shot kill on subsequent nights and it will be lost after it"&amp;"s use. Players that have received a gun and haven't performed the one-shot kill action yet will be seen as gun holders until after they use it. The Arms Dealer carries a gun regardless of whether it has given itself one or if it has no guns left to give o"&amp;"ut. It cannot give more than one gun to the same player. This is a visiting role.</f>
        <v xml:space="preserve">An Arms Dealer can give out a total of three guns during the game, including one gun to itself (and a failed attempt does not count against this limit). The gun allows the player to perform a one-shot kill on subsequent nights and it will be lost after its use. Players that have received a gun and haven't performed the one-shot kill action yet will be seen as gun holders until after they use it. The Arms Dealer carries a gun regardless of whether it has given itself one or if it has no guns left to give out. It cannot give more than one gun to the same player. This is a visiting role.</v>
      </c>
    </row>
    <row r="13">
      <c r="A13" s="4" t="s">
        <v>408</v>
      </c>
      <c r="B13" s="81" t="str">
        <f>split(substitute(A13," - ","~!@^&amp;*#",1),"~!@^&amp;*#",false)"),"Authenticator</f>
        <v>#NAME?</v>
      </c>
      <c r="C13" s="20" t="str">
        <f>"COMPUTED_VALUE""),"An Authenticator targets one player each night and will verify if any items that the target was given by another player and which are still in its possession are real or fabricated. Both parties will be notified of the verification and, if any item is fab"&amp;"ricated, it will be disposed of. The Authenticator does not carry a gun. This is a visiting role.</f>
        <v xml:space="preserve">An Authenticator targets one player each night and will verify if any items that the target was given by another player and which are still in its possession are real or fabricated. Both parties will be notified of the verification and, if any item is fabricated, it will be disposed of. The Authenticator does not carry a gun. This is a visiting role.</v>
      </c>
    </row>
    <row r="14">
      <c r="A14" s="4" t="s">
        <v>409</v>
      </c>
      <c r="B14" s="81" t="str">
        <f>split(substitute(A14," - ","~!@^&amp;*#",1),"~!@^&amp;*#",false)"),"Babysitter</f>
        <v>#NAME?</v>
      </c>
      <c r="C14" s="20" t="str">
        <f>"COMPUTED_VALUE""),"A Babysitter targets a player at night to protect them. However, if the Babysitter is killed that night, both the Babysitter and its target will die. The Babysitter cannot babysit themselves. This is a visiting role.</f>
        <v xml:space="preserve">A Babysitter targets a player at night to protect them. However, if the Babysitter is killed that night, both the Babysitter and its target will die. The Babysitter cannot babysit themselves. This is a visiting role.</v>
      </c>
    </row>
    <row r="15">
      <c r="A15" s="4" t="s">
        <v>410</v>
      </c>
      <c r="B15" s="81" t="str">
        <f>split(substitute(A15," - ","~!@^&amp;*#",1),"~!@^&amp;*#",false)"),"Batman</f>
        <v>#NAME?</v>
      </c>
      <c r="C15" s="20" t="str">
        <f>"COMPUTED_VALUE""),"Batman chooses one player to watch, track AND sane cop each night. Batman appears guilty to investigative roles and cannot be tracked (but can still be watched). Detective investigations fail. Batman carries a [bat]gun. This is a visiting role</f>
        <v xml:space="preserve">Batman chooses one player to watch, track AND sane cop each night. Batman appears guilty to investigative roles and cannot be tracked (but can still be watched). Detective investigations fail. Batman carries a [bat]gun. This is a visiting role</v>
      </c>
    </row>
    <row r="16">
      <c r="A16" s="4" t="s">
        <v>411</v>
      </c>
      <c r="B16" s="81" t="str">
        <f>split(substitute(A16," - ","~!@^&amp;*#",1),"~!@^&amp;*#",false)"),"Bear Trapper</f>
        <v>#NAME?</v>
      </c>
      <c r="C16" s="20" t="str">
        <f>"COMPUTED_VALUE""),"A Bear Trapper may perform a Roleblock OR Track action each night. This is a visiting role.</f>
        <v xml:space="preserve">A Bear Trapper may perform a Roleblock OR Track action each night. This is a visiting role.</v>
      </c>
    </row>
    <row r="17">
      <c r="A17" s="82" t="s">
        <v>412</v>
      </c>
      <c r="B17" s="81" t="str">
        <f>split(substitute(A17," - ","~!@^&amp;*#",1),"~!@^&amp;*#",false)"),"Blacksmith</f>
        <v>#NAME?</v>
      </c>
      <c r="C17" s="20" t="str">
        <f>"COMPUTED_VALUE""),"A Blacksmith visits one player each night. That player is automatically equipped with a vest. The vest allows the recipient to survive one shot or one stab, but will not protect against bombs. The Blacksmith is allowed to give itself a vest once. Vests do"&amp;" not stack. This is a visiting role.</f>
        <v xml:space="preserve">A Blacksmith visits one player each night. That player is automatically equipped with a vest. The vest allows the recipient to survive one shot or one stab, but will not protect against bombs. The Blacksmith is allowed to give itself a vest once. Vests do not stack. This is a visiting role.</v>
      </c>
    </row>
    <row r="18">
      <c r="B18" s="46"/>
      <c r="C18" s="4" t="s">
        <v>413</v>
      </c>
    </row>
    <row r="19">
      <c r="A19" s="4" t="s">
        <v>414</v>
      </c>
      <c r="B19" s="81" t="str">
        <f>split(substitute(A19," - ","~!@^&amp;*#",1),"~!@^&amp;*#",false)"),"Bus Driver</f>
        <v>#NAME?</v>
      </c>
      <c r="C19" s="20" t="str">
        <f>"COMPUTED_VALUE""),"A Bus Driver selects two targets at night to drive around. Actions directed at one of the targets will go to the other instead and vice versa. Targets will know they were transported, but not who they were swapped with. This is not a visiting role.</f>
        <v xml:space="preserve">A Bus Driver selects two targets at night to drive around. Actions directed at one of the targets will go to the other instead and vice versa. Targets will know they were transported, but not who they were swapped with. This is not a visiting role.</v>
      </c>
    </row>
    <row r="20">
      <c r="A20" s="4" t="s">
        <v>415</v>
      </c>
      <c r="B20" s="81" t="str">
        <f>split(substitute(A20," - ","~!@^&amp;*#",1),"~!@^&amp;*#",false)"),"Cloak</f>
        <v>#NAME?</v>
      </c>
      <c r="C20" s="20" t="str">
        <f>"COMPUTED_VALUE""),"A Cloak chooses one player at night to cloak. Anybody they cloak is unblockable and invisible to tracking/watching/following/voyeuring (i.e. those actions simply do not detect the cloaked player and its actions). This is NOT a visiting role.</f>
        <v xml:space="preserve">A Cloak chooses one player at night to cloak. Anybody they cloak is unblockable and invisible to tracking/watching/following/voyeuring (i.e. those actions simply do not detect the cloaked player and its actions). This is NOT a visiting role.</v>
      </c>
    </row>
    <row r="21">
      <c r="A21" s="4" t="s">
        <v>416</v>
      </c>
      <c r="B21" s="81" t="str">
        <f>split(substitute(A21," - ","~!@^&amp;*#",1),"~!@^&amp;*#",false)"),"Commuter</f>
        <v>#NAME?</v>
      </c>
      <c r="C21" s="20" t="str">
        <f>"COMPUTED_VALUE""),"A Commuter can choose to leave Town during the night, becoming ineligible for night actions. If combined with another role, it cannot use a night action when commuting, even if that night action is passive. This ability cannot be used two consecutive nigh"&amp;"ts. This is not a visiting role.</f>
        <v xml:space="preserve">A Commuter can choose to leave Town during the night, becoming ineligible for night actions. If combined with another role, it cannot use a night action when commuting, even if that night action is passive. This ability cannot be used two consecutive nights. This is not a visiting role.</v>
      </c>
    </row>
    <row r="22">
      <c r="A22" s="4" t="s">
        <v>417</v>
      </c>
      <c r="B22" s="81" t="str">
        <f>split(substitute(A22," - ","~!@^&amp;*#",1),"~!@^&amp;*#",false)"),"Constantine</f>
        <v>#NAME?</v>
      </c>
      <c r="C22" s="20" t="str">
        <f>"COMPUTED_VALUE""),"A Constantine targets one player per night to either detective OR kill. The Constantine Is the force against the Cult, therefore it cannot be recruited. Constantine appears guilty to sane cops and carries a gun. This is a visiting role.</f>
        <v xml:space="preserve">A Constantine targets one player per night to either detective OR kill. The Constantine Is the force against the Cult, therefore it cannot be recruited. Constantine appears guilty to sane cops and carries a gun. This is a visiting role.</v>
      </c>
      <c r="G22" s="3"/>
    </row>
    <row r="23">
      <c r="A23" s="4" t="s">
        <v>418</v>
      </c>
      <c r="B23" s="81" t="str">
        <f>split(substitute(A23," - ","~!@^&amp;*#",1),"~!@^&amp;*#",false)"),"Cop</f>
        <v>#NAME?</v>
      </c>
      <c r="C23" s="20" t="str">
        <f>"COMPUTED_VALUE""),"A Cop investigates one player each night to determine if they are guilty or innocent. The Cop cannot investigate themselves. The Cop carries a gun. This is a visiting role.</f>
        <v xml:space="preserve">A Cop investigates one player each night to determine if they are guilty or innocent. The Cop cannot investigate themselves. The Cop carries a gun. This is a visiting role.</v>
      </c>
      <c r="G23" s="3"/>
    </row>
    <row r="24">
      <c r="A24" s="4" t="s">
        <v>419</v>
      </c>
      <c r="B24" s="81" t="str">
        <f>split(substitute(A24," - ","~!@^&amp;*#",1),"~!@^&amp;*#",false)"),"Defuser</f>
        <v>#NAME?</v>
      </c>
      <c r="C24" s="20" t="str">
        <f>"COMPUTED_VALUE""),"A Defuser may visit one player each night. If the target has a bomb planted on them, it will be defused, and both parties will be notified that the defusing was successful. This is a visiting role.</f>
        <v xml:space="preserve">A Defuser may visit one player each night. If the target has a bomb planted on them, it will be defused, and both parties will be notified that the defusing was successful. This is a visiting role.</v>
      </c>
      <c r="G24" s="3"/>
    </row>
    <row r="25">
      <c r="A25" s="4" t="s">
        <v>420</v>
      </c>
      <c r="B25" s="81" t="str">
        <f>split(substitute(A25," - ","~!@^&amp;*#",1),"~!@^&amp;*#",false)"),"Dentist</f>
        <v>#NAME?</v>
      </c>
      <c r="C25" s="20" t="str">
        <f>"COMPUTED_VALUE""),"Each night, chooses one player to silence for the following day. The target cannot post in the thread the day they are silenced. The Dentist cannot silence the same player two days in a row. Is a visiting role.</f>
        <v xml:space="preserve">Each night, chooses one player to silence for the following day. The target cannot post in the thread the day they are silenced. The Dentist cannot silence the same player two days in a row. Is a visiting role.</v>
      </c>
    </row>
    <row r="26">
      <c r="A26" s="4" t="s">
        <v>421</v>
      </c>
      <c r="B26" s="81" t="str">
        <f>split(substitute(A26," - ","~!@^&amp;*#",1),"~!@^&amp;*#",false)"),"Detective</f>
        <v>#NAME?</v>
      </c>
      <c r="C26" s="20" t="str">
        <f>"COMPUTED_VALUE""),"A Detective investigates one player each night to determine their role. The Detective does not learn their alignment. The Detective carries a gun. This is a visiting role.</f>
        <v xml:space="preserve">A Detective investigates one player each night to determine their role. The Detective does not learn their alignment. The Detective carries a gun. This is a visiting role.</v>
      </c>
    </row>
    <row r="27">
      <c r="A27" s="82" t="s">
        <v>422</v>
      </c>
      <c r="B27" s="81" t="str">
        <f>split(substitute(A27," - ","~!@^&amp;*#",1),"~!@^&amp;*#",false)"),"Doctor</f>
        <v>#NAME?</v>
      </c>
      <c r="C27" s="20" t="str">
        <f>"COMPUTED_VALUE""),"A Doctor chooses one player at night to save. The save can be used on the bodyguard if they are targeted for a kill, but it will not save the bodyguard if they are protecting someone who is targeted for a kill. This is a visiting role.</f>
        <v xml:space="preserve">A Doctor chooses one player at night to save. The save can be used on the bodyguard if they are targeted for a kill, but it will not save the bodyguard if they are protecting someone who is targeted for a kill. This is a visiting role.</v>
      </c>
    </row>
    <row r="28">
      <c r="B28" s="46"/>
      <c r="C28" s="4" t="s">
        <v>423</v>
      </c>
    </row>
    <row r="29">
      <c r="A29" s="4" t="s">
        <v>424</v>
      </c>
      <c r="B29" s="81" t="str">
        <f>split(substitute(A29," - ","~!@^&amp;*#",1),"~!@^&amp;*#",false)"),"Dreamer</f>
        <v>#NAME?</v>
      </c>
      <c r="C29" s="20" t="str">
        <f>"COMPUTED_VALUE""),"A Dreamer has a dream every night that gives information on 3 players, one of which is non-town. (One of player1, player2, player3 is guilty.) Third party roles/Godfather do not show up in dreams. The Dreamer does not dream if it is visited. This is not a"&amp;" visiting role.</f>
        <v xml:space="preserve">A Dreamer has a dream every night that gives information on 3 players, one of which is non-town. (One of player1, player2, player3 is guilty.) Third party roles/Godfather do not show up in dreams. The Dreamer does not dream if it is visited. This is not a visiting role.</v>
      </c>
    </row>
    <row r="30">
      <c r="A30" s="4" t="s">
        <v>425</v>
      </c>
      <c r="B30" s="81" t="str">
        <f>split(substitute(A30," - ","~!@^&amp;*#",1),"~!@^&amp;*#",false)"),"Elite Bodyguard</f>
        <v>#NAME?</v>
      </c>
      <c r="C30" s="20" t="str">
        <f>"COMPUTED_VALUE""),"An Elite Bodyguard chooses one player at night to save. The Elite Bodyguard protects the target, kills the attacker, and then dies. If multiple people attack the protected target, only one randomly-selected attacker dies. The Elite Bodyguard carries a gun"&amp;". This is a visiting role.</f>
        <v xml:space="preserve">An Elite Bodyguard chooses one player at night to save. The Elite Bodyguard protects the target, kills the attacker, and then dies. If multiple people attack the protected target, only one randomly-selected attacker dies. The Elite Bodyguard carries a gun. This is a visiting role.</v>
      </c>
    </row>
    <row r="31">
      <c r="A31" s="82" t="s">
        <v>426</v>
      </c>
      <c r="B31" s="81" t="str">
        <f>split(substitute(A31," - ","~!@^&amp;*#",1),"~!@^&amp;*#",false)"),"Engineer</f>
        <v>#NAME?</v>
      </c>
      <c r="C31" s="20" t="str">
        <f>"COMPUTED_VALUE""),"An Engineer has a panel of buttons connected to the rooms of every player, including their own room. Each button can lock the door of that player's room, preventing anyone from coming or going (i.e. the locked door only affects visiting actions). Each but"&amp;"ton can only be pressed once, but any number can be pressed each night. This is not a visiting role.</f>
        <v xml:space="preserve">An Engineer has a panel of buttons connected to the rooms of every player, including their own room. Each button can lock the door of that player's room, preventing anyone from coming or going (i.e. the locked door only affects visiting actions). Each button can only be pressed once, but any number can be pressed each night. This is not a visiting role.</v>
      </c>
    </row>
    <row r="32">
      <c r="B32" s="46"/>
      <c r="C32" s="4" t="s">
        <v>427</v>
      </c>
    </row>
    <row r="33">
      <c r="A33" s="4" t="s">
        <v>428</v>
      </c>
      <c r="B33" s="81" t="str">
        <f>split(substitute(A33," - ","~!@^&amp;*#",1),"~!@^&amp;*#",false)"),"Exceptional Rookie Cop</f>
        <v>#NAME?</v>
      </c>
      <c r="C33" s="20" t="str">
        <f>"COMPUTED_VALUE""),"An Exceptional Rookie Cop chooses a target each night to determine if they are guilty or innocent. The Exceptional Rookie Cop cannot target themselves. (Note: The different sanities - Sane, Insane, Paranoid, Paranoid Insane and Naive - also apply to the E"&amp;"xceptional Rookie Cop and, like a regular Cop, it will not know about its sanity). After the Cop dies, the Exceptional Rookie Cop will be promoted to Exceptional Detective, learning the role AND alignment of its targets. The promotion takes one night to b"&amp;"e completed, meaning the Exceptional Detective has to wait one night to start submitting its actions. The Exceptional Rookie Cop/Detective carries a gun. This is a visiting role.</f>
        <v xml:space="preserve">An Exceptional Rookie Cop chooses a target each night to determine if they are guilty or innocent. The Exceptional Rookie Cop cannot target themselves. (Note: The different sanities - Sane, Insane, Paranoid, Paranoid Insane and Naive - also apply to the Exceptional Rookie Cop and, like a regular Cop, it will not know about its sanity). After the Cop dies, the Exceptional Rookie Cop will be promoted to Exceptional Detective, learning the role AND alignment of its targets. The promotion takes one night to be completed, meaning the Exceptional Detective has to wait one night to start submitting its actions. The Exceptional Rookie Cop/Detective carries a gun. This is a visiting role.</v>
      </c>
    </row>
    <row r="34">
      <c r="A34" s="4" t="s">
        <v>429</v>
      </c>
      <c r="B34" s="81" t="str">
        <f>split(substitute(A34," - ","~!@^&amp;*#",1),"~!@^&amp;*#",false)"),"Exorcist</f>
        <v>#NAME?</v>
      </c>
      <c r="C34" s="20" t="str">
        <f>"COMPUTED_VALUE""),"An Exorcist chooses a player each night to protect from any action of The Fallen Angel. If it tries to protect a Satanic Cult Member, that member dies. If it tries to protect the Fallen Angel, the Exorcist will die instead. The Exorcist cannot choose to p"&amp;"rotect the same player three nights in a row and cannot protect themselves. This is a visiting role.</f>
        <v xml:space="preserve">An Exorcist chooses a player each night to protect from any action of The Fallen Angel. If it tries to protect a Satanic Cult Member, that member dies. If it tries to protect the Fallen Angel, the Exorcist will die instead. The Exorcist cannot choose to protect the same player three nights in a row and cannot protect themselves. This is a visiting role.</v>
      </c>
    </row>
    <row r="35">
      <c r="A35" s="4" t="s">
        <v>430</v>
      </c>
      <c r="B35" s="81" t="str">
        <f>split(substitute(A35," - ","~!@^&amp;*#",1),"~!@^&amp;*#",false)"),"Fashion Stylist</f>
        <v>#NAME?</v>
      </c>
      <c r="C35" s="20" t="str">
        <f>"COMPUTED_VALUE""),"At the start of each day, the Fashion Stylist will learn the identity of any deceased player (killed overnight or lynched the day before) that was suited by a Tailor, but not the player's original role. This ability is passive and will succeed even if the"&amp;" player is roleblocked. This is not a visiting role.</f>
        <v xml:space="preserve">At the start of each day, the Fashion Stylist will learn the identity of any deceased player (killed overnight or lynched the day before) that was suited by a Tailor, but not the player's original role. This ability is passive and will succeed even if the player is roleblocked. This is not a visiting role.</v>
      </c>
    </row>
    <row r="36">
      <c r="A36" s="4" t="s">
        <v>431</v>
      </c>
      <c r="B36" s="81" t="str">
        <f>split(substitute(A36," - ","~!@^&amp;*#",1),"~!@^&amp;*#",false)"),"Fashion Assistant</f>
        <v>#NAME?</v>
      </c>
      <c r="C36" s="20" t="str">
        <f>"COMPUTED_VALUE""),"At the start of each day, the Fashion Assistant will learn the identity of any deceased player (killed overnight or lynched the day before) that was given a gown by the Seamstress, but not the player's original role. This ability is passive, but it will n"&amp;"ot get results if it is visited. This is not a visiting role.</f>
        <v xml:space="preserve">At the start of each day, the Fashion Assistant will learn the identity of any deceased player (killed overnight or lynched the day before) that was given a gown by the Seamstress, but not the player's original role. This ability is passive, but it will not get results if it is visited. This is not a visiting role.</v>
      </c>
    </row>
    <row r="37">
      <c r="A37" s="4" t="s">
        <v>432</v>
      </c>
      <c r="B37" s="81" t="str">
        <f>split(substitute(A37," - ","~!@^&amp;*#",1),"~!@^&amp;*#",false)"),"FBI Agent</f>
        <v>#NAME?</v>
      </c>
      <c r="C37" s="20" t="str">
        <f>"COMPUTED_VALUE""),"Each night, an FBI Agent may investigate a player and determine whether they are guilty or innocent. (It is, at its core, a Sane Cop.) The FBI Agent may also choose to flash its Badge by PMing the host at any time, and during the next time change (either "&amp;"day&gt;night or night&gt;day), the host will publicly reveal its role, abilities, and alignment in the main thread. The FBI Agent carries a gun. This is a visiting role.</f>
        <v xml:space="preserve">Each night, an FBI Agent may investigate a player and determine whether they are guilty or innocent. (It is, at its core, a Sane Cop.) The FBI Agent may also choose to flash its Badge by PMing the host at any time, and during the next time change (either day&gt;night or night&gt;day), the host will publicly reveal its role, abilities, and alignment in the main thread. The FBI Agent carries a gun. This is a visiting role.</v>
      </c>
    </row>
    <row r="38">
      <c r="A38" s="4" t="s">
        <v>433</v>
      </c>
      <c r="B38" s="81" t="str">
        <f>split(substitute(A38," - ","~!@^&amp;*#",1),"~!@^&amp;*#",false)"),"Fisherman</f>
        <v>#NAME?</v>
      </c>
      <c r="C38" s="20" t="str">
        <f>"COMPUTED_VALUE""),"A Fisherman may fish for an item each night. Fishing for an item has a 50% chance of succeeding. Each item gives them an one-shot ability that can then be used on subsequent nights. If the Fisherman is using an item during the night, it cannot fish for an"&amp;"other one. There is only one of each item available. The possible items are: syringe (Doctor), magnifying glasses (Sane cop), gun (Vigilante), bulletproof vest (Blacksmith), GPS locator (Tracker) and binoculars (Watcher). If the Fisherman catches a gun, i"&amp;"t will be seen as having a gun until it is used. The Fisherman is unblockable while fishing for an item. This is not a visiting role when fishing.</f>
        <v xml:space="preserve">A Fisherman may fish for an item each night. Fishing for an item has a 50% chance of succeeding. Each item gives them an one-shot ability that can then be used on subsequent nights. If the Fisherman is using an item during the night, it cannot fish for another one. There is only one of each item available. The possible items are: syringe (Doctor), magnifying glasses (Sane cop), gun (Vigilante), bulletproof vest (Blacksmith), GPS locator (Tracker) and binoculars (Watcher). If the Fisherman catches a gun, it will be seen as having a gun until it is used. The Fisherman is unblockable while fishing for an item. This is not a visiting role when fishing.</v>
      </c>
    </row>
    <row r="39">
      <c r="A39" s="4" t="s">
        <v>434</v>
      </c>
      <c r="B39" s="81" t="str">
        <f>split(substitute(A39," - ","~!@^&amp;*#",1),"~!@^&amp;*#",false)"),"Follower</f>
        <v>#NAME?</v>
      </c>
      <c r="C39" s="20" t="str">
        <f>"COMPUTED_VALUE""),"A Follower targets a player at night and learns what action they took that night, but not who they targeted. This is a visiting role.</f>
        <v xml:space="preserve">A Follower targets a player at night and learns what action they took that night, but not who they targeted. This is a visiting role.</v>
      </c>
    </row>
    <row r="40">
      <c r="A40" s="4" t="s">
        <v>435</v>
      </c>
      <c r="B40" s="81" t="str">
        <f>split(substitute(A40," - ","~!@^&amp;*#",1),"~!@^&amp;*#",false)"),"Forensic Investigator</f>
        <v>#NAME?</v>
      </c>
      <c r="C40" s="20" t="str">
        <f>"COMPUTED_VALUE""),"A Forensic Investigator has the ability to analyze any dead player and learn what was done to them each night up until their death, but not by whom. They may use this ability three times during the game, but a failed attempt does not count against this li"&amp;"mit. This is not a visiting role.</f>
        <v xml:space="preserve">A Forensic Investigator has the ability to analyze any dead player and learn what was done to them each night up until their death, but not by whom. They may use this ability three times during the game, but a failed attempt does not count against this limit. This is not a visiting role.</v>
      </c>
    </row>
    <row r="41">
      <c r="A41" s="4" t="s">
        <v>436</v>
      </c>
      <c r="B41" s="81" t="str">
        <f>split(substitute(A41," - ","~!@^&amp;*#",1),"~!@^&amp;*#",false)"),"Friendly Doctor</f>
        <v>#NAME?</v>
      </c>
      <c r="C41" s="20" t="str">
        <f>"COMPUTED_VALUE""),"A Friendly Doctor may visit a player each night. If another player's actions would cause that target to die that night, it will survive instead. Additionally, targeted players will receive a message saying they were visited by the Friendly Doctor, and tha"&amp;"t message will include the Friendly Doctor’s name, but the message cannot be responded to. If the Friendly Doctor prevents a death, both it and the player it saved will know, but neither will know who was responsible for the kill attempt.</f>
        <v xml:space="preserve">A Friendly Doctor may visit a player each night. If another player's actions would cause that target to die that night, it will survive instead. Additionally, targeted players will receive a message saying they were visited by the Friendly Doctor, and that message will include the Friendly Doctor’s name, but the message cannot be responded to. If the Friendly Doctor prevents a death, both it and the player it saved will know, but neither will know who was responsible for the kill attempt.</v>
      </c>
    </row>
    <row r="42">
      <c r="A42" s="4" t="s">
        <v>437</v>
      </c>
      <c r="B42" s="81" t="str">
        <f>split(substitute(A42," - ","~!@^&amp;*#",1),"~!@^&amp;*#",false)"),"Friendly Neighbor</f>
        <v>#NAME?</v>
      </c>
      <c r="C42" s="20" t="str">
        <f>"COMPUTED_VALUE""),"A Friendly Neighbor can send one message each night to a player, stating that the Friendly Neighbor is town. This mail may not be responded to. This is not a visiting role.</f>
        <v xml:space="preserve">A Friendly Neighbor can send one message each night to a player, stating that the Friendly Neighbor is town. This mail may not be responded to. This is not a visiting role.</v>
      </c>
    </row>
    <row r="43">
      <c r="A43" s="4" t="s">
        <v>438</v>
      </c>
      <c r="B43" s="81" t="str">
        <f>split(substitute(A43," - ","~!@^&amp;*#",1),"~!@^&amp;*#",false)"),"Geneticist</f>
        <v>#NAME?</v>
      </c>
      <c r="C43" s="20" t="str">
        <f>"COMPUTED_VALUE""),"A Geneticist can choose one player and then forcibly clone that player’s role onto another player of their choice, completely changing the player’s role and alignment for the rest of the game. An attempt of cloning a team member into another team (i. e. t"&amp;"rying to clone a scum/Cult member into a Town role or a Mason/Cult into a scum role or a Cult member into a Town/scum role, etc) will fail. The Geneticist can only use this ability ONCE. This is not a visiting role.</f>
        <v xml:space="preserve">A Geneticist can choose one player and then forcibly clone that player’s role onto another player of their choice, completely changing the player’s role and alignment for the rest of the game. An attempt of cloning a team member into another team (i. e. trying to clone a scum/Cult member into a Town role or a Mason/Cult into a scum role or a Cult member into a Town/scum role, etc) will fail. The Geneticist can only use this ability ONCE. This is not a visiting role.</v>
      </c>
    </row>
    <row r="44">
      <c r="A44" s="4" t="s">
        <v>439</v>
      </c>
      <c r="B44" s="81" t="str">
        <f>split(substitute(A44," - ","~!@^&amp;*#",1),"~!@^&amp;*#",false)"),"Gladiator</f>
        <v>#NAME?</v>
      </c>
      <c r="C44" s="20" t="str">
        <f>"COMPUTED_VALUE""),"A Gladiator can choose to challenge any player during the night ONCE during the game. The following day, only the Gladiator and its opponent are eligible for lynching, but there must be a lynching, which means that if the day ends in a tie, BOTH of them w"&amp;"ill be lynched. The identity of the Gladiator will NOT be announced when the challenge day begins; only which two players are lynch candidates will be announced. This is not a visiting role.</f>
        <v xml:space="preserve">A Gladiator can choose to challenge any player during the night ONCE during the game. The following day, only the Gladiator and its opponent are eligible for lynching, but there must be a lynching, which means that if the day ends in a tie, BOTH of them will be lynched. The identity of the Gladiator will NOT be announced when the challenge day begins; only which two players are lynch candidates will be announced. This is not a visiting role.</v>
      </c>
    </row>
    <row r="45">
      <c r="A45" s="4" t="s">
        <v>440</v>
      </c>
      <c r="B45" s="81" t="str">
        <f>split(substitute(A45," - ","~!@^&amp;*#",1),"~!@^&amp;*#",false)"),"Governor</f>
        <v>#NAME?</v>
      </c>
      <c r="C45" s="20" t="str">
        <f>"COMPUTED_VALUE""),"A Governor can override one lynch during the game. The Governor can choose another player or No Lynch. It must PM the host the selection before the role of the lynched player is revealed. A good way to do this is to send a PM saying "If so-and-so is lync"&amp;"hed, lynch so-and-so instead." This action can only be used once. The identity of the Governor will be revealed when the ability is used. This is not a visiting role.</f>
        <v xml:space="preserve">A Governor can override one lynch during the game. The Governor can choose another player or No Lynch. It must PM the host the selection before the role of the lynched player is revealed. A good way to do this is to send a PM saying "If so-and-so is lynched, lynch so-and-so instead." This action can only be used once. The identity of the Governor will be revealed when the ability is used. This is not a visiting role.</v>
      </c>
    </row>
    <row r="46">
      <c r="A46" s="4" t="s">
        <v>441</v>
      </c>
      <c r="B46" s="81" t="str">
        <f>split(substitute(A46," - ","~!@^&amp;*#",1),"~!@^&amp;*#",false)"),"Gunsmith</f>
        <v>#NAME?</v>
      </c>
      <c r="C46" s="20" t="str">
        <f>"COMPUTED_VALUE""),"A Gunsmith investigates one player each night to determine if they have a gun. These common roles will carry guns: scum faction members, Detectives, Cops, Jacks of All Trades, FBI Agents, and Vigilantes (Note: this is a general guide. For information on w"&amp;"hether or not a specific, less common role carries a gun, check that role's description). Third party killers and Godfathers do not carry guns. The Gunsmith itself does not carry a gun. This is a visiting role.</f>
        <v xml:space="preserve">A Gunsmith investigates one player each night to determine if they have a gun. These common roles will carry guns: scum faction members, Detectives, Cops, Jacks of All Trades, FBI Agents, and Vigilantes (Note: this is a general guide. For information on whether or not a specific, less common role carries a gun, check that role's description). Third party killers and Godfathers do not carry guns. The Gunsmith itself does not carry a gun. This is a visiting role.</v>
      </c>
    </row>
    <row r="47">
      <c r="A47" s="4" t="s">
        <v>442</v>
      </c>
      <c r="B47" s="81" t="str">
        <f>split(substitute(A47," - ","~!@^&amp;*#",1),"~!@^&amp;*#",false)"),"Hider</f>
        <v>#NAME?</v>
      </c>
      <c r="C47" s="20" t="str">
        <f>"COMPUTED_VALUE""),"A Hider may hide behind one player every night. Whatever happens to the player they hide behind also happens to them. If the Hider tries to hide behind a scum player, it will die. When hiding, actions directly targeting the Hider will fail, but it can be "&amp;"targeted normally when not using its ability. This is a visiting role.</f>
        <v xml:space="preserve">A Hider may hide behind one player every night. Whatever happens to the player they hide behind also happens to them. If the Hider tries to hide behind a scum player, it will die. When hiding, actions directly targeting the Hider will fail, but it can be targeted normally when not using its ability. This is a visiting role.</v>
      </c>
    </row>
    <row r="48">
      <c r="A48" s="4" t="s">
        <v>443</v>
      </c>
      <c r="B48" s="81" t="str">
        <f>split(substitute(A48," - ","~!@^&amp;*#",1),"~!@^&amp;*#",false)"),"Innocent Child</f>
        <v>#NAME?</v>
      </c>
      <c r="C48" s="20" t="str">
        <f>"COMPUTED_VALUE""),"An Innocent Child has no night actions. If targeted by a faction kill, third party killer, or Town Doctor/Vigilante, the child grows up to become a part of the team that they were visited by, and they will receive a randomly selected role from that team. "&amp;"If they are visited by a third party killer, they are aligned with that killer and share a chat room with that killer, gaining Detective abilities. This is not a visiting role while not recruited.</f>
        <v xml:space="preserve">An Innocent Child has no night actions. If targeted by a faction kill, third party killer, or Town Doctor/Vigilante, the child grows up to become a part of the team that they were visited by, and they will receive a randomly selected role from that team. If they are visited by a third party killer, they are aligned with that killer and share a chat room with that killer, gaining Detective abilities. This is not a visiting role while not recruited.</v>
      </c>
    </row>
    <row r="49">
      <c r="A49" s="4" t="s">
        <v>444</v>
      </c>
      <c r="B49" s="81" t="str">
        <f>split(substitute(A49," - ","~!@^&amp;*#",1),"~!@^&amp;*#",false)"),"Inquisitor</f>
        <v>#NAME?</v>
      </c>
      <c r="C49" s="20" t="str">
        <f>"COMPUTED_VALUE""),"An Inquisitor can ask a total of three yes/no questions to the host via PM about night events or the setting. When talking about players, the Inquisitor has to use the role name and not the player name (or the question is invalid). Questions fail if the p"&amp;"layer is visited. A failed attempt does not count against the limit. This is not a visiting role.</f>
        <v xml:space="preserve">An Inquisitor can ask a total of three yes/no questions to the host via PM about night events or the setting. When talking about players, the Inquisitor has to use the role name and not the player name (or the question is invalid). Questions fail if the player is visited. A failed attempt does not count against the limit. This is not a visiting role.</v>
      </c>
    </row>
    <row r="50">
      <c r="A50" s="4" t="s">
        <v>445</v>
      </c>
      <c r="B50" s="81" t="str">
        <f>split(substitute(A50," - ","~!@^&amp;*#",1),"~!@^&amp;*#",false)"),"Insane Cop</f>
        <v>#NAME?</v>
      </c>
      <c r="C50" s="20" t="str">
        <f>"COMPUTED_VALUE""),"An Insane Cop investigates one player each night to determine if they are guilty or innocent. The Insane Cop cannot investigate themselves. The Insane Cop’s investigations will reveal results that are the opposite of the truth, but it does not know its sa"&amp;"nity. The Insane Cop carries a gun. This is a visiting role.</f>
        <v xml:space="preserve">An Insane Cop investigates one player each night to determine if they are guilty or innocent. The Insane Cop cannot investigate themselves. The Insane Cop’s investigations will reveal results that are the opposite of the truth, but it does not know its sanity. The Insane Cop carries a gun. This is a visiting role.</v>
      </c>
    </row>
    <row r="51">
      <c r="A51" s="4" t="s">
        <v>446</v>
      </c>
      <c r="B51" s="81" t="str">
        <f>split(substitute(A51," - ","~!@^&amp;*#",1),"~!@^&amp;*#",false)"),"Inventor</f>
        <v>#NAME?</v>
      </c>
      <c r="C51" s="20" t="str">
        <f>"COMPUTED_VALUE""),"An Inventor can give out a total of five items (gadgets) during the game. Each gadget typically provides a one-shot use of a power role ability, such as a one-shot kill or a one-shot detective. The gadgets are chosen from a list provided in the Inventor’s"&amp;" role PM (there isn’t a fixed list of gadgets, it is up to the host to come up with one). The Inventor can give one item to themselves. The host may or may not reveal to the Inventor what each gadget does. This is a visiting role.</f>
        <v xml:space="preserve">An Inventor can give out a total of five items (gadgets) during the game. Each gadget typically provides a one-shot use of a power role ability, such as a one-shot kill or a one-shot detective. The gadgets are chosen from a list provided in the Inventor’s role PM (there isn’t a fixed list of gadgets, it is up to the host to come up with one). The Inventor can give one item to themselves. The host may or may not reveal to the Inventor what each gadget does. This is a visiting role.</v>
      </c>
    </row>
    <row r="52">
      <c r="A52" s="4" t="s">
        <v>447</v>
      </c>
      <c r="B52" s="81" t="str">
        <f>split(substitute(A52," - ","~!@^&amp;*#",1),"~!@^&amp;*#",false)"),"Jack of All Trades</f>
        <v>#NAME?</v>
      </c>
      <c r="C52" s="20" t="str">
        <f>"COMPUTED_VALUE""),"A Jack of All Trades (JoAT) has the ability to perform one of these actions each night: detective, sane cop, roleblock, watch, track, gunsmith, jail and kill. The JoAT can only use each action once, but a failed attempt does not count against this limit. "&amp;"The JoAT carries a gun. This is a visiting role.</f>
        <v xml:space="preserve">A Jack of All Trades (JoAT) has the ability to perform one of these actions each night: detective, sane cop, roleblock, watch, track, gunsmith, jail and kill. The JoAT can only use each action once, but a failed attempt does not count against this limit. The JoAT carries a gun. This is a visiting role.</v>
      </c>
    </row>
    <row r="53">
      <c r="A53" s="4" t="s">
        <v>448</v>
      </c>
      <c r="B53" s="81" t="str">
        <f>split(substitute(A53," - ","~!@^&amp;*#",1),"~!@^&amp;*#",false)"),"Jailkeeper</f>
        <v>#NAME?</v>
      </c>
      <c r="C53" s="20" t="str">
        <f>"COMPUTED_VALUE""),"A Jailkeeper jails one target each night, and that target is roleblocked (cannot use a night ability) and immune to all night actions. If the Jailkeeper dies, the prisoner dies at the same time (and it does not matter if the prisoner is vested, is a Stump"&amp;"/Tough Guy or has a modifier that would prevent or delay death otherwise). This is a visiting role.</f>
        <v xml:space="preserve">A Jailkeeper jails one target each night, and that target is roleblocked (cannot use a night ability) and immune to all night actions. If the Jailkeeper dies, the prisoner dies at the same time (and it does not matter if the prisoner is vested, is a Stump/Tough Guy or has a modifier that would prevent or delay death otherwise). This is a visiting role.</v>
      </c>
    </row>
    <row r="54">
      <c r="A54" s="4" t="s">
        <v>449</v>
      </c>
      <c r="B54" s="81" t="str">
        <f>split(substitute(A54," - ","~!@^&amp;*#",1),"~!@^&amp;*#",false)"),"Jesus</f>
        <v>#NAME?</v>
      </c>
      <c r="C54" s="20" t="str">
        <f>"COMPUTED_VALUE""),"If Jesus gets lynched, he will rise again. While he is dead, he may commune with one dead player and learn their night actions and results. If there are over 20 players remaining, he will rise after 3 days. If there are under 20, 2 days. If under 15, he w"&amp;"ill rise the next day. Jesus is a one trick pony and cannot be resurrected a second time. This is not a visiting role.</f>
        <v xml:space="preserve">If Jesus gets lynched, he will rise again. While he is dead, he may commune with one dead player and learn their night actions and results. If there are over 20 players remaining, he will rise after 3 days. If there are under 20, 2 days. If under 15, he will rise the next day. Jesus is a one trick pony and cannot be resurrected a second time. This is not a visiting role.</v>
      </c>
    </row>
    <row r="55">
      <c r="A55" s="4" t="s">
        <v>450</v>
      </c>
      <c r="B55" s="81" t="str">
        <f>split(substitute(A55," - ","~!@^&amp;*#",1),"~!@^&amp;*#",false)"),"Keymaker</f>
        <v>#NAME?</v>
      </c>
      <c r="C55" s="20" t="str">
        <f>"COMPUTED_VALUE""),"A Keymaker makes a Key each night and gives it to a player. That player can then lock itself in its house during any night of the game, but only for one night. The player using the key is considered to be jailed for that night. The Keymaker can make one k"&amp;"ey for himself. Each key is unique and can only be given once. This is a visiting role.</f>
        <v xml:space="preserve">A Keymaker makes a Key each night and gives it to a player. That player can then lock itself in its house during any night of the game, but only for one night. The player using the key is considered to be jailed for that night. The Keymaker can make one key for himself. Each key is unique and can only be given once. This is a visiting role.</v>
      </c>
    </row>
    <row r="56">
      <c r="A56" s="4" t="s">
        <v>451</v>
      </c>
      <c r="B56" s="81" t="str">
        <f>split(substitute(A56," - ","~!@^&amp;*#",1),"~!@^&amp;*#",false)"),"Lie Detector</f>
        <v>#NAME?</v>
      </c>
      <c r="C56" s="20" t="str">
        <f>"COMPUTED_VALUE""),"Each night, a Lie Detector may send the host a quote containing a statement given by another player. The host will then reveal if the statement is a lie or not. A statement using just a color to identify an alignment will not succeed. The statement has to"&amp;" be clear and there can’t be more than one in each quote. This is not a visiting role.</f>
        <v xml:space="preserve">Each night, a Lie Detector may send the host a quote containing a statement given by another player. The host will then reveal if the statement is a lie or not. A statement using just a color to identify an alignment will not succeed. The statement has to be clear and there can’t be more than one in each quote. This is not a visiting role.</v>
      </c>
    </row>
    <row r="57">
      <c r="A57" s="4" t="s">
        <v>452</v>
      </c>
      <c r="B57" s="81" t="str">
        <f>split(substitute(A57," - ","~!@^&amp;*#",1),"~!@^&amp;*#",false)"),"Mailman</f>
        <v>#NAME?</v>
      </c>
      <c r="C57" s="20" t="str">
        <f>"COMPUTED_VALUE""),"A Mailman can send an anonymous message to another player of their choice at night. This is done by sending the host the target's name and the message. The host will then send the message on to the target. The recipient can send a message in reply. This i"&amp;"s not a visiting role.</f>
        <v xml:space="preserve">A Mailman can send an anonymous message to another player of their choice at night. This is done by sending the host the target's name and the message. The host will then send the message on to the target. The recipient can send a message in reply. This is not a visiting role.</v>
      </c>
    </row>
    <row r="58">
      <c r="A58" s="4" t="s">
        <v>453</v>
      </c>
      <c r="B58" s="81" t="str">
        <f>split(substitute(A58," - ","~!@^&amp;*#",1),"~!@^&amp;*#",false)"),"Martyr</f>
        <v>#NAME?</v>
      </c>
      <c r="C58" s="20" t="str">
        <f>"COMPUTED_VALUE""),"A Martyr can use their ability once. The Martyr chooses a target to kill, kills that target, and then dies. The Martyr cannot be saved when using their ability. This is a visiting role.</f>
        <v xml:space="preserve">A Martyr can use their ability once. The Martyr chooses a target to kill, kills that target, and then dies. The Martyr cannot be saved when using their ability. This is a visiting role.</v>
      </c>
    </row>
    <row r="59">
      <c r="A59" s="4" t="s">
        <v>454</v>
      </c>
      <c r="B59" s="81" t="str">
        <f>split(substitute(A59," - ","~!@^&amp;*#",1),"~!@^&amp;*#",false)"),"Mason</f>
        <v>#NAME?</v>
      </c>
      <c r="C59" s="20" t="str">
        <f>"COMPUTED_VALUE""),"Masons share a chat room. They recruit one player each night through a voting system - they are allowed to vote for "Nobody", but they are NOT allowed to refrain from voting. Only a majority is needed to recruit a player, but if no majority is reached, "&amp;"the recruitment will not happen. Recruiting a Town member removes that player's ability, and that player becomes a Mason. Recruiting Cult Members kills those Cult Members. Recruiting a scum faction member fails, and kills any Masons who voted to recruit t"&amp;"hat player. If the recruit is a scum member and is also targeted to be recruited by Cult on the same night, the action fails but no Masons die. The first Mason will be the leader and will carry out the recruitment. If more than one Mason exists at the beg"&amp;"inning of the game, they will decide on N0 which one of them will be the leader. If the leader dies, the remaining Masons will decide again who will become the new leader. Masons are immune to other recruitment. There is a 50% chance of the game starting "&amp;"with a Mason whose abilities are intact. This is a visiting role when recruiting.</f>
        <v xml:space="preserve">Masons share a chat room. They recruit one player each night through a voting system - they are allowed to vote for "Nobody", but they are NOT allowed to refrain from voting. Only a majority is needed to recruit a player, but if no majority is reached, the recruitment will not happen. Recruiting a Town member removes that player's ability, and that player becomes a Mason. Recruiting Cult Members kills those Cult Members. Recruiting a scum faction member fails, and kills any Masons who voted to recruit that player. If the recruit is a scum member and is also targeted to be recruited by Cult on the same night, the action fails but no Masons die. The first Mason will be the leader and will carry out the recruitment. If more than one Mason exists at the beginning of the game, they will decide on N0 which one of them will be the leader. If the leader dies, the remaining Masons will decide again who will become the new leader. Masons are immune to other recruitment. There is a 50% chance of the game starting with a Mason whose abilities are intact. This is a visiting role when recruiting.</v>
      </c>
    </row>
    <row r="60">
      <c r="A60" s="4" t="s">
        <v>455</v>
      </c>
      <c r="B60" s="81" t="str">
        <f>split(substitute(A60," - ","~!@^&amp;*#",1),"~!@^&amp;*#",false)"),"Master Surgeon</f>
        <v>#NAME?</v>
      </c>
      <c r="C60" s="20" t="str">
        <f>"COMPUTED_VALUE""),"Like a Doctor, a Master Surgeon chooses one player to save at night. A Master Surgeon cannot self-heal. Saving is a visiting action. Alternatively, a Master Surgeon can revive one dead player immediately after death. That player will randomly be assigned "&amp;"a new role matching their original alignment. A Master Surgeon cannot target themselves for revival. Revival is not a visiting action. After a revival, a Master Surgeon cannot use a Doctor’s ability on the following two nights.</f>
        <v xml:space="preserve">Like a Doctor, a Master Surgeon chooses one player to save at night. A Master Surgeon cannot self-heal. Saving is a visiting action. Alternatively, a Master Surgeon can revive one dead player immediately after death. That player will randomly be assigned a new role matching their original alignment. A Master Surgeon cannot target themselves for revival. Revival is not a visiting action. After a revival, a Master Surgeon cannot use a Doctor’s ability on the following two nights.</v>
      </c>
    </row>
    <row r="61">
      <c r="A61" s="4" t="s">
        <v>456</v>
      </c>
      <c r="B61" s="81" t="str">
        <f>split(substitute(A61," - ","~!@^&amp;*#",1),"~!@^&amp;*#",false)"),"Medium</f>
        <v>#NAME?</v>
      </c>
      <c r="C61" s="20" t="str">
        <f>"COMPUTED_VALUE""),"Every other night, a Medium gets additional information about the night events or the setting. When talking about players, the host will use the role name, not a player’s name. The Medium does not receive information if visited. A random choice will be ma"&amp;"de to determine if the Medium will start getting information on N0 or N1.</f>
        <v xml:space="preserve">Every other night, a Medium gets additional information about the night events or the setting. When talking about players, the host will use the role name, not a player’s name. The Medium does not receive information if visited. A random choice will be made to determine if the Medium will start getting information on N0 or N1.</v>
      </c>
    </row>
    <row r="62">
      <c r="A62" s="4" t="s">
        <v>457</v>
      </c>
      <c r="B62" s="81" t="str">
        <f>split(substitute(A62," - ","~!@^&amp;*#",1),"~!@^&amp;*#",false)"),"Miller</f>
        <v>#NAME?</v>
      </c>
      <c r="C62" s="20" t="str">
        <f>"COMPUTED_VALUE""),"A Miller is a Vanilla townie who show as guilty to sane Cops and innocent to Insane Cops. This is not a visiting role.</f>
        <v xml:space="preserve">A Miller is a Vanilla townie who show as guilty to sane Cops and innocent to Insane Cops. This is not a visiting role.</v>
      </c>
    </row>
    <row r="63">
      <c r="A63" s="82" t="s">
        <v>458</v>
      </c>
      <c r="B63" s="81" t="str">
        <f>split(substitute(A63," - ","~!@^&amp;*#",1),"~!@^&amp;*#",false)"),"Mortician</f>
        <v>#NAME?</v>
      </c>
      <c r="C63" s="20" t="str">
        <f>"COMPUTED_VALUE""),"A Mortician can choose a dead player each night and obtain the player's true role, no matter how that role is disguised. This is not a visiting role.</f>
        <v xml:space="preserve">A Mortician can choose a dead player each night and obtain the player's true role, no matter how that role is disguised. This is not a visiting role.</v>
      </c>
    </row>
    <row r="64">
      <c r="B64" s="46"/>
      <c r="C64" s="4" t="s">
        <v>459</v>
      </c>
    </row>
    <row r="65">
      <c r="A65" s="4" t="s">
        <v>460</v>
      </c>
      <c r="B65" s="81" t="str">
        <f>split(substitute(A65," - ","~!@^&amp;*#",1),"~!@^&amp;*#",false)"),"Motivator</f>
        <v>#NAME?</v>
      </c>
      <c r="C65" s="20" t="str">
        <f>"COMPUTED_VALUE""),"A Motivator targets a player at night to allow them to use an extra action. The extra action is available the next night and the next night only. Factional abilities, such as the Mafia night kill, cannot be used twice in one night. One-shot type of action"&amp;"s won’t be affected by motivation, i. e., if a Jack of All Trades is motivated, they can’t use two of the same action, they simply can use two different actions at once. The Motivator cannot motivate themselves. This is a visiting role.</f>
        <v xml:space="preserve">A Motivator targets a player at night to allow them to use an extra action. The extra action is available the next night and the next night only. Factional abilities, such as the Mafia night kill, cannot be used twice in one night. One-shot type of actions won’t be affected by motivation, i. e., if a Jack of All Trades is motivated, they can’t use two of the same action, they simply can use two different actions at once. The Motivator cannot motivate themselves. This is a visiting role.</v>
      </c>
    </row>
    <row r="66">
      <c r="A66" s="4" t="s">
        <v>461</v>
      </c>
      <c r="B66" s="81" t="str">
        <f>split(substitute(A66," - ","~!@^&amp;*#",1),"~!@^&amp;*#",false)"),"Naive Cop</f>
        <v>#NAME?</v>
      </c>
      <c r="C66" s="20" t="str">
        <f>"COMPUTED_VALUE""),"A Naive Cop Investigates one player each night to determine if they are guilty or innocent. The Naive Cop cannot investigate itself. The Naive Cop’s investigations will return 'Innocent' the first three nights. After that, it loses its naivety and returns"&amp;" sane Cop results. The Naive Cop does not know of its naivety. The Naive Cop carries a gun. This is a visiting role.</f>
        <v xml:space="preserve">A Naive Cop Investigates one player each night to determine if they are guilty or innocent. The Naive Cop cannot investigate itself. The Naive Cop’s investigations will return 'Innocent' the first three nights. After that, it loses its naivety and returns sane Cop results. The Naive Cop does not know of its naivety. The Naive Cop carries a gun. This is a visiting role.</v>
      </c>
    </row>
    <row r="67">
      <c r="A67" s="4" t="s">
        <v>462</v>
      </c>
      <c r="B67" s="81" t="str">
        <f>split(substitute(A67," - ","~!@^&amp;*#",1),"~!@^&amp;*#",false)"),"Neighborhood Watch</f>
        <v>#NAME?</v>
      </c>
      <c r="C67" s="20" t="str">
        <f>"COMPUTED_VALUE""),"A Neighborhood Watch chooses to watch one player per night. If the watched player dies, there is a 50% chance that the Neighborhood Watch sees the killer, thus learning the killer’s identity, even if the killer is cloaked (including Sneaky Pete). If two o"&amp;"r more Neighborhood Watch players watch the same player, there is a 100% chance that they will see the killer. All Neighborhood Watch players may communicate with each other in a chat room. Neighborhood Watch players will also get normal watch results eve"&amp;"n when the target is not killed. This is a visiting role.</f>
        <v xml:space="preserve">A Neighborhood Watch chooses to watch one player per night. If the watched player dies, there is a 50% chance that the Neighborhood Watch sees the killer, thus learning the killer’s identity, even if the killer is cloaked (including Sneaky Pete). If two or more Neighborhood Watch players watch the same player, there is a 100% chance that they will see the killer. All Neighborhood Watch players may communicate with each other in a chat room. Neighborhood Watch players will also get normal watch results even when the target is not killed. This is a visiting role.</v>
      </c>
    </row>
    <row r="68">
      <c r="A68" s="4" t="s">
        <v>463</v>
      </c>
      <c r="B68" s="81" t="str">
        <f>split(substitute(A68," - ","~!@^&amp;*#",1),"~!@^&amp;*#",false)"),"Paranoid Cop</f>
        <v>#NAME?</v>
      </c>
      <c r="C68" s="20" t="str">
        <f>"COMPUTED_VALUE""),"A Paranoid Cop investigates one player each night to determine if they are guilty or innocent. The Paranoid Cop cannot investigate itself. The Paranoid Cop;s investigations will return 'Guilty' the first three nights. After that, it loses its paranoia. Th"&amp;"e Paranoid Cop does not know of its paranoia. The Paranoid Cop carries a gun. This is a visiting role.</f>
        <v xml:space="preserve">A Paranoid Cop investigates one player each night to determine if they are guilty or innocent. The Paranoid Cop cannot investigate itself. The Paranoid Cop;s investigations will return 'Guilty' the first three nights. After that, it loses its paranoia. The Paranoid Cop does not know of its paranoia. The Paranoid Cop carries a gun. This is a visiting role.</v>
      </c>
    </row>
    <row r="69">
      <c r="A69" s="4" t="s">
        <v>464</v>
      </c>
      <c r="B69" s="81" t="str">
        <f>split(substitute(A69," - ","~!@^&amp;*#",1),"~!@^&amp;*#",false)"),"Paranoid Insane Cop</f>
        <v>#NAME?</v>
      </c>
      <c r="C69" s="20" t="str">
        <f>"COMPUTED_VALUE""),"A Paranoid Insane Cop investigates one player each night to determine if they are guilty or innocent. A Paranoid Insane Cop cannot investigate itself. The Paranoid Insane Cop’s investigations will return 'Guilty' the first three nights. After that, it los"&amp;"es its paranoia, but is still insane, so investigations on N3 and beyond will return the opposite of the truth. The Paranoid Insane Cop does not know of its paranoia or insanity. The Paranoid Insane Cop carries a gun. This is a visiting role.</f>
        <v xml:space="preserve">A Paranoid Insane Cop investigates one player each night to determine if they are guilty or innocent. A Paranoid Insane Cop cannot investigate itself. The Paranoid Insane Cop’s investigations will return 'Guilty' the first three nights. After that, it loses its paranoia, but is still insane, so investigations on N3 and beyond will return the opposite of the truth. The Paranoid Insane Cop does not know of its paranoia or insanity. The Paranoid Insane Cop carries a gun. This is a visiting role.</v>
      </c>
    </row>
    <row r="70">
      <c r="A70" s="4" t="s">
        <v>465</v>
      </c>
      <c r="B70" s="81" t="str">
        <f>split(substitute(A70," - ","~!@^&amp;*#",1),"~!@^&amp;*#",false)"),"Parity Cop</f>
        <v>#NAME?</v>
      </c>
      <c r="C70" s="20" t="str">
        <f>"COMPUTED_VALUE""),"A Parity Cop is an information role that receives a difference check during the night on two living players of their choosing. The player chosen on N0 returns without a check. The Parity Cop then chooses a player each of the following nights and will be t"&amp;"old if that player is of the same or different alignments to the Parity Cop’s first successful target. The Parity Cop cannot target itself until it has had one successful result. The Parity Cop carries a gun. This is a visiting role.</f>
        <v xml:space="preserve">A Parity Cop is an information role that receives a difference check during the night on two living players of their choosing. The player chosen on N0 returns without a check. The Parity Cop then chooses a player each of the following nights and will be told if that player is of the same or different alignments to the Parity Cop’s first successful target. The Parity Cop cannot target itself until it has had one successful result. The Parity Cop carries a gun. This is a visiting role.</v>
      </c>
    </row>
    <row r="71">
      <c r="A71" s="4" t="s">
        <v>466</v>
      </c>
      <c r="B71" s="81" t="str">
        <f>split(substitute(A71," - ","~!@^&amp;*#",1),"~!@^&amp;*#",false)"),"Party Host</f>
        <v>#NAME?</v>
      </c>
      <c r="C71" s="20" t="str">
        <f>"COMPUTED_VALUE""),"A Party Host can choose to host a party 3 times during the game (and a failed attempt does not count against this limit). On the nights the Party Host is hosting a party, any player that visits them will be jailed during that night (meaning that their act"&amp;"ion will fail and actions directed towards them will fail as well). (Note: non-visiting roles will not be affected if they target the Party Host). The next day, the players that were at the party must use the drunk translator to transform any posts they m"&amp;"ake in the game thread. As with a jailer, if the Party Host is killed while hosting a party, any player at the party will die at the same time. This is not a visiting role.</f>
        <v xml:space="preserve">A Party Host can choose to host a party 3 times during the game (and a failed attempt does not count against this limit). On the nights the Party Host is hosting a party, any player that visits them will be jailed during that night (meaning that their action will fail and actions directed towards them will fail as well). (Note: non-visiting roles will not be affected if they target the Party Host). The next day, the players that were at the party must use the drunk translator to transform any posts they make in the game thread. As with a jailer, if the Party Host is killed while hosting a party, any player at the party will die at the same time. This is not a visiting role.</v>
      </c>
    </row>
    <row r="72">
      <c r="A72" s="4" t="s">
        <v>467</v>
      </c>
      <c r="B72" s="81" t="str">
        <f>split(substitute(A72," - ","~!@^&amp;*#",1),"~!@^&amp;*#",false)"),"Photographer</f>
        <v>#NAME?</v>
      </c>
      <c r="C72" s="20" t="str">
        <f>"COMPUTED_VALUE""),"Each night, a Photographer may watch up to two players. The Photographer learns who visits both players that night. This is a visiting role.</f>
        <v xml:space="preserve">Each night, a Photographer may watch up to two players. The Photographer learns who visits both players that night. This is a visiting role.</v>
      </c>
    </row>
    <row r="73">
      <c r="A73" s="4" t="s">
        <v>468</v>
      </c>
      <c r="B73" s="81" t="str">
        <f>split(substitute(A73," - ","~!@^&amp;*#",1),"~!@^&amp;*#",false)"),"Priest</f>
        <v>#NAME?</v>
      </c>
      <c r="C73" s="20" t="str">
        <f>"COMPUTED_VALUE""),"A Priest chooses a player each night to protect from being recruited by The Fallen Angel. The Priest cannot choose to protect the same player three nights in a row. The Priest can protect itself. This is a visiting role.</f>
        <v xml:space="preserve">A Priest chooses a player each night to protect from being recruited by The Fallen Angel. The Priest cannot choose to protect the same player three nights in a row. The Priest can protect itself. This is a visiting role.</v>
      </c>
    </row>
    <row r="74">
      <c r="A74" s="4" t="s">
        <v>469</v>
      </c>
      <c r="B74" s="81" t="str">
        <f>split(substitute(A74," - ","~!@^&amp;*#",1),"~!@^&amp;*#",false)"),"Private Eye</f>
        <v>#NAME?</v>
      </c>
      <c r="C74" s="20" t="str">
        <f>"COMPUTED_VALUE""),"Each night, a Private Eye may track up to two players. The Private Eye learns who those players visit that night. This is a visiting role.</f>
        <v xml:space="preserve">Each night, a Private Eye may track up to two players. The Private Eye learns who those players visit that night. This is a visiting role.</v>
      </c>
    </row>
    <row r="75">
      <c r="A75" s="4" t="s">
        <v>470</v>
      </c>
      <c r="B75" s="81" t="str">
        <f>split(substitute(A75," - ","~!@^&amp;*#",1),"~!@^&amp;*#",false)"),"Reviver</f>
        <v>#NAME?</v>
      </c>
      <c r="C75" s="20" t="str">
        <f>"COMPUTED_VALUE""),"A Reviver can revive one dead player immediately after death. That player will randomly be assigned a new role matching their original alignment. The revival will be announced in thread in the moment it happens, but the revived player’s new role won’t be "&amp;"revealed. The Reviver cannot target itself. This is not a visiting role.</f>
        <v xml:space="preserve">A Reviver can revive one dead player immediately after death. That player will randomly be assigned a new role matching their original alignment. The revival will be announced in thread in the moment it happens, but the revived player’s new role won’t be revealed. The Reviver cannot target itself. This is not a visiting role.</v>
      </c>
    </row>
    <row r="76">
      <c r="A76" s="4" t="s">
        <v>471</v>
      </c>
      <c r="B76" s="81" t="str">
        <f>split(substitute(A76," - ","~!@^&amp;*#",1),"~!@^&amp;*#",false)"),"Rookie Cop</f>
        <v>#NAME?</v>
      </c>
      <c r="C76" s="20" t="str">
        <f>"COMPUTED_VALUE""),"A Rookie Cop has no night actions until the Cop dies. After the Cop’s death, the Rookie Cop is promoted to Cop and may choose one target each night to determine if they are guilty or innocent. The promotion takes place instantly, which means the Rookie Co"&amp;"p can start sending actions immediately after the Cop’s death. The Rookie Cop will always become a Sane Cop. The Rookie Cop carries a gun. This is not a visiting role until they get promoted to Cop.</f>
        <v xml:space="preserve">A Rookie Cop has no night actions until the Cop dies. After the Cop’s death, the Rookie Cop is promoted to Cop and may choose one target each night to determine if they are guilty or innocent. The promotion takes place instantly, which means the Rookie Cop can start sending actions immediately after the Cop’s death. The Rookie Cop will always become a Sane Cop. The Rookie Cop carries a gun. This is not a visiting role until they get promoted to Cop.</v>
      </c>
    </row>
    <row r="77">
      <c r="A77" s="4" t="s">
        <v>472</v>
      </c>
      <c r="B77" s="81" t="str">
        <f>split(substitute(A77," - ","~!@^&amp;*#",1),"~!@^&amp;*#",false)"),"Roleblocker</f>
        <v>#NAME?</v>
      </c>
      <c r="C77" s="20" t="str">
        <f>"COMPUTED_VALUE""),"A Roleblocker chooses one player to block each night. The Roleblocker cannot block the same player 3 nights in a row. This is a visiting role.</f>
        <v xml:space="preserve">A Roleblocker chooses one player to block each night. The Roleblocker cannot block the same player 3 nights in a row. This is a visiting role.</v>
      </c>
    </row>
    <row r="78">
      <c r="A78" s="4" t="s">
        <v>473</v>
      </c>
      <c r="B78" s="81" t="str">
        <f>split(substitute(A78," - ","~!@^&amp;*#",1),"~!@^&amp;*#",false)"),"Rolestopper</f>
        <v>#NAME?</v>
      </c>
      <c r="C78" s="20" t="str">
        <f>"COMPUTED_VALUE""),"A Rolestopper chooses one player to protect from all other night actions. The Rolestopper cannot target the same player two nights in a row. This is a visiting role.</f>
        <v xml:space="preserve">A Rolestopper chooses one player to protect from all other night actions. The Rolestopper cannot target the same player two nights in a row. This is a visiting role.</v>
      </c>
    </row>
    <row r="79">
      <c r="A79" s="4" t="s">
        <v>474</v>
      </c>
      <c r="B79" s="81" t="str">
        <f>split(substitute(A79," - ","~!@^&amp;*#",1),"~!@^&amp;*#",false)"),"Safety Expert</f>
        <v>#NAME?</v>
      </c>
      <c r="C79" s="20" t="str">
        <f>"COMPUTED_VALUE""),"A Safety Expert may either gunsmith or roleblock a single target each night. The Safety Expert is one-shot Bulletproof. This is a visiting role.</f>
        <v xml:space="preserve">A Safety Expert may either gunsmith or roleblock a single target each night. The Safety Expert is one-shot Bulletproof. This is a visiting role.</v>
      </c>
    </row>
    <row r="80">
      <c r="A80" s="4" t="s">
        <v>475</v>
      </c>
      <c r="B80" s="81" t="str">
        <f>split(substitute(A80," - ","~!@^&amp;*#",1),"~!@^&amp;*#",false)"),"Schizophrenic</f>
        <v>#NAME?</v>
      </c>
      <c r="C80" s="20" t="str">
        <f>"COMPUTED_VALUE""),"A Schizophrenic has the ability to target one player per night, and does not know what action it takes until receiving its result PM the next morning. The action will be one of: watch, track, save (doctor), roleblock, jail, motivate, silence, detective or"&amp;" kill. The Schizophrenic does not carry a gun. This is a visiting role.</f>
        <v xml:space="preserve">A Schizophrenic has the ability to target one player per night, and does not know what action it takes until receiving its result PM the next morning. The action will be one of: watch, track, save (doctor), roleblock, jail, motivate, silence, detective or kill. The Schizophrenic does not carry a gun. This is a visiting role.</v>
      </c>
    </row>
    <row r="81">
      <c r="A81" s="4" t="s">
        <v>476</v>
      </c>
      <c r="B81" s="81" t="str">
        <f>split(substitute(A81," - ","~!@^&amp;*#",1),"~!@^&amp;*#",false)"),"Sensor</f>
        <v>#NAME?</v>
      </c>
      <c r="C81" s="20" t="str">
        <f>"COMPUTED_VALUE""),"A Sensor is told after each day how many scum faction members were on the lynching bandwagon. A total is given: If 2 mafia members and 1 yakuza member were on the bandwagon, the result would be "3 scum members were on the bandwagon." A Godfather does no"&amp;"t appear in this total. This is not a visiting role and cannot be blocked.</f>
        <v xml:space="preserve">A Sensor is told after each day how many scum faction members were on the lynching bandwagon. A total is given: If 2 mafia members and 1 yakuza member were on the bandwagon, the result would be "3 scum members were on the bandwagon." A Godfather does not appear in this total. This is not a visiting role and cannot be blocked.</v>
      </c>
    </row>
    <row r="82">
      <c r="A82" s="4" t="s">
        <v>477</v>
      </c>
      <c r="B82" s="81" t="str">
        <f>split(substitute(A82," - ","~!@^&amp;*#",1),"~!@^&amp;*#",false)"),"Sheriff</f>
        <v>#NAME?</v>
      </c>
      <c r="C82" s="20" t="str">
        <f>"COMPUTED_VALUE""),"Each night, a Sheriff may either perform a Detective or Sane Cop action. The Sheriff may only use each action 3 times. Failed attempts do not count against this limit. The Sheriff carries a gun. This is a visiting role.</f>
        <v xml:space="preserve">Each night, a Sheriff may either perform a Detective or Sane Cop action. The Sheriff may only use each action 3 times. Failed attempts do not count against this limit. The Sheriff carries a gun. This is a visiting role.</v>
      </c>
    </row>
    <row r="83">
      <c r="A83" s="4" t="s">
        <v>478</v>
      </c>
      <c r="B83" s="81" t="str">
        <f>split(substitute(A83," - ","~!@^&amp;*#",1),"~!@^&amp;*#",false)"),"Shrink</f>
        <v>#NAME?</v>
      </c>
      <c r="C83" s="20" t="str">
        <f>"COMPUTED_VALUE""),"A Shrink chooses a player each night to protect from being converted by the Cult. The Shrink cannot choose to target the same player three nights in a row. It can target itself. This is a visiting role.</f>
        <v xml:space="preserve">A Shrink chooses a player each night to protect from being converted by the Cult. The Shrink cannot choose to target the same player three nights in a row. It can target itself. This is a visiting role.</v>
      </c>
    </row>
    <row r="84">
      <c r="A84" s="4" t="s">
        <v>479</v>
      </c>
      <c r="B84" s="81" t="str">
        <f>split(substitute(A84," - ","~!@^&amp;*#",1),"~!@^&amp;*#",false)"),"Spy</f>
        <v>#NAME?</v>
      </c>
      <c r="C84" s="20" t="str">
        <f>"COMPUTED_VALUE""),"A Spy targets a player at night to track AND watch. The Spy will learn who visited that player, and who that player visited, but not what they did. The spy itself cannot be tracked or watched. This is a visiting role.</f>
        <v xml:space="preserve">A Spy targets a player at night to track AND watch. The Spy will learn who visited that player, and who that player visited, but not what they did. The spy itself cannot be tracked or watched. This is a visiting role.</v>
      </c>
    </row>
    <row r="85">
      <c r="A85" s="4" t="s">
        <v>480</v>
      </c>
      <c r="B85" s="81" t="str">
        <f>split(substitute(A85," - ","~!@^&amp;*#",1),"~!@^&amp;*#",false)"),"Stump</f>
        <v>#NAME?</v>
      </c>
      <c r="C85" s="20" t="str">
        <f>"COMPUTED_VALUE""),"A Stump has no night actions. Direct kills targeting the Stump will fail, but it can be targeted normally otherwise. The Stump is not recruitable [Any type of recruitment, including Mason and the Godfather (variation)]. The Stump cannot vote and cannot be"&amp;" lynched. (An attempt to lynch the Stump will end in a No Lynch.)</f>
        <v xml:space="preserve">A Stump has no night actions. Direct kills targeting the Stump will fail, but it can be targeted normally otherwise. The Stump is not recruitable [Any type of recruitment, including Mason and the Godfather (variation)]. The Stump cannot vote and cannot be lynched. (An attempt to lynch the Stump will end in a No Lynch.)</v>
      </c>
    </row>
    <row r="86">
      <c r="A86" s="4" t="s">
        <v>481</v>
      </c>
      <c r="B86" s="81" t="str">
        <f>split(substitute(A86," - ","~!@^&amp;*#",1),"~!@^&amp;*#",false)"),"Tracker</f>
        <v>#NAME?</v>
      </c>
      <c r="C86" s="20" t="str">
        <f>"COMPUTED_VALUE""),"A Tracker targets one player each night to learn who that player visited. The Tracker does not know the nature of the visits. This is a visiting role.</f>
        <v xml:space="preserve">A Tracker targets one player each night to learn who that player visited. The Tracker does not know the nature of the visits. This is a visiting role.</v>
      </c>
    </row>
    <row r="87">
      <c r="A87" s="4" t="s">
        <v>482</v>
      </c>
      <c r="B87" s="81" t="str">
        <f>split(substitute(A87," - ","~!@^&amp;*#",1),"~!@^&amp;*#",false)"),"Vanilla Townie</f>
        <v>#NAME?</v>
      </c>
      <c r="C87" s="20" t="str">
        <f>"COMPUTED_VALUE""),"A Vanilla Townie is not special at all. This is not even a visiting role. Poor Vanilla Townie.</f>
        <v xml:space="preserve">A Vanilla Townie is not special at all. This is not even a visiting role. Poor Vanilla Townie.</v>
      </c>
    </row>
    <row r="88">
      <c r="A88" s="4" t="s">
        <v>483</v>
      </c>
      <c r="B88" s="81" t="str">
        <f>split(substitute(A88," - ","~!@^&amp;*#",1),"~!@^&amp;*#",false)"),"Vengeful Townsperson</f>
        <v>#NAME?</v>
      </c>
      <c r="C88" s="20" t="str">
        <f>"COMPUTED_VALUE""),"If the Vengeful Townsperson gets lynched, it may choose one player (by posting their name in the thread) who will then die at the same time.</f>
        <v xml:space="preserve">If the Vengeful Townsperson gets lynched, it may choose one player (by posting their name in the thread) who will then die at the same time.</v>
      </c>
    </row>
    <row r="89">
      <c r="A89" s="4" t="s">
        <v>484</v>
      </c>
      <c r="B89" s="81" t="str">
        <f>split(substitute(A89," - ","~!@^&amp;*#",1),"~!@^&amp;*#",false)"),"Veteran</f>
        <v>#NAME?</v>
      </c>
      <c r="C89" s="20" t="str">
        <f>"COMPUTED_VALUE""),"A Veteran may choose to stay on alert during the night. Any night the Veteran is on alert, it will kill anyone that visits it. The visiting player is killed instantly and its action fails, not affecting the Veteran, no matter what action it is or if the p"&amp;"layer is cloaked. The Veteran can stay on alert three nights during the game and cannot be on alert on N0. On the nights it is not on alert, it can be targeted normally. The Veteran carries a gun. This is not a visiting role.</f>
        <v xml:space="preserve">A Veteran may choose to stay on alert during the night. Any night the Veteran is on alert, it will kill anyone that visits it. The visiting player is killed instantly and its action fails, not affecting the Veteran, no matter what action it is or if the player is cloaked. The Veteran can stay on alert three nights during the game and cannot be on alert on N0. On the nights it is not on alert, it can be targeted normally. The Veteran carries a gun. This is not a visiting role.</v>
      </c>
    </row>
    <row r="90">
      <c r="A90" s="82" t="s">
        <v>485</v>
      </c>
      <c r="B90" s="81" t="str">
        <f>split(substitute(A90," - ","~!@^&amp;*#",1),"~!@^&amp;*#",false)"),"Vigilante</f>
        <v>#NAME?</v>
      </c>
      <c r="C90" s="20" t="str">
        <f>"COMPUTED_VALUE""),"A Vigilante chooses one player to kill at night This kill is not compulsory unless that modifier is applied to the role. The Vigilante carries a gun. This is a visiting role.</f>
        <v xml:space="preserve">A Vigilante chooses one player to kill at night This kill is not compulsory unless that modifier is applied to the role. The Vigilante carries a gun. This is a visiting role.</v>
      </c>
    </row>
    <row r="91">
      <c r="B91" s="46"/>
      <c r="C91" s="4" t="s">
        <v>486</v>
      </c>
    </row>
    <row r="92">
      <c r="A92" s="4" t="s">
        <v>487</v>
      </c>
      <c r="B92" s="81" t="str">
        <f>split(substitute(A92," - ","~!@^&amp;*#",1),"~!@^&amp;*#",false)"),"Voyeur</f>
        <v>#NAME?</v>
      </c>
      <c r="C92" s="20" t="str">
        <f>"COMPUTED_VALUE""),"A Voyeur chooses a target, and learns what was done to them that night, but not who did it. The Voyeur can target itself. This is a visiting role.</f>
        <v xml:space="preserve">A Voyeur chooses a target, and learns what was done to them that night, but not who did it. The Voyeur can target itself. This is a visiting role.</v>
      </c>
    </row>
    <row r="93">
      <c r="A93" s="4" t="s">
        <v>488</v>
      </c>
      <c r="B93" s="81" t="str">
        <f>split(substitute(A93," - ","~!@^&amp;*#",1),"~!@^&amp;*#",false)"),"Watcher</f>
        <v>#NAME?</v>
      </c>
      <c r="C93" s="20" t="str">
        <f>"COMPUTED_VALUE""),"A Watcher watches one player each night to learn who visited that player. The Watcher does not know the nature of the visits. The Watcher is allowed to watch itself. This is a visiting role.</f>
        <v xml:space="preserve">A Watcher watches one player each night to learn who visited that player. The Watcher does not know the nature of the visits. The Watcher is allowed to watch itself. This is a visiting role.</v>
      </c>
    </row>
    <row r="94">
      <c r="A94" s="4" t="s">
        <v>489</v>
      </c>
      <c r="B94" s="81" t="str">
        <f>split(substitute(A94," - ","~!@^&amp;*#",1),"~!@^&amp;*#",false)"),"Watchful Detective</f>
        <v>#NAME?</v>
      </c>
      <c r="C94" s="20" t="str">
        <f>"COMPUTED_VALUE""),"Each night, a Watchful Detective may either Detective or Watch a target. The Watchful Detective carries a gun. This is a visiting role.</f>
        <v xml:space="preserve">Each night, a Watchful Detective may either Detective or Watch a target. The Watchful Detective carries a gun. This is a visiting role.</v>
      </c>
    </row>
    <row r="95">
      <c r="C95" s="20"/>
    </row>
    <row r="96">
      <c r="A96" s="4" t="s">
        <v>490</v>
      </c>
      <c r="B96" s="83" t="str">
        <f>split(substitute(A96," - ","~!@^&amp;*#",1),"~!@^&amp;*#",false)"),"Mafia Absorber</f>
        <v>#NAME?</v>
      </c>
      <c r="C96" s="20" t="str">
        <f>"COMPUTED_VALUE""),"A Mafia Absorber passively and reflexively copies all active abilities that target them. The Mafia Absorber can then use the "absorbed" abilities on subsequent nights (but only one ability per night). Absorbers cannot copy their own team's factional abi"&amp;"lities (like the Mafia kill), but can absorb any kills sent their way by other teams and can be targeted by their teammates. If the absorber is targeted by a JoAT or similar, it will only absorb the ability actively in use that night, not all the possible"&amp;" abilities. Each ability learned by the Absorber will be a one-shot action (and a failed attempt does not count against this limit). The Absorber is affected normally by the actions that target it.</f>
        <v xml:space="preserve">A Mafia Absorber passively and reflexively copies all active abilities that target them. The Mafia Absorber can then use the "absorbed" abilities on subsequent nights (but only one ability per night). Absorbers cannot copy their own team's factional abilities (like the Mafia kill), but can absorb any kills sent their way by other teams and can be targeted by their teammates. If the absorber is targeted by a JoAT or similar, it will only absorb the ability actively in use that night, not all the possible abilities. Each ability learned by the Absorber will be a one-shot action (and a failed attempt does not count against this limit). The Absorber is affected normally by the actions that target it.</v>
      </c>
    </row>
    <row r="97">
      <c r="A97" s="4" t="s">
        <v>491</v>
      </c>
      <c r="B97" s="83" t="str">
        <f>split(substitute(A97," - ","~!@^&amp;*#",1),"~!@^&amp;*#",false)"),"Mafia Amnesiac</f>
        <v>#NAME?</v>
      </c>
      <c r="C97" s="20" t="str">
        <f>"COMPUTED_VALUE""),"The Mafia Amnesiac can take over the role of any dead Mafia member. This ability can only be used once. This is not a visiting role, unless the Amnesiac performs the factional kill.</f>
        <v xml:space="preserve">The Mafia Amnesiac can take over the role of any dead Mafia member. This ability can only be used once. This is not a visiting role, unless the Amnesiac performs the factional kill.</v>
      </c>
    </row>
    <row r="98">
      <c r="A98" s="4" t="s">
        <v>492</v>
      </c>
      <c r="B98" s="83" t="str">
        <f>split(substitute(A98," - ","~!@^&amp;*#",1),"~!@^&amp;*#",false)"),"Mafia Apprentice</f>
        <v>#NAME?</v>
      </c>
      <c r="C98" s="20" t="str">
        <f>"COMPUTED_VALUE""),"The Mafia Apprentice targets one player each night and learns that player's ability. The Mafia Apprentice then can use its learned ability on subsequent nights, but only one ability per night. When using the ability, the Apprentice will NOT learn a new on"&amp;"e. The Apprentice can only learn active abilities and the learned ability will be a one-shot action (where a failed attempt does not count against this limit). If the Apprentice targets a player that has more than one action, such as a JoAT, it will only "&amp;"learn the action that player is actively using that night. The Mafia Apprentice cannot learn kill actions from their teammates, but can target them otherwise. This is a visiting role.</f>
        <v xml:space="preserve">The Mafia Apprentice targets one player each night and learns that player's ability. The Mafia Apprentice then can use its learned ability on subsequent nights, but only one ability per night. When using the ability, the Apprentice will NOT learn a new one. The Apprentice can only learn active abilities and the learned ability will be a one-shot action (where a failed attempt does not count against this limit). If the Apprentice targets a player that has more than one action, such as a JoAT, it will only learn the action that player is actively using that night. The Mafia Apprentice cannot learn kill actions from their teammates, but can target them otherwise. This is a visiting role.</v>
      </c>
    </row>
    <row r="99">
      <c r="A99" s="82" t="s">
        <v>493</v>
      </c>
      <c r="B99" s="83" t="str">
        <f>split(substitute(A99," - ","~!@^&amp;*#",1),"~!@^&amp;*#",false)"),"Mafia Bomber</f>
        <v>#NAME?</v>
      </c>
      <c r="C99" s="20" t="str">
        <f>"COMPUTED_VALUE""),"Each night, the Bomber can choose to plant a bomb on a player or detonate. Detonating kills all players who have had bombs planted on them. The Mafia Bomber cannot be doctored two nights in a row. The Mafia Bomber carries a gun. This is a visiting role.</f>
        <v xml:space="preserve">Each night, the Bomber can choose to plant a bomb on a player or detonate. Detonating kills all players who have had bombs planted on them. The Mafia Bomber cannot be doctored two nights in a row. The Mafia Bomber carries a gun. This is a visiting role.</v>
      </c>
    </row>
    <row r="100">
      <c r="B100" s="46"/>
      <c r="C100" s="4" t="s">
        <v>494</v>
      </c>
    </row>
    <row r="101">
      <c r="A101" s="4" t="s">
        <v>495</v>
      </c>
      <c r="B101" s="83" t="str">
        <f>split(substitute(A101," - ","~!@^&amp;*#",1),"~!@^&amp;*#",false)"),"Mafia Bus Driver</f>
        <v>#NAME?</v>
      </c>
      <c r="C101" s="20" t="str">
        <f>"COMPUTED_VALUE""),"A Mafia Bus Driver selects two targets at night to drive around. Actions directed at one of the targets will go to the other instead and vice versa. Targets will know they were transported, but not who they were swapped with. The Mafia Bus Driver carries "&amp;"a gun. This is not a visiting role.</f>
        <v xml:space="preserve">A Mafia Bus Driver selects two targets at night to drive around. Actions directed at one of the targets will go to the other instead and vice versa. Targets will know they were transported, but not who they were swapped with. The Mafia Bus Driver carries a gun. This is not a visiting role.</v>
      </c>
    </row>
    <row r="102">
      <c r="A102" s="4" t="s">
        <v>496</v>
      </c>
      <c r="B102" s="83" t="str">
        <f>split(substitute(A102," - ","~!@^&amp;*#",1),"~!@^&amp;*#",false)"),"Mafia Cloak</f>
        <v>#NAME?</v>
      </c>
      <c r="C102" s="20" t="str">
        <f>"COMPUTED_VALUE""),"A Mafia Cloak chooses one player at night to cloak. Anybody they cloak is unblockable and invisible to tracking/watching/following/voyeuring (i.e. those actions simply do not detect the cloaked player and its actions). This is NOT a visiting role.</f>
        <v xml:space="preserve">A Mafia Cloak chooses one player at night to cloak. Anybody they cloak is unblockable and invisible to tracking/watching/following/voyeuring (i.e. those actions simply do not detect the cloaked player and its actions). This is NOT a visiting role.</v>
      </c>
    </row>
    <row r="103">
      <c r="A103" s="4" t="s">
        <v>497</v>
      </c>
      <c r="B103" s="83" t="str">
        <f>split(substitute(A103," - ","~!@^&amp;*#",1),"~!@^&amp;*#",false)"),"Mafia Corrupt Postal Worker</f>
        <v>#NAME?</v>
      </c>
      <c r="C103" s="20" t="str">
        <f>"COMPUTED_VALUE""),"A Mafia Corrupt Postal Worker can send two messages per night. This is done by sending the host the target's names and the messages. The host will then send the messages on to the targets. These messages can be responded to. The Mafia Corrupt Postal Worke"&amp;"r carries a gun. This is not a visiting role.</f>
        <v xml:space="preserve">A Mafia Corrupt Postal Worker can send two messages per night. This is done by sending the host the target's names and the messages. The host will then send the messages on to the targets. These messages can be responded to. The Mafia Corrupt Postal Worker carries a gun. This is not a visiting role.</v>
      </c>
    </row>
    <row r="104">
      <c r="A104" s="4" t="s">
        <v>498</v>
      </c>
      <c r="B104" s="83" t="str">
        <f>split(substitute(A104," - ","~!@^&amp;*#",1),"~!@^&amp;*#",false)"),"Mafia Dentist</f>
        <v>#NAME?</v>
      </c>
      <c r="C104" s="20" t="str">
        <f>"COMPUTED_VALUE""),"A Mafia Dentist chooses one player at night to silence. The silenced player cannot post in the thread for one game day. The Dentist cannot target the same player twice in a row. This is a visiting role.</f>
        <v xml:space="preserve">A Mafia Dentist chooses one player at night to silence. The silenced player cannot post in the thread for one game day. The Dentist cannot target the same player twice in a row. This is a visiting role.</v>
      </c>
    </row>
    <row r="105">
      <c r="A105" s="4" t="s">
        <v>499</v>
      </c>
      <c r="B105" s="83" t="str">
        <f>split(substitute(A105," - ","~!@^&amp;*#",1),"~!@^&amp;*#",false)"),"Mafia Detective</f>
        <v>#NAME?</v>
      </c>
      <c r="C105" s="20" t="str">
        <f>"COMPUTED_VALUE""),"A Mafia Detective Investigates one player each night to determine their role. This is a visiting role.</f>
        <v xml:space="preserve">A Mafia Detective Investigates one player each night to determine their role. This is a visiting role.</v>
      </c>
    </row>
    <row r="106">
      <c r="A106" s="82" t="s">
        <v>500</v>
      </c>
      <c r="B106" s="83" t="str">
        <f>split(substitute(A106," - ","~!@^&amp;*#",1),"~!@^&amp;*#",false)"),"Mafia Doctor</f>
        <v>#NAME?</v>
      </c>
      <c r="C106" s="20" t="str">
        <f>"COMPUTED_VALUE""),"A Mafia Doctor chooses one player at night to save. This is a visiting role.</f>
        <v xml:space="preserve">A Mafia Doctor chooses one player at night to save. This is a visiting role.</v>
      </c>
    </row>
    <row r="107">
      <c r="B107" s="46"/>
      <c r="C107" s="4" t="s">
        <v>501</v>
      </c>
    </row>
    <row r="108">
      <c r="A108" s="4" t="s">
        <v>502</v>
      </c>
      <c r="B108" s="83" t="str">
        <f>split(substitute(A108," - ","~!@^&amp;*#",1),"~!@^&amp;*#",false)"),"Mafia Fabricator</f>
        <v>#NAME?</v>
      </c>
      <c r="C108" s="20" t="str">
        <f>"COMPUTED_VALUE""),"A Mafia Fabricator can visit one player each night. That player will receive an item of the Fabricator's choice. A Fake vest will not protect. A Fake gun Fails on use. A fake Shield Fails on use. A limit of 3 of each Item may be given during a game. This "&amp;"is a visiting role.</f>
        <v xml:space="preserve">A Mafia Fabricator can visit one player each night. That player will receive an item of the Fabricator's choice. A Fake vest will not protect. A Fake gun Fails on use. A fake Shield Fails on use. A limit of 3 of each Item may be given during a game. This is a visiting role.</v>
      </c>
    </row>
    <row r="109">
      <c r="A109" s="4" t="s">
        <v>503</v>
      </c>
      <c r="B109" s="83" t="str">
        <f>split(substitute(A109," - ","~!@^&amp;*#",1),"~!@^&amp;*#",false)"),"Mafia Framer</f>
        <v>#NAME?</v>
      </c>
      <c r="C109" s="20" t="str">
        <f>"COMPUTED_VALUE""),"A Mafia Framer can make a target appear guilty to Cops and a gun owner to Gunsmiths for that night. This is a visiting role.</f>
        <v xml:space="preserve">A Mafia Framer can make a target appear guilty to Cops and a gun owner to Gunsmiths for that night. This is a visiting role.</v>
      </c>
    </row>
    <row r="110">
      <c r="A110" s="82" t="s">
        <v>504</v>
      </c>
      <c r="B110" s="83" t="str">
        <f>split(substitute(A110," - ","~!@^&amp;*#",1),"~!@^&amp;*#",false)"),"Mafia Godfather</f>
        <v>#NAME?</v>
      </c>
      <c r="C110" s="20" t="str">
        <f>"COMPUTED_VALUE""),"A Godfather is the head of the Mafia. The Godfather appears innocent to Cops. Detective investigations will fail. The Godfather does not carry a gun. This is a visiting role if they perform the factional kill.</f>
        <v xml:space="preserve">A Godfather is the head of the Mafia. The Godfather appears innocent to Cops. Detective investigations will fail. The Godfather does not carry a gun. This is a visiting role if they perform the factional kill.</v>
      </c>
    </row>
    <row r="111">
      <c r="B111" s="46"/>
      <c r="C111" s="4" t="s">
        <v>505</v>
      </c>
    </row>
    <row r="112">
      <c r="A112" s="4" t="s">
        <v>506</v>
      </c>
      <c r="B112" s="83" t="str">
        <f>split(substitute(A112," - ","~!@^&amp;*#",1),"~!@^&amp;*#",false)"),"Mafia Goon</f>
        <v>#NAME?</v>
      </c>
      <c r="C112" s="20" t="str">
        <f>"COMPUTED_VALUE""),"A Mafia Goon is nothing more than cannon fodder. This is not a visiting role, unless they perform the factional kill.</f>
        <v xml:space="preserve">A Mafia Goon is nothing more than cannon fodder. This is not a visiting role, unless they perform the factional kill.</v>
      </c>
    </row>
    <row r="113">
      <c r="A113" s="4" t="s">
        <v>507</v>
      </c>
      <c r="B113" s="83" t="str">
        <f>split(substitute(A113," - ","~!@^&amp;*#",1),"~!@^&amp;*#",false)"),"Mafia Gunman</f>
        <v>#NAME?</v>
      </c>
      <c r="C113" s="20" t="str">
        <f>"COMPUTED_VALUE""),"A Mafia Gunman can kill one player on odd nights, but only 3 times. Failure does not count against this limit. This is a visiting role.</f>
        <v xml:space="preserve">A Mafia Gunman can kill one player on odd nights, but only 3 times. Failure does not count against this limit. This is a visiting role.</v>
      </c>
    </row>
    <row r="114">
      <c r="A114" s="4" t="s">
        <v>508</v>
      </c>
      <c r="B114" s="83" t="str">
        <f>split(substitute(A114," - ","~!@^&amp;*#",1),"~!@^&amp;*#",false)"),"Mafia Gunsmith</f>
        <v>#NAME?</v>
      </c>
      <c r="C114" s="20" t="str">
        <f>"COMPUTED_VALUE""),"A Mafia Gunsmith investigates one player each night to determine if they have a gun. These common roles will carry guns: scum faction members, Detectives, Cops, Jacks of All Trades, FBI Agents, and Vigilantes (Note: this is a general guide. For informatio"&amp;"n on whether or not a specific, less common role carries a gun, check that role's description). Third party killers and Godfathers do not carry guns. This is a visiting role.</f>
        <v xml:space="preserve">A Mafia Gunsmith investigates one player each night to determine if they have a gun. These common roles will carry guns: scum faction members, Detectives, Cops, Jacks of All Trades, FBI Agents, and Vigilantes (Note: this is a general guide. For information on whether or not a specific, less common role carries a gun, check that role's description). Third party killers and Godfathers do not carry guns. This is a visiting role.</v>
      </c>
    </row>
    <row r="115">
      <c r="A115" s="4" t="s">
        <v>509</v>
      </c>
      <c r="B115" s="83" t="str">
        <f>split(substitute(A115," - ","~!@^&amp;*#",1),"~!@^&amp;*#",false)"),"Mafia Intimidator</f>
        <v>#NAME?</v>
      </c>
      <c r="C115" s="20" t="str">
        <f>"COMPUTED_VALUE""),"A Mafia Intimidator may choose a player to intimidate each night. Intimidated players’ actions fail and they are silenced for one day and cannot post in thread during that period. The Intimidator cannot target the same player two nights in a row. The Inti"&amp;"midator carries a gun. This is a visiting role.</f>
        <v xml:space="preserve">A Mafia Intimidator may choose a player to intimidate each night. Intimidated players’ actions fail and they are silenced for one day and cannot post in thread during that period. The Intimidator cannot target the same player two nights in a row. The Intimidator carries a gun. This is a visiting role.</v>
      </c>
    </row>
    <row r="116">
      <c r="A116" s="4" t="s">
        <v>510</v>
      </c>
      <c r="B116" s="83" t="str">
        <f>split(substitute(A116," - ","~!@^&amp;*#",1),"~!@^&amp;*#",false)"),"Mafia Jack of All Trades</f>
        <v>#NAME?</v>
      </c>
      <c r="C116" s="20" t="str">
        <f>"COMPUTED_VALUE""),"A Mafia Jack of All Trades (JoAT) has the ability to perform one of these actions each night: detective, sane cop, roleblock, watch, track, gunsmith, cloak and jail. The JoAT can only use each action once (but a failed attempt doesn't count against this l"&amp;"imit). This is a visiting role.</f>
        <v xml:space="preserve">A Mafia Jack of All Trades (JoAT) has the ability to perform one of these actions each night: detective, sane cop, roleblock, watch, track, gunsmith, cloak and jail. The JoAT can only use each action once (but a failed attempt doesn't count against this limit). This is a visiting role.</v>
      </c>
    </row>
    <row r="117">
      <c r="A117" s="4" t="s">
        <v>511</v>
      </c>
      <c r="B117" s="83" t="str">
        <f>split(substitute(A117," - ","~!@^&amp;*#",1),"~!@^&amp;*#",false)"),"Mafia Janitor</f>
        <v>#NAME?</v>
      </c>
      <c r="C117" s="20" t="str">
        <f>"COMPUTED_VALUE""),"A Mafia Janitor can choose a target at night. If that target dies that night, the role and alignment of that target is concealed from the rest of the players upon death, but the Janitor will learn the player's role and alignment. The Janitor can use its a"&amp;"bility 3 times. A failed attempt does not count against this limit. This is a visiting role.</f>
        <v xml:space="preserve">A Mafia Janitor can choose a target at night. If that target dies that night, the role and alignment of that target is concealed from the rest of the players upon death, but the Janitor will learn the player's role and alignment. The Janitor can use its ability 3 times. A failed attempt does not count against this limit. This is a visiting role.</v>
      </c>
    </row>
    <row r="118">
      <c r="A118" s="4" t="s">
        <v>512</v>
      </c>
      <c r="B118" s="83" t="str">
        <f>split(substitute(A118," - ","~!@^&amp;*#",1),"~!@^&amp;*#",false)"),"Mafia Lawyer</f>
        <v>#NAME?</v>
      </c>
      <c r="C118" s="20" t="str">
        <f>"COMPUTED_VALUE""),"A Mafia Lawyer visits one player each night. That player appears innocent to Cops, Detective investigations fail, and that player does not appear to carry a gun. The Lawyer cannot target themselves. This is a visiting role.</f>
        <v xml:space="preserve">A Mafia Lawyer visits one player each night. That player appears innocent to Cops, Detective investigations fail, and that player does not appear to carry a gun. The Lawyer cannot target themselves. This is a visiting role.</v>
      </c>
    </row>
    <row r="119">
      <c r="A119" s="4" t="s">
        <v>513</v>
      </c>
      <c r="B119" s="83" t="str">
        <f>split(substitute(A119," - ","~!@^&amp;*#",1),"~!@^&amp;*#",false)"),"Mafia Mailman</f>
        <v>#NAME?</v>
      </c>
      <c r="C119" s="20" t="str">
        <f>"COMPUTED_VALUE""),"A Mafia Mailman can send one anonymous message to another player of their choice at night. This is done by sending the host the target's name and the message. The host will then send the message on to the target. The recipient can send a message in reply."&amp;" The Mafia Mailman carries a gun. This is not a visiting role.</f>
        <v xml:space="preserve">A Mafia Mailman can send one anonymous message to another player of their choice at night. This is done by sending the host the target's name and the message. The host will then send the message on to the target. The recipient can send a message in reply. The Mafia Mailman carries a gun. This is not a visiting role.</v>
      </c>
    </row>
    <row r="120">
      <c r="A120" s="4" t="s">
        <v>514</v>
      </c>
      <c r="B120" s="83" t="str">
        <f>split(substitute(A120," - ","~!@^&amp;*#",1),"~!@^&amp;*#",false)"),"Mafia Private Eye</f>
        <v>#NAME?</v>
      </c>
      <c r="C120" s="20" t="str">
        <f>"COMPUTED_VALUE""),"Each night, a Mafia Private Eye may track up to two players. The Private Eye learns who those players visit that night. This is a visiting role.</f>
        <v xml:space="preserve">Each night, a Mafia Private Eye may track up to two players. The Private Eye learns who those players visit that night. This is a visiting role.</v>
      </c>
    </row>
    <row r="121">
      <c r="A121" s="4" t="s">
        <v>515</v>
      </c>
      <c r="B121" s="83" t="str">
        <f>split(substitute(A121," - ","~!@^&amp;*#",1),"~!@^&amp;*#",false)"),"Mafia Roleblocker</f>
        <v>#NAME?</v>
      </c>
      <c r="C121" s="20" t="str">
        <f>"COMPUTED_VALUE""),"A Mafia Roleblocker chooses one player to block each night. The roleblocker cannot block the same player 3 nights in a row. This is a visiting role.</f>
        <v xml:space="preserve">A Mafia Roleblocker chooses one player to block each night. The roleblocker cannot block the same player 3 nights in a row. This is a visiting role.</v>
      </c>
    </row>
    <row r="122">
      <c r="A122" s="4" t="s">
        <v>516</v>
      </c>
      <c r="B122" s="83" t="str">
        <f>split(substitute(A122," - ","~!@^&amp;*#",1),"~!@^&amp;*#",false)"),"Mafia Safety Expert</f>
        <v>#NAME?</v>
      </c>
      <c r="C122" s="20" t="str">
        <f>"COMPUTED_VALUE""),"A Mafia Safety Expert may either gunsmith or roleblock a single target each night. The Safety Expert is one-shot Bulletproof. This is a visiting role.</f>
        <v xml:space="preserve">A Mafia Safety Expert may either gunsmith or roleblock a single target each night. The Safety Expert is one-shot Bulletproof. This is a visiting role.</v>
      </c>
    </row>
    <row r="123">
      <c r="A123" s="4" t="s">
        <v>517</v>
      </c>
      <c r="B123" s="83" t="str">
        <f>split(substitute(A123," - ","~!@^&amp;*#",1),"~!@^&amp;*#",false)"),"Mafia Seamstress</f>
        <v>#NAME?</v>
      </c>
      <c r="C123" s="20" t="str">
        <f>"COMPUTED_VALUE""),"Similarly to a Tailor, the Mafia Seamstress can give a gown to a player each night, regardless of alignment. If that target dies or is investigated, that player will appear as the role of the gown. The player who receives the gown will get a message infor"&amp;"ming them they have received a gown, but it will not tell them the role of the gown. The gown lasts the entire game and can be replaced by another gown. The Seamstress only affects the Detective’s results. This is a visiting role.</f>
        <v xml:space="preserve">Similarly to a Tailor, the Mafia Seamstress can give a gown to a player each night, regardless of alignment. If that target dies or is investigated, that player will appear as the role of the gown. The player who receives the gown will get a message informing them they have received a gown, but it will not tell them the role of the gown. The gown lasts the entire game and can be replaced by another gown. The Seamstress only affects the Detective’s results. This is a visiting role.</v>
      </c>
    </row>
    <row r="124">
      <c r="A124" s="4" t="s">
        <v>518</v>
      </c>
      <c r="B124" s="83" t="str">
        <f>split(substitute(A124," - ","~!@^&amp;*#",1),"~!@^&amp;*#",false)"),"Mafia Tailor</f>
        <v>#NAME?</v>
      </c>
      <c r="C124" s="20" t="str">
        <f>"COMPUTED_VALUE""),"The Mafia Tailor can give a suit to a player each night, regardless of alignment. If that target dies or is investigated, that player will appear as the role of the suit. The player who receives the suit will get a message the next day informing them that"&amp;" they have received a suit, but it will not tell them the role of the suit. The suit lasts the entire game, and can be replaced by another suit. The Tailor only influences the Detective’s, Cop’s, and Gunsmith's results. This is a visiting role.</f>
        <v xml:space="preserve">The Mafia Tailor can give a suit to a player each night, regardless of alignment. If that target dies or is investigated, that player will appear as the role of the suit. The player who receives the suit will get a message the next day informing them that they have received a suit, but it will not tell them the role of the suit. The suit lasts the entire game, and can be replaced by another suit. The Tailor only influences the Detective’s, Cop’s, and Gunsmith's results. This is a visiting role.</v>
      </c>
    </row>
    <row r="125">
      <c r="A125" s="4" t="s">
        <v>519</v>
      </c>
      <c r="B125" s="83" t="str">
        <f>split(substitute(A125," - ","~!@^&amp;*#",1),"~!@^&amp;*#",false)"),"Mafia Mole</f>
        <v>#NAME?</v>
      </c>
      <c r="C125" s="20" t="str">
        <f>"COMPUTED_VALUE""),"A Mafia Mole learns the identity of each Cop/Detective that investigates another Mafia member, but only receives this information two nights after the investigation (For Example, Learning of a Night 0 investigations on Night 2). The Mole does not know if "&amp;"they are investigated. This is not a visiting role.</f>
        <v xml:space="preserve">A Mafia Mole learns the identity of each Cop/Detective that investigates another Mafia member, but only receives this information two nights after the investigation (For Example, Learning of a Night 0 investigations on Night 2). The Mole does not know if they are investigated. This is not a visiting role.</v>
      </c>
    </row>
    <row r="126">
      <c r="A126" s="4" t="s">
        <v>520</v>
      </c>
      <c r="B126" s="83" t="str">
        <f>split(substitute(A126," - ","~!@^&amp;*#",1),"~!@^&amp;*#",false)"),"Mafia Thief</f>
        <v>#NAME?</v>
      </c>
      <c r="C126" s="20" t="str">
        <f>"COMPUTED_VALUE""),"A Mafia Thief targets one player each night to steal an item from. The Thief is told what they stole, and the item will be related to that player's role. This is a visiting role.</f>
        <v xml:space="preserve">A Mafia Thief targets one player each night to steal an item from. The Thief is told what they stole, and the item will be related to that player's role. This is a visiting role.</v>
      </c>
    </row>
    <row r="127">
      <c r="A127" s="4" t="s">
        <v>521</v>
      </c>
      <c r="B127" s="83" t="str">
        <f>split(substitute(A127," - ","~!@^&amp;*#",1),"~!@^&amp;*#",false)"),"Mafia Torturer</f>
        <v>#NAME?</v>
      </c>
      <c r="C127" s="20" t="str">
        <f>"COMPUTED_VALUE""),"A Mafia Torturer learns the night actions and results of everyone they kill.</f>
        <v xml:space="preserve">A Mafia Torturer learns the night actions and results of everyone they kill.</v>
      </c>
    </row>
    <row r="128">
      <c r="A128" s="4" t="s">
        <v>522</v>
      </c>
      <c r="B128" s="83" t="str">
        <f>split(substitute(A128," - ","~!@^&amp;*#",1),"~!@^&amp;*#",false)"),"Mafia Tough Guy</f>
        <v>#NAME?</v>
      </c>
      <c r="C128" s="20" t="str">
        <f>"COMPUTED_VALUE""),"Direct kills on a Mafia Tough Guy will fail. The Tough Guy can be lynched normally.</f>
        <v xml:space="preserve">Direct kills on a Mafia Tough Guy will fail. The Tough Guy can be lynched normally.</v>
      </c>
    </row>
    <row r="129">
      <c r="A129" s="4" t="s">
        <v>523</v>
      </c>
      <c r="B129" s="83" t="str">
        <f>split(substitute(A129," - ","~!@^&amp;*#",1),"~!@^&amp;*#",false)"),"Mafia Traitor</f>
        <v>#NAME?</v>
      </c>
      <c r="C129" s="20" t="str">
        <f>"COMPUTED_VALUE""),"A Mafia Traitor is aligned with the Mafia but is not part of the team chat. The Mafia team will know if a Traitor exists in the game, and if they target the Traitor with their factional Kill, the Traitor will join the team chat instead of dying. The Trait"&amp;"or knows who is on the Mafia team, but the rest of the team does not know who the Traitor is. The Traitor will show as guilty to Cops, but does not carry a gun until he is brought into chat communication with the rest of his team. If this role is combined"&amp;" with another role, the other role will be what is revealed to Detectives. If all the other Mafia team members die, the unrecruited Traitor can inherit the factional Kill.</f>
        <v xml:space="preserve">A Mafia Traitor is aligned with the Mafia but is not part of the team chat. The Mafia team will know if a Traitor exists in the game, and if they target the Traitor with their factional Kill, the Traitor will join the team chat instead of dying. The Traitor knows who is on the Mafia team, but the rest of the team does not know who the Traitor is. The Traitor will show as guilty to Cops, but does not carry a gun until he is brought into chat communication with the rest of his team. If this role is combined with another role, the other role will be what is revealed to Detectives. If all the other Mafia team members die, the unrecruited Traitor can inherit the factional Kill.</v>
      </c>
    </row>
    <row r="130">
      <c r="A130" s="4" t="s">
        <v>524</v>
      </c>
      <c r="B130" s="83" t="str">
        <f>split(substitute(A130," - ","~!@^&amp;*#",1),"~!@^&amp;*#",false)"),"Mafia Watchful Detective</f>
        <v>#NAME?</v>
      </c>
      <c r="C130" s="20" t="str">
        <f>"COMPUTED_VALUE""),"Each night, a Mafia Watchful Detective may either Detective or Watch a target. The Watchful Detective carries a gun. This is a visiting role.</f>
        <v xml:space="preserve">Each night, a Mafia Watchful Detective may either Detective or Watch a target. The Watchful Detective carries a gun. This is a visiting role.</v>
      </c>
    </row>
    <row r="131">
      <c r="C131" s="20"/>
    </row>
    <row r="132">
      <c r="A132" s="4" t="s">
        <v>525</v>
      </c>
      <c r="B132" s="84" t="str">
        <f>split(substitute(A132," - ","~!@^&amp;*#",1),"~!@^&amp;*#",false)"),"Alien</f>
        <v>#NAME?</v>
      </c>
      <c r="C132" s="20" t="str">
        <f>"COMPUTED_VALUE""),"An Alien visits one human each night to probe them. The human's night action will fail, and they will be notified of an eerie but still hazy memory of what happened to them the following night (i. e. if they are probed N1, they will be notified N2). The A"&amp;"lien wins if all living humans have been probed and the Alien is also still alive. If there is more than one Alien, they will be given a chat room to plot their world domination. The Alien is permanently cloaked, which means they are invisible to watch/tr"&amp;"ack/follow/voyeur and are unblockable.</f>
        <v xml:space="preserve">An Alien visits one human each night to probe them. The human's night action will fail, and they will be notified of an eerie but still hazy memory of what happened to them the following night (i. e. if they are probed N1, they will be notified N2). The Alien wins if all living humans have been probed and the Alien is also still alive. If there is more than one Alien, they will be given a chat room to plot their world domination. The Alien is permanently cloaked, which means they are invisible to watch/track/follow/voyeur and are unblockable.</v>
      </c>
    </row>
    <row r="133">
      <c r="A133" s="4" t="s">
        <v>526</v>
      </c>
      <c r="B133" s="84" t="str">
        <f>split(substitute(A133," - ","~!@^&amp;*#",1),"~!@^&amp;*#",false)"),"Amnesiac</f>
        <v>#NAME?</v>
      </c>
      <c r="C133" s="20" t="str">
        <f>"COMPUTED_VALUE""),"An Amnesiac can take over the role of any dead player on any team. The Amnesiac can only use this action once. However, they CAN take over the role of a dead scum Amnesiac or a dead Town Amnesiac and have that role’s power to take on another role again. I"&amp;"f the third party Amnesiac becomes a scum team member, they CANNOT switch teams (i.e. to the other killing party or to town). This is not a visiting role.</f>
        <v xml:space="preserve">An Amnesiac can take over the role of any dead player on any team. The Amnesiac can only use this action once. However, they CAN take over the role of a dead scum Amnesiac or a dead Town Amnesiac and have that role’s power to take on another role again. If the third party Amnesiac becomes a scum team member, they CANNOT switch teams (i.e. to the other killing party or to town). This is not a visiting role.</v>
      </c>
    </row>
    <row r="134">
      <c r="A134" s="4" t="s">
        <v>527</v>
      </c>
      <c r="B134" s="84" t="str">
        <f>split(substitute(A134," - ","~!@^&amp;*#",1),"~!@^&amp;*#",false)"),"Anarchist</f>
        <v>#NAME?</v>
      </c>
      <c r="C134" s="20" t="str">
        <f>"COMPUTED_VALUE""),"An Anarchist has the ability to perform one of these actions each night: detective and kill. The Anarchist wins if it kills the Governor and the Godfather. A vote to lynch players with those roles also counts for this win condition (if the lynching is suc"&amp;"cessful). The Anarchist does not carry a gun. This is a visiting role.</f>
        <v xml:space="preserve">An Anarchist has the ability to perform one of these actions each night: detective and kill. The Anarchist wins if it kills the Governor and the Godfather. A vote to lynch players with those roles also counts for this win condition (if the lynching is successful). The Anarchist does not carry a gun. This is a visiting role.</v>
      </c>
    </row>
    <row r="135">
      <c r="A135" s="82" t="s">
        <v>528</v>
      </c>
      <c r="B135" s="84" t="str">
        <f>split(substitute(A135," - ","~!@^&amp;*#",1),"~!@^&amp;*#",false)"),"Barman</f>
        <v>#NAME?</v>
      </c>
      <c r="C135" s="20" t="str">
        <f>"COMPUTED_VALUE""),"A Barman may choose one player each night to serve drinks to. The player’s night action will fail and they will have to use a Drunk Translator to translate any post they make during the following day. The Barman cannot target the same player three nights "&amp;"in a row. If the Barman is targeted for a kill, they will join their killer’s Team instead and will be able to communicate with the Team/killer through a provided chat room. After they are recruited, they will keep their abilities and can be killed normal"&amp;"ly. If recruited by a scum team, will appear guilty to sane Cops and will have a gun from that point on. This is a visiting role.</f>
        <v xml:space="preserve">A Barman may choose one player each night to serve drinks to. The player’s night action will fail and they will have to use a Drunk Translator to translate any post they make during the following day. The Barman cannot target the same player three nights in a row. If the Barman is targeted for a kill, they will join their killer’s Team instead and will be able to communicate with the Team/killer through a provided chat room. After they are recruited, they will keep their abilities and can be killed normally. If recruited by a scum team, will appear guilty to sane Cops and will have a gun from that point on. This is a visiting role.</v>
      </c>
    </row>
    <row r="136">
      <c r="B136" s="85"/>
      <c r="C136" s="4" t="s">
        <v>529</v>
      </c>
    </row>
    <row r="137">
      <c r="A137" s="4" t="s">
        <v>530</v>
      </c>
      <c r="B137" s="84" t="str">
        <f>split(substitute(A137," - ","~!@^&amp;*#",1),"~!@^&amp;*#",false)"),"Bloody Mary</f>
        <v>#NAME?</v>
      </c>
      <c r="C137" s="20" t="str">
        <f>"COMPUTED_VALUE""),"A Bloody Mary has no night actions until she is summoned during the day in the game thread. When a player mentions Bloody Mary’s player’s name three or more times in the thread, she will visit that player the next night and that player will die. If more t"&amp;"han one player summons her, she will appear to all of them. The only way to prevent the killings is by roleblocking Bloody Mary - no type of protection works against her, including jailing, snuggling by a Cat, or being locked in by an Engineer. Voting for"&amp;" Bloody Mary or quoting her or other players’ quotes naming her do not count as part of the summoning, but misspellings of her name do count. Detective investigations on Bloody Mary fail. This is not a visiting role.</f>
        <v xml:space="preserve">A Bloody Mary has no night actions until she is summoned during the day in the game thread. When a player mentions Bloody Mary’s player’s name three or more times in the thread, she will visit that player the next night and that player will die. If more than one player summons her, she will appear to all of them. The only way to prevent the killings is by roleblocking Bloody Mary - no type of protection works against her, including jailing, snuggling by a Cat, or being locked in by an Engineer. Voting for Bloody Mary or quoting her or other players’ quotes naming her do not count as part of the summoning, but misspellings of her name do count. Detective investigations on Bloody Mary fail. This is not a visiting role.</v>
      </c>
    </row>
    <row r="138">
      <c r="A138" s="82" t="s">
        <v>531</v>
      </c>
      <c r="B138" s="84" t="str">
        <f>split(substitute(A138," - ","~!@^&amp;*#",1),"~!@^&amp;*#",false)"),"Bomber</f>
        <v>#NAME?</v>
      </c>
      <c r="C138" s="20" t="str">
        <f>"COMPUTED_VALUE""),"Each night, a Bomber can choose to plant a bomb on a player or detonate. Detonating kills all players who have had bombs planted on them, unless they are doctored. The Bomber wins when all other players have been reduced to chunky salsa. The Bomber choose"&amp;"s one of the following variants on Night 0: Tough (Takes 2 night kill attempts to die.) or[/u] Unsuspecting. (Detective investigations fail). The Bomber does not carry a gun. This is a visiting role.</f>
        <v xml:space="preserve">Each night, a Bomber can choose to plant a bomb on a player or detonate. Detonating kills all players who have had bombs planted on them, unless they are doctored. The Bomber wins when all other players have been reduced to chunky salsa. The Bomber chooses one of the following variants on Night 0: Tough (Takes 2 night kill attempts to die.) or[/u] Unsuspecting. (Detective investigations fail). The Bomber does not carry a gun. This is a visiting role.</v>
      </c>
    </row>
    <row r="139">
      <c r="B139" s="85"/>
      <c r="C139" s="4" t="s">
        <v>532</v>
      </c>
    </row>
    <row r="140">
      <c r="B140" s="85"/>
      <c r="C140" s="4" t="s">
        <v>533</v>
      </c>
    </row>
    <row r="141">
      <c r="A141" s="4" t="s">
        <v>534</v>
      </c>
      <c r="B141" s="84" t="str">
        <f>split(substitute(A141," - ","~!@^&amp;*#",1),"~!@^&amp;*#",false)"),"Cat</f>
        <v>#NAME?</v>
      </c>
      <c r="C141" s="20" t="str">
        <f>"COMPUTED_VALUE""),"A Cat snuggles with one player each night. That player's night action fails, and every action directed at that player will each be randomly redirected to someone else. Players that had their action redirected will be notified about it, but won’t know thei"&amp;"r new target. If a scum team successfully "kills" the Cat, it will instead become the scum team’s Cat and is able to join that team's chat room. If a Townie/3rd party killer successfully "kills" the Cat, it instead becomes the Townie's/killer's pet an"&amp;"d is able to talk with the Townie/killer who targeted them (through a provided chat room). Once recruited, the Cat will keep its abilities and, if recruited by a scum faction, will appear guilty to sane cops and will carry a gun from that point on. The Ca"&amp;"t cannot snuggle with the same player 3 nights in a row. This is a visiting role.</f>
        <v xml:space="preserve">A Cat snuggles with one player each night. That player's night action fails, and every action directed at that player will each be randomly redirected to someone else. Players that had their action redirected will be notified about it, but won’t know their new target. If a scum team successfully "kills" the Cat, it will instead become the scum team’s Cat and is able to join that team's chat room. If a Townie/3rd party killer successfully "kills" the Cat, it instead becomes the Townie's/killer's pet and is able to talk with the Townie/killer who targeted them (through a provided chat room). Once recruited, the Cat will keep its abilities and, if recruited by a scum faction, will appear guilty to sane cops and will carry a gun from that point on. The Cat cannot snuggle with the same player 3 nights in a row. This is a visiting role.</v>
      </c>
    </row>
    <row r="142">
      <c r="A142" s="4" t="s">
        <v>535</v>
      </c>
      <c r="B142" s="84" t="str">
        <f>split(substitute(A142," - ","~!@^&amp;*#",1),"~!@^&amp;*#",false)"),"Courier</f>
        <v>#NAME?</v>
      </c>
      <c r="C142" s="20" t="str">
        <f>"COMPUTED_VALUE""),"Each night, a Courier may send up to 3 anonymous messages to other players, which can be replied to. After 5 players have died, or on night 3, the Courier must choose to commit to either the Town or the Mafia, and wins when its chosen faction does. The Co"&amp;"urier does not gain access to the Mafia chat if it commits to their faction. The Courier will keep its abilities after committing to one faction. This is not a visiting role.</f>
        <v xml:space="preserve">Each night, a Courier may send up to 3 anonymous messages to other players, which can be replied to. After 5 players have died, or on night 3, the Courier must choose to commit to either the Town or the Mafia, and wins when its chosen faction does. The Courier does not gain access to the Mafia chat if it commits to their faction. The Courier will keep its abilities after committing to one faction. This is not a visiting role.</v>
      </c>
    </row>
    <row r="143">
      <c r="A143" s="4" t="s">
        <v>536</v>
      </c>
      <c r="B143" s="84" t="str">
        <f>split(substitute(A143," - ","~!@^&amp;*#",1),"~!@^&amp;*#",false)"),"Cult Amnesiac</f>
        <v>#NAME?</v>
      </c>
      <c r="C143" s="20" t="str">
        <f>"COMPUTED_VALUE""),"The Cult Amnesiac is the first player recruited to join the Cult. A Cult Amnesiac can become the Cult Leader if the Cult Leader dies.</f>
        <v xml:space="preserve">The Cult Amnesiac is the first player recruited to join the Cult. A Cult Amnesiac can become the Cult Leader if the Cult Leader dies.</v>
      </c>
    </row>
    <row r="144">
      <c r="A144" s="4" t="s">
        <v>537</v>
      </c>
      <c r="B144" s="84" t="str">
        <f>split(substitute(A144," - ","~!@^&amp;*#",1),"~!@^&amp;*#",false)"),"Cult Leader</f>
        <v>#NAME?</v>
      </c>
      <c r="C144" s="20" t="str">
        <f>"COMPUTED_VALUE""),"Each night, a Cult Leader selects one player to recruit to join the Cult. Attempting to recruit a member of a scum faction or other faction that offer communication kills the Cult Leader, so it must recruit carefully! The Cult Leader wins when the majorit"&amp;"y of living players are part of the Cult.</f>
        <v xml:space="preserve">Each night, a Cult Leader selects one player to recruit to join the Cult. Attempting to recruit a member of a scum faction or other faction that offer communication kills the Cult Leader, so it must recruit carefully! The Cult Leader wins when the majority of living players are part of the Cult.</v>
      </c>
    </row>
    <row r="145">
      <c r="A145" s="4" t="s">
        <v>538</v>
      </c>
      <c r="B145" s="84" t="str">
        <f>split(substitute(A145," - ","~!@^&amp;*#",1),"~!@^&amp;*#",false)"),"Cult Member</f>
        <v>#NAME?</v>
      </c>
      <c r="C145" s="20" t="str">
        <f>"COMPUTED_VALUE""),"A Cult Member is any player recruited to the Cult after the Cult Amnesiac has already been recruited. Cult Members have no night actions.</f>
        <v xml:space="preserve">A Cult Member is any player recruited to the Cult after the Cult Amnesiac has already been recruited. Cult Members have no night actions.</v>
      </c>
    </row>
    <row r="146">
      <c r="A146" s="4" t="s">
        <v>539</v>
      </c>
      <c r="B146" s="84" t="str">
        <f>split(substitute(A146," - ","~!@^&amp;*#",1),"~!@^&amp;*#",false)"),"Fallen Angel</f>
        <v>#NAME?</v>
      </c>
      <c r="C146" s="20" t="str">
        <f>"COMPUTED_VALUE""),"A Fallen Angel has the ability to perform one of these actions each night: recruit OR kill OR investigate and roleblock (a single target). The Fallen Anger does not carry a gun and appears innocent to cops. Detective investigations will fail. Attempting t"&amp;"o recruit a scum team member kills the Fallen Angel. The Fallen Anger wins when the majority of living players are part of the Satanic Cult or if it is the last player alive.</f>
        <v xml:space="preserve">A Fallen Angel has the ability to perform one of these actions each night: recruit OR kill OR investigate and roleblock (a single target). The Fallen Anger does not carry a gun and appears innocent to cops. Detective investigations will fail. Attempting to recruit a scum team member kills the Fallen Angel. The Fallen Anger wins when the majority of living players are part of the Satanic Cult or if it is the last player alive.</v>
      </c>
    </row>
    <row r="147">
      <c r="A147" s="4" t="s">
        <v>540</v>
      </c>
      <c r="B147" s="84" t="str">
        <f>split(substitute(A147," - ","~!@^&amp;*#",1),"~!@^&amp;*#",false)"),"Insane Amnesiac</f>
        <v>#NAME?</v>
      </c>
      <c r="C147" s="20" t="str">
        <f>"COMPUTED_VALUE""),"The Insane Amnesiac takes over anyone's role... on the same night that it murders them! After that, it can revert back to Insane Amnesiac 3 times, a process which takes one night. If the Insane Amnesiac takes over a role that is part of a scum faction, it"&amp;" does not join that team’s chat room and it does not receive the name of faction members, just the faction’s name. This is a visiting role.</f>
        <v xml:space="preserve">The Insane Amnesiac takes over anyone's role... on the same night that it murders them! After that, it can revert back to Insane Amnesiac 3 times, a process which takes one night. If the Insane Amnesiac takes over a role that is part of a scum faction, it does not join that team’s chat room and it does not receive the name of faction members, just the faction’s name. This is a visiting role.</v>
      </c>
    </row>
    <row r="148">
      <c r="A148" s="4" t="s">
        <v>541</v>
      </c>
      <c r="B148" s="84" t="str">
        <f>split(substitute(A148," - ","~!@^&amp;*#",1),"~!@^&amp;*#",false)"),"Lover</f>
        <v>#NAME?</v>
      </c>
      <c r="C148" s="20" t="str">
        <f>"COMPUTED_VALUE""),"A Lover visits one player on either N0 or N1 (if by N2 you haven't picked your target yet, the host will randomly assign one for you). The target falls madly in love with this player and they will get a bedroom chat room to talk to each other. If one dies"&amp;", so does the other. They are not allowed to reveal they are lovers to anyone else or to reveal teammates to each other (if applicable). The Lover wins if both it and its target are alive when the game ends.</f>
        <v xml:space="preserve">A Lover visits one player on either N0 or N1 (if by N2 you haven't picked your target yet, the host will randomly assign one for you). The target falls madly in love with this player and they will get a bedroom chat room to talk to each other. If one dies, so does the other. They are not allowed to reveal they are lovers to anyone else or to reveal teammates to each other (if applicable). The Lover wins if both it and its target are alive when the game ends.</v>
      </c>
    </row>
    <row r="149">
      <c r="A149" s="4" t="s">
        <v>542</v>
      </c>
      <c r="B149" s="84" t="str">
        <f>split(substitute(A149," - ","~!@^&amp;*#",1),"~!@^&amp;*#",false)"),"Piper</f>
        <v>#NAME?</v>
      </c>
      <c r="C149" s="20" t="str">
        <f>"COMPUTED_VALUE""),"A Piper targets one player each night to charm. Charmed players will know the names of all other charmed players, but not who the Piper is. The Piper wins when all other living players are charmed. This is a visiting role.</f>
        <v xml:space="preserve">A Piper targets one player each night to charm. Charmed players will know the names of all other charmed players, but not who the Piper is. The Piper wins when all other living players are charmed. This is a visiting role.</v>
      </c>
    </row>
    <row r="150">
      <c r="A150" s="4" t="s">
        <v>543</v>
      </c>
      <c r="B150" s="84" t="str">
        <f>split(substitute(A150," - ","~!@^&amp;*#",1),"~!@^&amp;*#",false)"),"Pyscho</f>
        <v>#NAME?</v>
      </c>
      <c r="C150" s="20" t="str">
        <f>"COMPUTED_VALUE""),"A Psycho will be told they are a town visiting role. The Psycho may soon start to notice, however, that everyone it visits winds up dead. A Psycho will get fake results, made up by the host. When investigated, the Psycho will deliver the results of the to"&amp;"wn role it has been told it is. If visited by a Town Shrink, the Psycho will be cured and join Town as the role it was originally told it was. If there are no Shrinks, it just goes on killing until everyone dies. It does not carry a gun. This is a visitin"&amp;"g role.</f>
        <v xml:space="preserve">A Psycho will be told they are a town visiting role. The Psycho may soon start to notice, however, that everyone it visits winds up dead. A Psycho will get fake results, made up by the host. When investigated, the Psycho will deliver the results of the town role it has been told it is. If visited by a Town Shrink, the Psycho will be cured and join Town as the role it was originally told it was. If there are no Shrinks, it just goes on killing until everyone dies. It does not carry a gun. This is a visiting role.</v>
      </c>
    </row>
    <row r="151">
      <c r="A151" s="4" t="s">
        <v>544</v>
      </c>
      <c r="B151" s="84" t="str">
        <f>split(substitute(A151," - ","~!@^&amp;*#",1),"~!@^&amp;*#",false)"),"Rambo</f>
        <v>#NAME?</v>
      </c>
      <c r="C151" s="20" t="str">
        <f>"COMPUTED_VALUE""),"Rambo gets one kill each night. Rambo also can track OR watch one player each night. Rambo is one-shot bulletproof and appears innocent to Cops. At the start of the game (N0), Rambo chooses an "identity," which is what is revealed to Detectives. Rambo d"&amp;"oes not carry a gun. This is a visiting role.</f>
        <v xml:space="preserve">Rambo gets one kill each night. Rambo also can track OR watch one player each night. Rambo is one-shot bulletproof and appears innocent to Cops. At the start of the game (N0), Rambo chooses an "identity," which is what is revealed to Detectives. Rambo does not carry a gun. This is a visiting role.</v>
      </c>
    </row>
    <row r="152">
      <c r="A152" s="4" t="s">
        <v>545</v>
      </c>
      <c r="B152" s="84" t="str">
        <f>split(substitute(A152," - ","~!@^&amp;*#",1),"~!@^&amp;*#",false)"),"Satanic Cult Amnesiac</f>
        <v>#NAME?</v>
      </c>
      <c r="C152" s="20" t="str">
        <f>"COMPUTED_VALUE""),"A Satanic Cult Amnesiac is the first player recruited by the Fallen Angel. The Satanic Cult Amnesiac can become the Fallen Angel if the Fallen Angel dies.</f>
        <v xml:space="preserve">A Satanic Cult Amnesiac is the first player recruited by the Fallen Angel. The Satanic Cult Amnesiac can become the Fallen Angel if the Fallen Angel dies.</v>
      </c>
    </row>
    <row r="153">
      <c r="A153" s="4" t="s">
        <v>546</v>
      </c>
      <c r="B153" s="84" t="str">
        <f>split(substitute(A153," - ","~!@^&amp;*#",1),"~!@^&amp;*#",false)"),"Satanic Cult Member</f>
        <v>#NAME?</v>
      </c>
      <c r="C153" s="20" t="str">
        <f>"COMPUTED_VALUE""),"A Satanic Cult Member is any player recruited by the Fallen Angel after the Satanic Cult Amnesiac has already been recruited. Satanic Cult Members have no night actions.</f>
        <v xml:space="preserve">A Satanic Cult Member is any player recruited by the Fallen Angel after the Satanic Cult Amnesiac has already been recruited. Satanic Cult Members have no night actions.</v>
      </c>
    </row>
    <row r="154">
      <c r="A154" s="4" t="s">
        <v>547</v>
      </c>
      <c r="B154" s="84" t="str">
        <f>split(substitute(A154," - ","~!@^&amp;*#",1),"~!@^&amp;*#",false)"),"Serial Killer</f>
        <v>#NAME?</v>
      </c>
      <c r="C154" s="20" t="str">
        <f>"COMPUTED_VALUE""),"A Serial Killer can kill one player each night. The Serial Killer is one-shot Bulletproof. This is a visiting role.</f>
        <v xml:space="preserve">A Serial Killer can kill one player each night. The Serial Killer is one-shot Bulletproof. This is a visiting role.</v>
      </c>
    </row>
    <row r="155">
      <c r="A155" s="4" t="s">
        <v>548</v>
      </c>
      <c r="B155" s="84" t="str">
        <f>split(substitute(A155," - ","~!@^&amp;*#",1),"~!@^&amp;*#",false)"),"Sidekick</f>
        <v>#NAME?</v>
      </c>
      <c r="C155" s="20" t="str">
        <f>"COMPUTED_VALUE""),"If targeted for a night kill, a Sidekick does not die. Instead, the Sidekick joins the team of the player who tried to kill them and can speak with them in a chat room. After recruitment, the Sidekick can be killed like anyone else. If recruited by anothe"&amp;"r 3rd party, the Sidekick gains Detective abilities.</f>
        <v xml:space="preserve">If targeted for a night kill, a Sidekick does not die. Instead, the Sidekick joins the team of the player who tried to kill them and can speak with them in a chat room. After recruitment, the Sidekick can be killed like anyone else. If recruited by another 3rd party, the Sidekick gains Detective abilities.</v>
      </c>
    </row>
    <row r="156">
      <c r="A156" s="4" t="s">
        <v>549</v>
      </c>
      <c r="B156" s="84" t="str">
        <f>split(substitute(A156," - ","~!@^&amp;*#",1),"~!@^&amp;*#",false)"),"Slut</f>
        <v>#NAME?</v>
      </c>
      <c r="C156" s="20" t="str">
        <f>"COMPUTED_VALUE""),"A Slut targets one player each night. The target is roleblocked and infected with an STD. This STD is highly contagious and anyone they visit over the next 2 nights will be infected as well. The target will know they are sick the night after the infection"&amp;", when they will be notified of a weird itching in their private area. If not cured, the target dies during the 3rd night after the infection. A regular doctor can cure the infected player. The Slut wins when all players are infected or when it is the las"&amp;"t player alive. The Slut appears innocent to Cops. Detective investigations fail. This is a visiting role.</f>
        <v xml:space="preserve">A Slut targets one player each night. The target is roleblocked and infected with an STD. This STD is highly contagious and anyone they visit over the next 2 nights will be infected as well. The target will know they are sick the night after the infection, when they will be notified of a weird itching in their private area. If not cured, the target dies during the 3rd night after the infection. A regular doctor can cure the infected player. The Slut wins when all players are infected or when it is the last player alive. The Slut appears innocent to Cops. Detective investigations fail. This is a visiting role.</v>
      </c>
    </row>
    <row r="157">
      <c r="A157" s="4" t="s">
        <v>550</v>
      </c>
      <c r="B157" s="84" t="str">
        <f>split(substitute(A157," - ","~!@^&amp;*#",1),"~!@^&amp;*#",false)"),"Sneaky Pete</f>
        <v>#NAME?</v>
      </c>
      <c r="C157" s="20" t="str">
        <f>"COMPUTED_VALUE""),"A Sneaky Pete chooses one player to kill each night. The Sneaky Pete cannot be tracked, watched or blocked. Sneaky Pete does not carry a gun.</f>
        <v xml:space="preserve">A Sneaky Pete chooses one player to kill each night. The Sneaky Pete cannot be tracked, watched or blocked. Sneaky Pete does not carry a gun.</v>
      </c>
    </row>
    <row r="158">
      <c r="A158" s="4" t="s">
        <v>551</v>
      </c>
      <c r="B158" s="84" t="str">
        <f>split(substitute(A158," - ","~!@^&amp;*#",1),"~!@^&amp;*#",false)"),"Spree Killer</f>
        <v>#NAME?</v>
      </c>
      <c r="C158" s="20" t="str">
        <f>"COMPUTED_VALUE""),"Instead of killing right away, a Spree Killer targets a player each night to go onto its kill list. When there are names of 3 living players on this list, it goes on a killing spree and kills them all in one night. The last name is added the same night of"&amp;" the killings. (Ex: N0: Add Player X; N1: Add Player Y; N2: Add Player Z and kill all players on the list - X, Y, Z). On the night of the kills, the Spree Killer appears guilty to Cops and as Spree Killer to detectives. On the other nights, the Spree Kill"&amp;"er appears innocent to Cops and Detectives will see a town role that has been randomly assigned by the host. This is a visiting role when performing the kill and can be blocked normally.</f>
        <v xml:space="preserve">Instead of killing right away, a Spree Killer targets a player each night to go onto its kill list. When there are names of 3 living players on this list, it goes on a killing spree and kills them all in one night. The last name is added the same night of the killings. (Ex: N0: Add Player X; N1: Add Player Y; N2: Add Player Z and kill all players on the list - X, Y, Z). On the night of the kills, the Spree Killer appears guilty to Cops and as Spree Killer to detectives. On the other nights, the Spree Killer appears innocent to Cops and Detectives will see a town role that has been randomly assigned by the host. This is a visiting role when performing the kill and can be blocked normally.</v>
      </c>
    </row>
    <row r="159">
      <c r="A159" s="4" t="s">
        <v>552</v>
      </c>
      <c r="B159" s="84" t="str">
        <f>split(substitute(A159," - ","~!@^&amp;*#",1),"~!@^&amp;*#",false)"),"The Imposter</f>
        <v>#NAME?</v>
      </c>
      <c r="C159" s="20" t="str">
        <f>"COMPUTED_VALUE""),"The Imposter targets one player a night to "steal" the ability from for the following night. It will only steal abilities that are being actively used that night and factional abilities such as the Mafia kill cannot be stolen. On the next night, The Imp"&amp;"oster can then use that ability while the previous night’s target will not be able to. The night after that, the target gets their ability back and The Imposter picks another player. They cannot target the same player twice (unless everyone alive has been"&amp;" picked already). The Imposter wins if they are alive at the end of the game AND Town loses</f>
        <v xml:space="preserve">The Imposter targets one player a night to "steal" the ability from for the following night. It will only steal abilities that are being actively used that night and factional abilities such as the Mafia kill cannot be stolen. On the next night, The Imposter can then use that ability while the previous night’s target will not be able to. The night after that, the target gets their ability back and The Imposter picks another player. They cannot target the same player twice (unless everyone alive has been picked already). The Imposter wins if they are alive at the end of the game AND Town loses</v>
      </c>
    </row>
    <row r="160">
      <c r="A160" s="4" t="s">
        <v>553</v>
      </c>
      <c r="B160" s="84" t="str">
        <f>split(substitute(A160," - ","~!@^&amp;*#",1),"~!@^&amp;*#",false)"),"Unabomber</f>
        <v>#NAME?</v>
      </c>
      <c r="C160" s="20" t="str">
        <f>"COMPUTED_VALUE""),"A Unabomber will appear innocent to Cops, and show as Mailman to Detectives. The Unabomber sends mail just like a Mailman (and those mails can be replied to), and can choose to detonate the mail while alive on any night. Any player that has received mail "&amp;"from the Unabomber will be killed unless protected/jailed/etc. A new mail can be sent out on the same night as the detonation, but that detonation will not kill the player who is sent mail on that night. The Unabomber will appear as a Mailman if lynched, "&amp;"but as Unabomber if it is killed at night. If the Unabomber is killed before detonating, no mail detonates. This is not a visiting role.</f>
        <v xml:space="preserve">A Unabomber will appear innocent to Cops, and show as Mailman to Detectives. The Unabomber sends mail just like a Mailman (and those mails can be replied to), and can choose to detonate the mail while alive on any night. Any player that has received mail from the Unabomber will be killed unless protected/jailed/etc. A new mail can be sent out on the same night as the detonation, but that detonation will not kill the player who is sent mail on that night. The Unabomber will appear as a Mailman if lynched, but as Unabomber if it is killed at night. If the Unabomber is killed before detonating, no mail detonates. This is not a visiting role.</v>
      </c>
    </row>
    <row r="161">
      <c r="A161" s="4" t="s">
        <v>554</v>
      </c>
      <c r="B161" s="84" t="str">
        <f>split(substitute(A161," - ","~!@^&amp;*#",1),"~!@^&amp;*#",false)"),"Werewolf</f>
        <v>#NAME?</v>
      </c>
      <c r="C161" s="20" t="str">
        <f>"COMPUTED_VALUE""),"A Werewolf can choose to go on a rampage at a player’s house on odd nights. The Werewolf will kill the player and everyone that visits the player during that night (non-visiting roles will not be affected). The Werewolf can also choose to stay home on odd"&amp;" nights and, similarly, will kill anyone that visits it that night. The Werewolf cannot be blocked when going on a rampage, but its kill can be prevented normally by protective actions. Detective investigations fail on a Werewolf. This is a visiting role.</f>
        <v xml:space="preserve">A Werewolf can choose to go on a rampage at a player’s house on odd nights. The Werewolf will kill the player and everyone that visits the player during that night (non-visiting roles will not be affected). The Werewolf can also choose to stay home on odd nights and, similarly, will kill anyone that visits it that night. The Werewolf cannot be blocked when going on a rampage, but its kill can be prevented normally by protective actions. Detective investigations fail on a Werewolf. This is a visiting role.</v>
      </c>
    </row>
    <row r="162">
      <c r="A162" s="4" t="s">
        <v>555</v>
      </c>
      <c r="B162" s="84" t="str">
        <f>split(substitute(A162," - ","~!@^&amp;*#",1),"~!@^&amp;*#",false)"),"Witch</f>
        <v>#NAME?</v>
      </c>
      <c r="C162" s="20" t="str">
        <f>"COMPUTED_VALUE""),"A Witch targets one player each night to control, forcefully redirecting their action to a target of their choice. The action of the target becomes compulsory, i.e. they will perform an action even if they originally chose not to (and in that case, if the"&amp;"y have more than one action available, the action used will be randomly selected). The Witch can only control active abilities. The target will know that they were controlled by a Witch, but they will not learn who they targeted. The Witch wins if they ar"&amp;"e alive at the end of the game AND Town loses. The witch appears innocent to Cops. Detective investigations fail. This is NOT a visiting role.</f>
        <v xml:space="preserve">A Witch targets one player each night to control, forcefully redirecting their action to a target of their choice. The action of the target becomes compulsory, i.e. they will perform an action even if they originally chose not to (and in that case, if they have more than one action available, the action used will be randomly selected). The Witch can only control active abilities. The target will know that they were controlled by a Witch, but they will not learn who they targeted. The Witch wins if they are alive at the end of the game AND Town loses. The witch appears innocent to Cops. Detective investigations fail. This is NOT a visiting role.</v>
      </c>
    </row>
    <row r="163">
      <c r="C163" s="20"/>
    </row>
    <row r="164">
      <c r="A164" s="4" t="s">
        <v>556</v>
      </c>
      <c r="B164" s="86" t="str">
        <f>split(substitute(A164," - ","~!@^&amp;*#",1),"~!@^&amp;*#",false)"),"Bleeding</f>
        <v>#NAME?</v>
      </c>
      <c r="C164" s="20" t="str">
        <f>"COMPUTED_VALUE""),"If shot, a Bleeding player will not die instantly but at the beginning of the next night. The player will know he was shot but not by whom.</f>
        <v xml:space="preserve">If shot, a Bleeding player will not die instantly but at the beginning of the next night. The player will know he was shot but not by whom.</v>
      </c>
    </row>
    <row r="165">
      <c r="A165" s="4" t="s">
        <v>557</v>
      </c>
      <c r="B165" s="86" t="str">
        <f>split(substitute(A165," - ","~!@^&amp;*#",1),"~!@^&amp;*#",false)"),"Boastful</f>
        <v>#NAME?</v>
      </c>
      <c r="C165" s="20" t="str">
        <f>"COMPUTED_VALUE""),"A Boastful player can either use his role OR announce something anonymously in the thread every night.</f>
        <v xml:space="preserve">A Boastful player can either use his role OR announce something anonymously in the thread every night.</v>
      </c>
    </row>
    <row r="166">
      <c r="A166" s="4" t="s">
        <v>558</v>
      </c>
      <c r="B166" s="86" t="str">
        <f>split(substitute(A166," - ","~!@^&amp;*#",1),"~!@^&amp;*#",false)"),"Breakthrough</f>
        <v>#NAME?</v>
      </c>
      <c r="C166" s="20" t="str">
        <f>"COMPUTED_VALUE""),"A player with the Breakthrough modifier cannot be roleblocked.</f>
        <v xml:space="preserve">A player with the Breakthrough modifier cannot be roleblocked.</v>
      </c>
    </row>
    <row r="167">
      <c r="A167" s="4" t="s">
        <v>559</v>
      </c>
      <c r="B167" s="86" t="str">
        <f>split(substitute(A167," - ","~!@^&amp;*#",1),"~!@^&amp;*#",false)"),"Bulletproof</f>
        <v>#NAME?</v>
      </c>
      <c r="C167" s="20" t="str">
        <f>"COMPUTED_VALUE""),"A Bulletproof player starts off with one bulletproof vest, which allows that player to survive one shot or one stab. The vest does not protect against bombs.</f>
        <v xml:space="preserve">A Bulletproof player starts off with one bulletproof vest, which allows that player to survive one shot or one stab. The vest does not protect against bombs.</v>
      </c>
    </row>
    <row r="168">
      <c r="A168" s="4" t="s">
        <v>560</v>
      </c>
      <c r="B168" s="86" t="str">
        <f>split(substitute(A168," - ","~!@^&amp;*#",1),"~!@^&amp;*#",false)"),"Compulsive</f>
        <v>#NAME?</v>
      </c>
      <c r="C168" s="20" t="str">
        <f>"COMPUTED_VALUE""),"A Compulsive player must use its action every night. If the player fails to submit an action, the host will randomly choose an action/target for that night.</f>
        <v xml:space="preserve">A Compulsive player must use its action every night. If the player fails to submit an action, the host will randomly choose an action/target for that night.</v>
      </c>
    </row>
    <row r="169">
      <c r="A169" s="4" t="s">
        <v>561</v>
      </c>
      <c r="B169" s="86" t="str">
        <f>split(substitute(A169," - ","~!@^&amp;*#",1),"~!@^&amp;*#",false)"),"Consulting</f>
        <v>#NAME?</v>
      </c>
      <c r="C169" s="20" t="str">
        <f>"COMPUTED_VALUE""),"A Consulting player can either use his role OR a mailman's action every night.</f>
        <v xml:space="preserve">A Consulting player can either use his role OR a mailman's action every night.</v>
      </c>
    </row>
    <row r="170">
      <c r="A170" s="4" t="s">
        <v>562</v>
      </c>
      <c r="B170" s="86" t="str">
        <f>split(substitute(A170," - ","~!@^&amp;*#",1),"~!@^&amp;*#",false)"),"Incognito</f>
        <v>#NAME?</v>
      </c>
      <c r="C170" s="20" t="str">
        <f>"COMPUTED_VALUE""),"An Incognito player cannot be watched or tracked. Detective investigations fail.</f>
        <v xml:space="preserve">An Incognito player cannot be watched or tracked. Detective investigations fail.</v>
      </c>
    </row>
    <row r="171">
      <c r="A171" s="4" t="s">
        <v>563</v>
      </c>
      <c r="B171" s="86" t="str">
        <f>split(substitute(A171," - ","~!@^&amp;*#",1),"~!@^&amp;*#",false)"),"Lethal</f>
        <v>#NAME?</v>
      </c>
      <c r="C171" s="20" t="str">
        <f>"COMPUTED_VALUE""),"When performing a kill, nothing can stop a Lethal player, including doctors, vests, bodyguards or any other protective role.</f>
        <v xml:space="preserve">When performing a kill, nothing can stop a Lethal player, including doctors, vests, bodyguards or any other protective role.</v>
      </c>
    </row>
    <row r="172">
      <c r="A172" s="4" t="s">
        <v>564</v>
      </c>
      <c r="B172" s="86" t="str">
        <f>split(substitute(A172," - ","~!@^&amp;*#",1),"~!@^&amp;*#",false)"),"Tough</f>
        <v>#NAME?</v>
      </c>
      <c r="C172" s="20" t="str">
        <f>"COMPUTED_VALUE""),"A Tough player cannot be killed at night. (Not to be confused with the Mafia Tough Guy role.)</f>
        <v xml:space="preserve">A Tough player cannot be killed at night. (Not to be confused with the Mafia Tough Guy role.)</v>
      </c>
    </row>
    <row r="173">
      <c r="A173" s="4" t="s">
        <v>565</v>
      </c>
      <c r="B173" s="86" t="str">
        <f>split(substitute(A173," - ","~!@^&amp;*#",1),"~!@^&amp;*#",false)"),"Ward</f>
        <v>#NAME?</v>
      </c>
      <c r="C173" s="20" t="str">
        <f>"COMPUTED_VALUE""),"A player with a Ward has a one-time use shield that will reflect a kill attempt to another randomly chosen target. It does not protect against bombs.</f>
        <v xml:space="preserve">A player with a Ward has a one-time use shield that will reflect a kill attempt to another randomly chosen target. It does not protect against bombs.</v>
      </c>
    </row>
    <row r="174">
      <c r="C174" s="20"/>
    </row>
    <row r="175">
      <c r="C175" s="20"/>
    </row>
    <row r="176">
      <c r="C176" s="20"/>
    </row>
    <row r="177">
      <c r="C177" s="20"/>
    </row>
    <row r="178">
      <c r="C178" s="20"/>
    </row>
    <row r="179">
      <c r="C179" s="20"/>
    </row>
    <row r="180">
      <c r="C180" s="20"/>
    </row>
    <row r="181">
      <c r="C181" s="20"/>
    </row>
    <row r="182">
      <c r="C182" s="20"/>
    </row>
    <row r="183">
      <c r="C183" s="20"/>
    </row>
    <row r="184">
      <c r="C184" s="20"/>
    </row>
    <row r="185">
      <c r="C185" s="20"/>
    </row>
    <row r="186">
      <c r="C186" s="20"/>
    </row>
    <row r="187">
      <c r="C187" s="20"/>
    </row>
    <row r="188">
      <c r="C188" s="20"/>
    </row>
    <row r="189">
      <c r="C189" s="20"/>
    </row>
    <row r="190">
      <c r="C190" s="20"/>
    </row>
    <row r="191">
      <c r="C191" s="20"/>
    </row>
    <row r="192">
      <c r="C192" s="20"/>
    </row>
    <row r="193">
      <c r="C193" s="20"/>
    </row>
    <row r="194">
      <c r="C194" s="20"/>
    </row>
    <row r="195">
      <c r="C195" s="20"/>
    </row>
    <row r="196">
      <c r="C196" s="20"/>
    </row>
    <row r="197">
      <c r="C197" s="20"/>
    </row>
    <row r="198">
      <c r="C198" s="20"/>
    </row>
    <row r="199">
      <c r="C199" s="20"/>
    </row>
    <row r="200">
      <c r="C200" s="20"/>
    </row>
    <row r="201">
      <c r="C201" s="20"/>
    </row>
    <row r="202">
      <c r="C202" s="20"/>
    </row>
    <row r="203">
      <c r="C203" s="20"/>
    </row>
    <row r="204">
      <c r="C204" s="20"/>
    </row>
    <row r="205">
      <c r="C205" s="20"/>
    </row>
    <row r="206">
      <c r="C206" s="20"/>
    </row>
    <row r="207">
      <c r="C207" s="20"/>
    </row>
    <row r="208">
      <c r="C208" s="20"/>
    </row>
    <row r="209">
      <c r="C209" s="20"/>
    </row>
    <row r="210">
      <c r="C210" s="20"/>
    </row>
    <row r="211">
      <c r="C211" s="20"/>
    </row>
    <row r="212">
      <c r="C212" s="20"/>
    </row>
    <row r="213">
      <c r="C213" s="20"/>
    </row>
    <row r="214">
      <c r="C214" s="20"/>
    </row>
    <row r="215">
      <c r="C215" s="20"/>
    </row>
    <row r="216">
      <c r="C216" s="20"/>
    </row>
    <row r="217">
      <c r="C217" s="20"/>
    </row>
    <row r="218">
      <c r="C218" s="20"/>
    </row>
    <row r="219">
      <c r="C219" s="20"/>
    </row>
    <row r="220">
      <c r="C220" s="20"/>
    </row>
    <row r="221">
      <c r="C221" s="20"/>
    </row>
    <row r="222">
      <c r="C222" s="20"/>
    </row>
    <row r="223">
      <c r="C223" s="20"/>
    </row>
    <row r="224">
      <c r="C224" s="20"/>
    </row>
    <row r="225">
      <c r="C225" s="20"/>
    </row>
    <row r="226">
      <c r="C226" s="20"/>
    </row>
    <row r="227">
      <c r="C227" s="20"/>
    </row>
    <row r="228">
      <c r="C228" s="20"/>
    </row>
    <row r="229">
      <c r="C229" s="20"/>
    </row>
    <row r="230">
      <c r="C230" s="20"/>
    </row>
    <row r="231">
      <c r="C231" s="20"/>
    </row>
    <row r="232">
      <c r="C232" s="20"/>
    </row>
    <row r="233">
      <c r="C233" s="20"/>
    </row>
    <row r="234">
      <c r="C234" s="20"/>
    </row>
    <row r="235">
      <c r="C235" s="20"/>
    </row>
    <row r="236">
      <c r="C236" s="20"/>
    </row>
    <row r="237">
      <c r="C237" s="20"/>
    </row>
    <row r="238">
      <c r="C238" s="20"/>
    </row>
    <row r="239">
      <c r="C239" s="20"/>
    </row>
    <row r="240">
      <c r="C240" s="20"/>
    </row>
    <row r="241">
      <c r="C241" s="20"/>
    </row>
    <row r="242">
      <c r="C242" s="20"/>
    </row>
    <row r="243">
      <c r="C243" s="20"/>
    </row>
    <row r="244">
      <c r="C244" s="20"/>
    </row>
    <row r="245">
      <c r="C245" s="20"/>
    </row>
    <row r="246">
      <c r="C246" s="20"/>
    </row>
    <row r="247">
      <c r="C247" s="20"/>
    </row>
    <row r="248">
      <c r="C248" s="20"/>
    </row>
    <row r="249">
      <c r="C249" s="20"/>
    </row>
    <row r="250">
      <c r="C250" s="20"/>
    </row>
    <row r="251">
      <c r="C251" s="20"/>
    </row>
    <row r="252">
      <c r="C252" s="20"/>
    </row>
    <row r="253">
      <c r="C253" s="20"/>
    </row>
    <row r="254">
      <c r="C254" s="20"/>
    </row>
    <row r="255">
      <c r="C255" s="20"/>
    </row>
    <row r="256">
      <c r="C256" s="20"/>
    </row>
    <row r="257">
      <c r="C257" s="20"/>
    </row>
    <row r="258">
      <c r="C258" s="20"/>
    </row>
    <row r="259">
      <c r="C259" s="20"/>
    </row>
    <row r="260">
      <c r="C260" s="20"/>
    </row>
    <row r="261">
      <c r="C261" s="20"/>
    </row>
    <row r="262">
      <c r="C262" s="20"/>
    </row>
    <row r="263">
      <c r="C263" s="20"/>
    </row>
    <row r="264">
      <c r="C264" s="20"/>
    </row>
    <row r="265">
      <c r="C265" s="20"/>
    </row>
    <row r="266">
      <c r="C266" s="20"/>
    </row>
    <row r="267">
      <c r="C267" s="20"/>
    </row>
    <row r="268">
      <c r="C268" s="20"/>
    </row>
    <row r="269">
      <c r="C269" s="20"/>
    </row>
    <row r="270">
      <c r="C270" s="20"/>
    </row>
    <row r="271">
      <c r="C271" s="20"/>
    </row>
    <row r="272">
      <c r="C272" s="20"/>
    </row>
    <row r="273">
      <c r="C273" s="20"/>
    </row>
    <row r="274">
      <c r="C274" s="20"/>
    </row>
    <row r="275">
      <c r="C275" s="20"/>
    </row>
    <row r="276">
      <c r="C276" s="20"/>
    </row>
    <row r="277">
      <c r="C277" s="20"/>
    </row>
    <row r="278">
      <c r="C278" s="20"/>
    </row>
    <row r="279">
      <c r="C279" s="20"/>
    </row>
    <row r="280">
      <c r="C280" s="20"/>
    </row>
    <row r="281">
      <c r="C281" s="20"/>
    </row>
    <row r="282">
      <c r="C282" s="20"/>
    </row>
    <row r="283">
      <c r="C283" s="20"/>
    </row>
    <row r="284">
      <c r="C284" s="20"/>
    </row>
    <row r="285">
      <c r="C285" s="20"/>
    </row>
    <row r="286">
      <c r="C286" s="20"/>
    </row>
    <row r="287">
      <c r="C287" s="20"/>
    </row>
    <row r="288">
      <c r="C288" s="20"/>
    </row>
    <row r="289">
      <c r="C289" s="20"/>
    </row>
    <row r="290">
      <c r="C290" s="20"/>
    </row>
    <row r="291">
      <c r="C291" s="20"/>
    </row>
    <row r="292">
      <c r="C292" s="20"/>
    </row>
    <row r="293">
      <c r="C293" s="20"/>
    </row>
    <row r="294">
      <c r="C294" s="20"/>
    </row>
    <row r="295">
      <c r="C295" s="20"/>
    </row>
    <row r="296">
      <c r="C296" s="20"/>
    </row>
    <row r="297">
      <c r="C297" s="20"/>
    </row>
    <row r="298">
      <c r="C298" s="20"/>
    </row>
    <row r="299">
      <c r="C299" s="20"/>
    </row>
    <row r="300">
      <c r="C300" s="20"/>
    </row>
    <row r="301">
      <c r="C301" s="20"/>
    </row>
    <row r="302">
      <c r="C302" s="20"/>
    </row>
    <row r="303">
      <c r="C303" s="20"/>
    </row>
    <row r="304">
      <c r="C304" s="20"/>
    </row>
    <row r="305">
      <c r="C305" s="20"/>
    </row>
    <row r="306">
      <c r="C306" s="20"/>
    </row>
    <row r="307">
      <c r="C307" s="20"/>
    </row>
    <row r="308">
      <c r="C308" s="20"/>
    </row>
    <row r="309">
      <c r="C309" s="20"/>
    </row>
    <row r="310">
      <c r="C310" s="20"/>
    </row>
    <row r="311">
      <c r="C311" s="20"/>
    </row>
    <row r="312">
      <c r="C312" s="20"/>
    </row>
    <row r="313">
      <c r="C313" s="20"/>
    </row>
    <row r="314">
      <c r="C314" s="20"/>
    </row>
    <row r="315">
      <c r="C315" s="20"/>
    </row>
    <row r="316">
      <c r="C316" s="20"/>
    </row>
    <row r="317">
      <c r="C317" s="20"/>
    </row>
    <row r="318">
      <c r="C318" s="20"/>
    </row>
    <row r="319">
      <c r="C319" s="20"/>
    </row>
    <row r="320">
      <c r="C320" s="20"/>
    </row>
    <row r="321">
      <c r="C321" s="20"/>
    </row>
    <row r="322">
      <c r="C322" s="20"/>
    </row>
    <row r="323">
      <c r="C323" s="20"/>
    </row>
    <row r="324">
      <c r="C324" s="20"/>
    </row>
    <row r="325">
      <c r="C325" s="20"/>
    </row>
    <row r="326">
      <c r="C326" s="20"/>
    </row>
    <row r="327">
      <c r="C327" s="20"/>
    </row>
    <row r="328">
      <c r="C328" s="20"/>
    </row>
    <row r="329">
      <c r="C329" s="20"/>
    </row>
    <row r="330">
      <c r="C330" s="20"/>
    </row>
    <row r="331">
      <c r="C331" s="20"/>
    </row>
    <row r="332">
      <c r="C332" s="20"/>
    </row>
    <row r="333">
      <c r="C333" s="20"/>
    </row>
    <row r="334">
      <c r="C334" s="20"/>
    </row>
    <row r="335">
      <c r="C335" s="20"/>
    </row>
    <row r="336">
      <c r="C336" s="20"/>
    </row>
    <row r="337">
      <c r="C337" s="20"/>
    </row>
    <row r="338">
      <c r="C338" s="20"/>
    </row>
    <row r="339">
      <c r="C339" s="20"/>
    </row>
    <row r="340">
      <c r="C340" s="20"/>
    </row>
    <row r="341">
      <c r="C341" s="20"/>
    </row>
    <row r="342">
      <c r="C342" s="20"/>
    </row>
    <row r="343">
      <c r="C343" s="20"/>
    </row>
    <row r="344">
      <c r="C344" s="20"/>
    </row>
    <row r="345">
      <c r="C345" s="20"/>
    </row>
    <row r="346">
      <c r="C346" s="20"/>
    </row>
    <row r="347">
      <c r="C347" s="20"/>
    </row>
    <row r="348">
      <c r="C348" s="20"/>
    </row>
    <row r="349">
      <c r="C349" s="20"/>
    </row>
    <row r="350">
      <c r="C350" s="20"/>
    </row>
    <row r="351">
      <c r="C351" s="20"/>
    </row>
    <row r="352">
      <c r="C352" s="20"/>
    </row>
    <row r="353">
      <c r="C353" s="20"/>
    </row>
    <row r="354">
      <c r="C354" s="20"/>
    </row>
    <row r="355">
      <c r="C355" s="20"/>
    </row>
    <row r="356">
      <c r="C356" s="20"/>
    </row>
    <row r="357">
      <c r="C357" s="20"/>
    </row>
    <row r="358">
      <c r="C358" s="20"/>
    </row>
    <row r="359">
      <c r="C359" s="20"/>
    </row>
    <row r="360">
      <c r="C360" s="20"/>
    </row>
    <row r="361">
      <c r="C361" s="20"/>
    </row>
    <row r="362">
      <c r="C362" s="20"/>
    </row>
    <row r="363">
      <c r="C363" s="20"/>
    </row>
    <row r="364">
      <c r="C364" s="20"/>
    </row>
    <row r="365">
      <c r="C365" s="20"/>
    </row>
    <row r="366">
      <c r="C366" s="20"/>
    </row>
    <row r="367">
      <c r="C367" s="20"/>
    </row>
    <row r="368">
      <c r="C368" s="20"/>
    </row>
    <row r="369">
      <c r="C369" s="20"/>
    </row>
    <row r="370">
      <c r="C370" s="20"/>
    </row>
    <row r="371">
      <c r="C371" s="20"/>
    </row>
    <row r="372">
      <c r="C372" s="20"/>
    </row>
    <row r="373">
      <c r="C373" s="20"/>
    </row>
    <row r="374">
      <c r="C374" s="20"/>
    </row>
    <row r="375">
      <c r="C375" s="20"/>
    </row>
    <row r="376">
      <c r="C376" s="20"/>
    </row>
    <row r="377">
      <c r="C377" s="20"/>
    </row>
    <row r="378">
      <c r="C378" s="20"/>
    </row>
    <row r="379">
      <c r="C379" s="20"/>
    </row>
    <row r="380">
      <c r="C380" s="20"/>
    </row>
    <row r="381">
      <c r="C381" s="20"/>
    </row>
    <row r="382">
      <c r="C382" s="20"/>
    </row>
    <row r="383">
      <c r="C383" s="20"/>
    </row>
    <row r="384">
      <c r="C384" s="20"/>
    </row>
    <row r="385">
      <c r="C385" s="20"/>
    </row>
    <row r="386">
      <c r="C386" s="20"/>
    </row>
    <row r="387">
      <c r="C387" s="20"/>
    </row>
    <row r="388">
      <c r="C388" s="20"/>
    </row>
    <row r="389">
      <c r="C389" s="20"/>
    </row>
    <row r="390">
      <c r="C390" s="20"/>
    </row>
    <row r="391">
      <c r="C391" s="20"/>
    </row>
    <row r="392">
      <c r="C392" s="20"/>
    </row>
    <row r="393">
      <c r="C393" s="20"/>
    </row>
    <row r="394">
      <c r="C394" s="20"/>
    </row>
    <row r="395">
      <c r="C395" s="20"/>
    </row>
    <row r="396">
      <c r="C396" s="20"/>
    </row>
    <row r="397">
      <c r="C397" s="20"/>
    </row>
    <row r="398">
      <c r="C398" s="20"/>
    </row>
    <row r="399">
      <c r="C399" s="20"/>
    </row>
    <row r="400">
      <c r="C400" s="20"/>
    </row>
    <row r="401">
      <c r="C401" s="20"/>
    </row>
    <row r="402">
      <c r="C402" s="20"/>
    </row>
    <row r="403">
      <c r="C403" s="20"/>
    </row>
    <row r="404">
      <c r="C404" s="20"/>
    </row>
    <row r="405">
      <c r="C405" s="20"/>
    </row>
    <row r="406">
      <c r="C406" s="20"/>
    </row>
    <row r="407">
      <c r="C407" s="20"/>
    </row>
    <row r="408">
      <c r="C408" s="20"/>
    </row>
    <row r="409">
      <c r="C409" s="20"/>
    </row>
    <row r="410">
      <c r="C410" s="20"/>
    </row>
    <row r="411">
      <c r="C411" s="20"/>
    </row>
    <row r="412">
      <c r="C412" s="20"/>
    </row>
    <row r="413">
      <c r="C413" s="20"/>
    </row>
    <row r="414">
      <c r="C414" s="20"/>
    </row>
    <row r="415">
      <c r="C415" s="20"/>
    </row>
    <row r="416">
      <c r="C416" s="20"/>
    </row>
    <row r="417">
      <c r="C417" s="20"/>
    </row>
    <row r="418">
      <c r="C418" s="20"/>
    </row>
    <row r="419">
      <c r="C419" s="20"/>
    </row>
    <row r="420">
      <c r="C420" s="20"/>
    </row>
    <row r="421">
      <c r="C421" s="20"/>
    </row>
    <row r="422">
      <c r="C422" s="20"/>
    </row>
    <row r="423">
      <c r="C423" s="20"/>
    </row>
    <row r="424">
      <c r="C424" s="20"/>
    </row>
    <row r="425">
      <c r="C425" s="20"/>
    </row>
    <row r="426">
      <c r="C426" s="20"/>
    </row>
    <row r="427">
      <c r="C427" s="20"/>
    </row>
    <row r="428">
      <c r="C428" s="20"/>
    </row>
    <row r="429">
      <c r="C429" s="20"/>
    </row>
    <row r="430">
      <c r="C430" s="20"/>
    </row>
    <row r="431">
      <c r="C431" s="20"/>
    </row>
    <row r="432">
      <c r="C432" s="20"/>
    </row>
    <row r="433">
      <c r="C433" s="20"/>
    </row>
    <row r="434">
      <c r="C434" s="20"/>
    </row>
    <row r="435">
      <c r="C435" s="20"/>
    </row>
    <row r="436">
      <c r="C436" s="20"/>
    </row>
    <row r="437">
      <c r="C437" s="20"/>
    </row>
    <row r="438">
      <c r="C438" s="20"/>
    </row>
    <row r="439">
      <c r="C439" s="20"/>
    </row>
    <row r="440">
      <c r="C440" s="20"/>
    </row>
    <row r="441">
      <c r="C441" s="20"/>
    </row>
    <row r="442">
      <c r="C442" s="20"/>
    </row>
    <row r="443">
      <c r="C443" s="20"/>
    </row>
    <row r="444">
      <c r="C444" s="20"/>
    </row>
    <row r="445">
      <c r="C445" s="20"/>
    </row>
    <row r="446">
      <c r="C446" s="20"/>
    </row>
    <row r="447">
      <c r="C447" s="20"/>
    </row>
    <row r="448">
      <c r="C448" s="20"/>
    </row>
    <row r="449">
      <c r="C449" s="20"/>
    </row>
    <row r="450">
      <c r="C450" s="20"/>
    </row>
    <row r="451">
      <c r="C451" s="20"/>
    </row>
    <row r="452">
      <c r="C452" s="20"/>
    </row>
    <row r="453">
      <c r="C453" s="20"/>
    </row>
    <row r="454">
      <c r="C454" s="20"/>
    </row>
    <row r="455">
      <c r="C455" s="20"/>
    </row>
    <row r="456">
      <c r="C456" s="20"/>
    </row>
    <row r="457">
      <c r="C457" s="20"/>
    </row>
    <row r="458">
      <c r="C458" s="20"/>
    </row>
    <row r="459">
      <c r="C459" s="20"/>
    </row>
    <row r="460">
      <c r="C460" s="20"/>
    </row>
    <row r="461">
      <c r="C461" s="20"/>
    </row>
    <row r="462">
      <c r="C462" s="20"/>
    </row>
    <row r="463">
      <c r="C463" s="20"/>
    </row>
    <row r="464">
      <c r="C464" s="20"/>
    </row>
    <row r="465">
      <c r="C465" s="20"/>
    </row>
    <row r="466">
      <c r="C466" s="20"/>
    </row>
    <row r="467">
      <c r="C467" s="20"/>
    </row>
    <row r="468">
      <c r="C468" s="20"/>
    </row>
    <row r="469">
      <c r="C469" s="20"/>
    </row>
    <row r="470">
      <c r="C470" s="20"/>
    </row>
    <row r="471">
      <c r="C471" s="20"/>
    </row>
    <row r="472">
      <c r="C472" s="20"/>
    </row>
    <row r="473">
      <c r="C473" s="20"/>
    </row>
    <row r="474">
      <c r="C474" s="20"/>
    </row>
    <row r="475">
      <c r="C475" s="20"/>
    </row>
    <row r="476">
      <c r="C476" s="20"/>
    </row>
    <row r="477">
      <c r="C477" s="20"/>
    </row>
    <row r="478">
      <c r="C478" s="20"/>
    </row>
    <row r="479">
      <c r="C479" s="20"/>
    </row>
    <row r="480">
      <c r="C480" s="20"/>
    </row>
    <row r="481">
      <c r="C481" s="20"/>
    </row>
    <row r="482">
      <c r="C482" s="20"/>
    </row>
    <row r="483">
      <c r="C483" s="20"/>
    </row>
    <row r="484">
      <c r="C484" s="20"/>
    </row>
    <row r="485">
      <c r="C485" s="20"/>
    </row>
    <row r="486">
      <c r="C486" s="20"/>
    </row>
    <row r="487">
      <c r="C487" s="20"/>
    </row>
    <row r="488">
      <c r="C488" s="20"/>
    </row>
    <row r="489">
      <c r="C489" s="20"/>
    </row>
    <row r="490">
      <c r="C490" s="20"/>
    </row>
    <row r="491">
      <c r="C491" s="20"/>
    </row>
    <row r="492">
      <c r="C492" s="20"/>
    </row>
    <row r="493">
      <c r="C493" s="20"/>
    </row>
    <row r="494">
      <c r="C494" s="20"/>
    </row>
    <row r="495">
      <c r="C495" s="20"/>
    </row>
    <row r="496">
      <c r="C496" s="20"/>
    </row>
    <row r="497">
      <c r="C497" s="20"/>
    </row>
    <row r="498">
      <c r="C498" s="20"/>
    </row>
    <row r="499">
      <c r="C499" s="20"/>
    </row>
    <row r="500">
      <c r="C500" s="20"/>
    </row>
    <row r="501">
      <c r="C501" s="20"/>
    </row>
    <row r="502">
      <c r="C502" s="20"/>
    </row>
    <row r="503">
      <c r="C503" s="20"/>
    </row>
    <row r="504">
      <c r="C504" s="20"/>
    </row>
    <row r="505">
      <c r="C505" s="20"/>
    </row>
    <row r="506">
      <c r="C506" s="20"/>
    </row>
    <row r="507">
      <c r="C507" s="20"/>
    </row>
    <row r="508">
      <c r="C508" s="20"/>
    </row>
    <row r="509">
      <c r="C509" s="20"/>
    </row>
    <row r="510">
      <c r="C510" s="20"/>
    </row>
    <row r="511">
      <c r="C511" s="20"/>
    </row>
    <row r="512">
      <c r="C512" s="20"/>
    </row>
    <row r="513">
      <c r="C513" s="20"/>
    </row>
    <row r="514">
      <c r="C514" s="20"/>
    </row>
    <row r="515">
      <c r="C515" s="20"/>
    </row>
    <row r="516">
      <c r="C516" s="20"/>
    </row>
    <row r="517">
      <c r="C517" s="20"/>
    </row>
    <row r="518">
      <c r="C518" s="20"/>
    </row>
    <row r="519">
      <c r="C519" s="20"/>
    </row>
    <row r="520">
      <c r="C520" s="20"/>
    </row>
    <row r="521">
      <c r="C521" s="20"/>
    </row>
    <row r="522">
      <c r="C522" s="20"/>
    </row>
    <row r="523">
      <c r="C523" s="20"/>
    </row>
    <row r="524">
      <c r="C524" s="20"/>
    </row>
    <row r="525">
      <c r="C525" s="20"/>
    </row>
    <row r="526">
      <c r="C526" s="20"/>
    </row>
    <row r="527">
      <c r="C527" s="20"/>
    </row>
    <row r="528">
      <c r="C528" s="20"/>
    </row>
    <row r="529">
      <c r="C529" s="20"/>
    </row>
    <row r="530">
      <c r="C530" s="20"/>
    </row>
    <row r="531">
      <c r="C531" s="20"/>
    </row>
    <row r="532">
      <c r="C532" s="20"/>
    </row>
    <row r="533">
      <c r="C533" s="20"/>
    </row>
    <row r="534">
      <c r="C534" s="20"/>
    </row>
    <row r="535">
      <c r="C535" s="20"/>
    </row>
    <row r="536">
      <c r="C536" s="20"/>
    </row>
    <row r="537">
      <c r="C537" s="20"/>
    </row>
    <row r="538">
      <c r="C538" s="20"/>
    </row>
    <row r="539">
      <c r="C539" s="20"/>
    </row>
    <row r="540">
      <c r="C540" s="20"/>
    </row>
    <row r="541">
      <c r="C541" s="20"/>
    </row>
    <row r="542">
      <c r="C542" s="20"/>
    </row>
    <row r="543">
      <c r="C543" s="20"/>
    </row>
    <row r="544">
      <c r="C544" s="20"/>
    </row>
    <row r="545">
      <c r="C545" s="20"/>
    </row>
    <row r="546">
      <c r="C546" s="20"/>
    </row>
    <row r="547">
      <c r="C547" s="20"/>
    </row>
    <row r="548">
      <c r="C548" s="20"/>
    </row>
    <row r="549">
      <c r="C549" s="20"/>
    </row>
    <row r="550">
      <c r="C550" s="20"/>
    </row>
    <row r="551">
      <c r="C551" s="20"/>
    </row>
    <row r="552">
      <c r="C552" s="20"/>
    </row>
    <row r="553">
      <c r="C553" s="20"/>
    </row>
    <row r="554">
      <c r="C554" s="20"/>
    </row>
    <row r="555">
      <c r="C555" s="20"/>
    </row>
    <row r="556">
      <c r="C556" s="20"/>
    </row>
    <row r="557">
      <c r="C557" s="20"/>
    </row>
    <row r="558">
      <c r="C558" s="20"/>
    </row>
    <row r="559">
      <c r="C559" s="20"/>
    </row>
    <row r="560">
      <c r="C560" s="20"/>
    </row>
    <row r="561">
      <c r="C561" s="20"/>
    </row>
    <row r="562">
      <c r="C562" s="20"/>
    </row>
    <row r="563">
      <c r="C563" s="20"/>
    </row>
    <row r="564">
      <c r="C564" s="20"/>
    </row>
    <row r="565">
      <c r="C565" s="20"/>
    </row>
    <row r="566">
      <c r="C566" s="20"/>
    </row>
    <row r="567">
      <c r="C567" s="20"/>
    </row>
    <row r="568">
      <c r="C568" s="20"/>
    </row>
    <row r="569">
      <c r="C569" s="20"/>
    </row>
    <row r="570">
      <c r="C570" s="20"/>
    </row>
    <row r="571">
      <c r="C571" s="20"/>
    </row>
    <row r="572">
      <c r="C572" s="20"/>
    </row>
    <row r="573">
      <c r="C573" s="20"/>
    </row>
    <row r="574">
      <c r="C574" s="20"/>
    </row>
    <row r="575">
      <c r="C575" s="20"/>
    </row>
    <row r="576">
      <c r="C576" s="20"/>
    </row>
    <row r="577">
      <c r="C577" s="20"/>
    </row>
    <row r="578">
      <c r="C578" s="20"/>
    </row>
    <row r="579">
      <c r="C579" s="20"/>
    </row>
    <row r="580">
      <c r="C580" s="20"/>
    </row>
    <row r="581">
      <c r="C581" s="20"/>
    </row>
    <row r="582">
      <c r="C582" s="20"/>
    </row>
    <row r="583">
      <c r="C583" s="20"/>
    </row>
    <row r="584">
      <c r="C584" s="20"/>
    </row>
    <row r="585">
      <c r="C585" s="20"/>
    </row>
    <row r="586">
      <c r="C586" s="20"/>
    </row>
    <row r="587">
      <c r="C587" s="20"/>
    </row>
    <row r="588">
      <c r="C588" s="20"/>
    </row>
    <row r="589">
      <c r="C589" s="20"/>
    </row>
    <row r="590">
      <c r="C590" s="20"/>
    </row>
    <row r="591">
      <c r="C591" s="20"/>
    </row>
    <row r="592">
      <c r="C592" s="20"/>
    </row>
    <row r="593">
      <c r="C593" s="20"/>
    </row>
    <row r="594">
      <c r="C594" s="20"/>
    </row>
    <row r="595">
      <c r="C595" s="20"/>
    </row>
    <row r="596">
      <c r="C596" s="20"/>
    </row>
    <row r="597">
      <c r="C597" s="20"/>
    </row>
    <row r="598">
      <c r="C598" s="20"/>
    </row>
    <row r="599">
      <c r="C599" s="20"/>
    </row>
    <row r="600">
      <c r="C600" s="20"/>
    </row>
    <row r="601">
      <c r="C601" s="20"/>
    </row>
    <row r="602">
      <c r="C602" s="20"/>
    </row>
    <row r="603">
      <c r="C603" s="20"/>
    </row>
    <row r="604">
      <c r="C604" s="20"/>
    </row>
    <row r="605">
      <c r="C605" s="20"/>
    </row>
    <row r="606">
      <c r="C606" s="20"/>
    </row>
    <row r="607">
      <c r="C607" s="20"/>
    </row>
    <row r="608">
      <c r="C608" s="20"/>
    </row>
    <row r="609">
      <c r="C609" s="20"/>
    </row>
    <row r="610">
      <c r="C610" s="20"/>
    </row>
    <row r="611">
      <c r="C611" s="20"/>
    </row>
    <row r="612">
      <c r="C612" s="20"/>
    </row>
    <row r="613">
      <c r="C613" s="20"/>
    </row>
    <row r="614">
      <c r="C614" s="20"/>
    </row>
    <row r="615">
      <c r="C615" s="20"/>
    </row>
    <row r="616">
      <c r="C616" s="20"/>
    </row>
    <row r="617">
      <c r="C617" s="20"/>
    </row>
    <row r="618">
      <c r="C618" s="20"/>
    </row>
    <row r="619">
      <c r="C619" s="20"/>
    </row>
    <row r="620">
      <c r="C620" s="20"/>
    </row>
    <row r="621">
      <c r="C621" s="20"/>
    </row>
    <row r="622">
      <c r="C622" s="20"/>
    </row>
    <row r="623">
      <c r="C623" s="20"/>
    </row>
    <row r="624">
      <c r="C624" s="20"/>
    </row>
    <row r="625">
      <c r="C625" s="20"/>
    </row>
    <row r="626">
      <c r="C626" s="20"/>
    </row>
    <row r="627">
      <c r="C627" s="20"/>
    </row>
    <row r="628">
      <c r="C628" s="20"/>
    </row>
    <row r="629">
      <c r="C629" s="20"/>
    </row>
    <row r="630">
      <c r="C630" s="20"/>
    </row>
    <row r="631">
      <c r="C631" s="20"/>
    </row>
    <row r="632">
      <c r="C632" s="20"/>
    </row>
    <row r="633">
      <c r="C633" s="20"/>
    </row>
    <row r="634">
      <c r="C634" s="20"/>
    </row>
    <row r="635">
      <c r="C635" s="20"/>
    </row>
    <row r="636">
      <c r="C636" s="20"/>
    </row>
    <row r="637">
      <c r="C637" s="20"/>
    </row>
    <row r="638">
      <c r="C638" s="20"/>
    </row>
    <row r="639">
      <c r="C639" s="20"/>
    </row>
    <row r="640">
      <c r="C640" s="20"/>
    </row>
    <row r="641">
      <c r="C641" s="20"/>
    </row>
    <row r="642">
      <c r="C642" s="20"/>
    </row>
    <row r="643">
      <c r="C643" s="20"/>
    </row>
    <row r="644">
      <c r="C644" s="20"/>
    </row>
    <row r="645">
      <c r="C645" s="20"/>
    </row>
    <row r="646">
      <c r="C646" s="20"/>
    </row>
    <row r="647">
      <c r="C647" s="20"/>
    </row>
    <row r="648">
      <c r="C648" s="20"/>
    </row>
    <row r="649">
      <c r="C649" s="20"/>
    </row>
    <row r="650">
      <c r="C650" s="20"/>
    </row>
    <row r="651">
      <c r="C651" s="20"/>
    </row>
    <row r="652">
      <c r="C652" s="20"/>
    </row>
    <row r="653">
      <c r="C653" s="20"/>
    </row>
    <row r="654">
      <c r="C654" s="20"/>
    </row>
    <row r="655">
      <c r="C655" s="20"/>
    </row>
    <row r="656">
      <c r="C656" s="20"/>
    </row>
    <row r="657">
      <c r="C657" s="20"/>
    </row>
    <row r="658">
      <c r="C658" s="20"/>
    </row>
    <row r="659">
      <c r="C659" s="20"/>
    </row>
    <row r="660">
      <c r="C660" s="20"/>
    </row>
    <row r="661">
      <c r="C661" s="20"/>
    </row>
    <row r="662">
      <c r="C662" s="20"/>
    </row>
    <row r="663">
      <c r="C663" s="20"/>
    </row>
    <row r="664">
      <c r="C664" s="20"/>
    </row>
    <row r="665">
      <c r="C665" s="20"/>
    </row>
    <row r="666">
      <c r="C666" s="20"/>
    </row>
    <row r="667">
      <c r="C667" s="20"/>
    </row>
    <row r="668">
      <c r="C668" s="20"/>
    </row>
    <row r="669">
      <c r="C669" s="20"/>
    </row>
    <row r="670">
      <c r="C670" s="20"/>
    </row>
    <row r="671">
      <c r="C671" s="20"/>
    </row>
    <row r="672">
      <c r="C672" s="20"/>
    </row>
    <row r="673">
      <c r="C673" s="20"/>
    </row>
    <row r="674">
      <c r="C674" s="20"/>
    </row>
    <row r="675">
      <c r="C675" s="20"/>
    </row>
    <row r="676">
      <c r="C676" s="20"/>
    </row>
    <row r="677">
      <c r="C677" s="20"/>
    </row>
    <row r="678">
      <c r="C678" s="20"/>
    </row>
    <row r="679">
      <c r="C679" s="20"/>
    </row>
    <row r="680">
      <c r="C680" s="20"/>
    </row>
    <row r="681">
      <c r="C681" s="20"/>
    </row>
    <row r="682">
      <c r="C682" s="20"/>
    </row>
    <row r="683">
      <c r="C683" s="20"/>
    </row>
    <row r="684">
      <c r="C684" s="20"/>
    </row>
    <row r="685">
      <c r="C685" s="20"/>
    </row>
    <row r="686">
      <c r="C686" s="20"/>
    </row>
    <row r="687">
      <c r="C687" s="20"/>
    </row>
    <row r="688">
      <c r="C688" s="20"/>
    </row>
    <row r="689">
      <c r="C689" s="20"/>
    </row>
    <row r="690">
      <c r="C690" s="20"/>
    </row>
    <row r="691">
      <c r="C691" s="20"/>
    </row>
    <row r="692">
      <c r="C692" s="20"/>
    </row>
    <row r="693">
      <c r="C693" s="20"/>
    </row>
    <row r="694">
      <c r="C694" s="20"/>
    </row>
    <row r="695">
      <c r="C695" s="20"/>
    </row>
    <row r="696">
      <c r="C696" s="20"/>
    </row>
    <row r="697">
      <c r="C697" s="20"/>
    </row>
    <row r="698">
      <c r="C698" s="20"/>
    </row>
    <row r="699">
      <c r="C699" s="20"/>
    </row>
    <row r="700">
      <c r="C700" s="20"/>
    </row>
    <row r="701">
      <c r="C701" s="20"/>
    </row>
    <row r="702">
      <c r="C702" s="20"/>
    </row>
    <row r="703">
      <c r="C703" s="20"/>
    </row>
    <row r="704">
      <c r="C704" s="20"/>
    </row>
    <row r="705">
      <c r="C705" s="20"/>
    </row>
    <row r="706">
      <c r="C706" s="20"/>
    </row>
    <row r="707">
      <c r="C707" s="20"/>
    </row>
    <row r="708">
      <c r="C708" s="20"/>
    </row>
    <row r="709">
      <c r="C709" s="20"/>
    </row>
    <row r="710">
      <c r="C710" s="20"/>
    </row>
    <row r="711">
      <c r="C711" s="20"/>
    </row>
    <row r="712">
      <c r="C712" s="20"/>
    </row>
    <row r="713">
      <c r="C713" s="20"/>
    </row>
    <row r="714">
      <c r="C714" s="20"/>
    </row>
    <row r="715">
      <c r="C715" s="20"/>
    </row>
    <row r="716">
      <c r="C716" s="20"/>
    </row>
    <row r="717">
      <c r="C717" s="20"/>
    </row>
    <row r="718">
      <c r="C718" s="20"/>
    </row>
    <row r="719">
      <c r="C719" s="20"/>
    </row>
    <row r="720">
      <c r="C720" s="20"/>
    </row>
    <row r="721">
      <c r="C721" s="20"/>
    </row>
    <row r="722">
      <c r="C722" s="20"/>
    </row>
    <row r="723">
      <c r="C723" s="20"/>
    </row>
    <row r="724">
      <c r="C724" s="20"/>
    </row>
    <row r="725">
      <c r="C725" s="20"/>
    </row>
    <row r="726">
      <c r="C726" s="20"/>
    </row>
    <row r="727">
      <c r="C727" s="20"/>
    </row>
    <row r="728">
      <c r="C728" s="20"/>
    </row>
    <row r="729">
      <c r="C729" s="20"/>
    </row>
    <row r="730">
      <c r="C730" s="20"/>
    </row>
    <row r="731">
      <c r="C731" s="20"/>
    </row>
    <row r="732">
      <c r="C732" s="20"/>
    </row>
    <row r="733">
      <c r="C733" s="20"/>
    </row>
    <row r="734">
      <c r="C734" s="20"/>
    </row>
    <row r="735">
      <c r="C735" s="20"/>
    </row>
    <row r="736">
      <c r="C736" s="20"/>
    </row>
    <row r="737">
      <c r="C737" s="20"/>
    </row>
    <row r="738">
      <c r="C738" s="20"/>
    </row>
    <row r="739">
      <c r="C739" s="20"/>
    </row>
    <row r="740">
      <c r="C740" s="20"/>
    </row>
    <row r="741">
      <c r="C741" s="20"/>
    </row>
    <row r="742">
      <c r="C742" s="20"/>
    </row>
    <row r="743">
      <c r="C743" s="20"/>
    </row>
    <row r="744">
      <c r="C744" s="20"/>
    </row>
    <row r="745">
      <c r="C745" s="20"/>
    </row>
    <row r="746">
      <c r="C746" s="20"/>
    </row>
    <row r="747">
      <c r="C747" s="20"/>
    </row>
    <row r="748">
      <c r="C748" s="20"/>
    </row>
    <row r="749">
      <c r="C749" s="20"/>
    </row>
    <row r="750">
      <c r="C750" s="20"/>
    </row>
    <row r="751">
      <c r="C751" s="20"/>
    </row>
    <row r="752">
      <c r="C752" s="20"/>
    </row>
    <row r="753">
      <c r="C753" s="20"/>
    </row>
    <row r="754">
      <c r="C754" s="20"/>
    </row>
    <row r="755">
      <c r="C755" s="20"/>
    </row>
    <row r="756">
      <c r="C756" s="20"/>
    </row>
    <row r="757">
      <c r="C757" s="20"/>
    </row>
    <row r="758">
      <c r="C758" s="20"/>
    </row>
    <row r="759">
      <c r="C759" s="20"/>
    </row>
    <row r="760">
      <c r="C760" s="20"/>
    </row>
    <row r="761">
      <c r="C761" s="20"/>
    </row>
    <row r="762">
      <c r="C762" s="20"/>
    </row>
    <row r="763">
      <c r="C763" s="20"/>
    </row>
    <row r="764">
      <c r="C764" s="20"/>
    </row>
    <row r="765">
      <c r="C765" s="20"/>
    </row>
    <row r="766">
      <c r="C766" s="20"/>
    </row>
    <row r="767">
      <c r="C767" s="20"/>
    </row>
    <row r="768">
      <c r="C768" s="20"/>
    </row>
    <row r="769">
      <c r="C769" s="20"/>
    </row>
    <row r="770">
      <c r="C770" s="20"/>
    </row>
    <row r="771">
      <c r="C771" s="20"/>
    </row>
    <row r="772">
      <c r="C772" s="20"/>
    </row>
    <row r="773">
      <c r="C773" s="20"/>
    </row>
    <row r="774">
      <c r="C774" s="20"/>
    </row>
    <row r="775">
      <c r="C775" s="20"/>
    </row>
    <row r="776">
      <c r="C776" s="20"/>
    </row>
    <row r="777">
      <c r="C777" s="20"/>
    </row>
    <row r="778">
      <c r="C778" s="20"/>
    </row>
    <row r="779">
      <c r="C779" s="20"/>
    </row>
    <row r="780">
      <c r="C780" s="20"/>
    </row>
    <row r="781">
      <c r="C781" s="20"/>
    </row>
    <row r="782">
      <c r="C782" s="20"/>
    </row>
    <row r="783">
      <c r="C783" s="20"/>
    </row>
    <row r="784">
      <c r="C784" s="20"/>
    </row>
    <row r="785">
      <c r="C785" s="20"/>
    </row>
    <row r="786">
      <c r="C786" s="20"/>
    </row>
    <row r="787">
      <c r="C787" s="20"/>
    </row>
    <row r="788">
      <c r="C788" s="20"/>
    </row>
    <row r="789">
      <c r="C789" s="20"/>
    </row>
    <row r="790">
      <c r="C790" s="20"/>
    </row>
    <row r="791">
      <c r="C791" s="20"/>
    </row>
    <row r="792">
      <c r="C792" s="20"/>
    </row>
    <row r="793">
      <c r="C793" s="20"/>
    </row>
    <row r="794">
      <c r="C794" s="20"/>
    </row>
    <row r="795">
      <c r="C795" s="20"/>
    </row>
    <row r="796">
      <c r="C796" s="20"/>
    </row>
    <row r="797">
      <c r="C797" s="20"/>
    </row>
    <row r="798">
      <c r="C798" s="20"/>
    </row>
    <row r="799">
      <c r="C799" s="20"/>
    </row>
    <row r="800">
      <c r="C800" s="20"/>
    </row>
    <row r="801">
      <c r="C801" s="20"/>
    </row>
    <row r="802">
      <c r="C802" s="20"/>
    </row>
    <row r="803">
      <c r="C803" s="20"/>
    </row>
    <row r="804">
      <c r="C804" s="20"/>
    </row>
    <row r="805">
      <c r="C805" s="20"/>
    </row>
    <row r="806">
      <c r="C806" s="20"/>
    </row>
    <row r="807">
      <c r="C807" s="20"/>
    </row>
    <row r="808">
      <c r="C808" s="20"/>
    </row>
    <row r="809">
      <c r="C809" s="20"/>
    </row>
    <row r="810">
      <c r="C810" s="20"/>
    </row>
    <row r="811">
      <c r="C811" s="20"/>
    </row>
    <row r="812">
      <c r="C812" s="20"/>
    </row>
    <row r="813">
      <c r="C813" s="20"/>
    </row>
    <row r="814">
      <c r="C814" s="20"/>
    </row>
    <row r="815">
      <c r="C815" s="20"/>
    </row>
    <row r="816">
      <c r="C816" s="20"/>
    </row>
    <row r="817">
      <c r="C817" s="20"/>
    </row>
    <row r="818">
      <c r="C818" s="20"/>
    </row>
    <row r="819">
      <c r="C819" s="20"/>
    </row>
    <row r="820">
      <c r="C820" s="20"/>
    </row>
    <row r="821">
      <c r="C821" s="20"/>
    </row>
    <row r="822">
      <c r="C822" s="20"/>
    </row>
    <row r="823">
      <c r="C823" s="20"/>
    </row>
    <row r="824">
      <c r="C824" s="20"/>
    </row>
    <row r="825">
      <c r="C825" s="20"/>
    </row>
    <row r="826">
      <c r="C826" s="20"/>
    </row>
    <row r="827">
      <c r="C827" s="20"/>
    </row>
    <row r="828">
      <c r="C828" s="20"/>
    </row>
    <row r="829">
      <c r="C829" s="20"/>
    </row>
    <row r="830">
      <c r="C830" s="20"/>
    </row>
    <row r="831">
      <c r="C831" s="20"/>
    </row>
    <row r="832">
      <c r="C832" s="20"/>
    </row>
    <row r="833">
      <c r="C833" s="20"/>
    </row>
    <row r="834">
      <c r="C834" s="20"/>
    </row>
    <row r="835">
      <c r="C835" s="20"/>
    </row>
    <row r="836">
      <c r="C836" s="20"/>
    </row>
    <row r="837">
      <c r="C837" s="20"/>
    </row>
    <row r="838">
      <c r="C838" s="20"/>
    </row>
    <row r="839">
      <c r="C839" s="20"/>
    </row>
    <row r="840">
      <c r="C840" s="20"/>
    </row>
    <row r="841">
      <c r="C841" s="20"/>
    </row>
    <row r="842">
      <c r="C842" s="20"/>
    </row>
    <row r="843">
      <c r="C843" s="20"/>
    </row>
    <row r="844">
      <c r="C844" s="20"/>
    </row>
    <row r="845">
      <c r="C845" s="20"/>
    </row>
    <row r="846">
      <c r="C846" s="20"/>
    </row>
    <row r="847">
      <c r="C847" s="20"/>
    </row>
    <row r="848">
      <c r="C848" s="20"/>
    </row>
    <row r="849">
      <c r="C849" s="20"/>
    </row>
    <row r="850">
      <c r="C850" s="20"/>
    </row>
    <row r="851">
      <c r="C851" s="20"/>
    </row>
    <row r="852">
      <c r="C852" s="20"/>
    </row>
    <row r="853">
      <c r="C853" s="20"/>
    </row>
    <row r="854">
      <c r="C854" s="20"/>
    </row>
    <row r="855">
      <c r="C855" s="20"/>
    </row>
    <row r="856">
      <c r="C856" s="20"/>
    </row>
    <row r="857">
      <c r="C857" s="20"/>
    </row>
    <row r="858">
      <c r="C858" s="20"/>
    </row>
    <row r="859">
      <c r="C859" s="20"/>
    </row>
    <row r="860">
      <c r="C860" s="20"/>
    </row>
    <row r="861">
      <c r="C861" s="20"/>
    </row>
    <row r="862">
      <c r="C862" s="20"/>
    </row>
    <row r="863">
      <c r="C863" s="20"/>
    </row>
    <row r="864">
      <c r="C864" s="20"/>
    </row>
    <row r="865">
      <c r="C865" s="20"/>
    </row>
    <row r="866">
      <c r="C866" s="20"/>
    </row>
    <row r="867">
      <c r="C867" s="20"/>
    </row>
    <row r="868">
      <c r="C868" s="20"/>
    </row>
    <row r="869">
      <c r="C869" s="20"/>
    </row>
    <row r="870">
      <c r="C870" s="20"/>
    </row>
    <row r="871">
      <c r="C871" s="20"/>
    </row>
    <row r="872">
      <c r="C872" s="20"/>
    </row>
    <row r="873">
      <c r="C873" s="20"/>
    </row>
    <row r="874">
      <c r="C874" s="20"/>
    </row>
    <row r="875">
      <c r="C875" s="20"/>
    </row>
    <row r="876">
      <c r="C876" s="20"/>
    </row>
    <row r="877">
      <c r="C877" s="20"/>
    </row>
    <row r="878">
      <c r="C878" s="20"/>
    </row>
    <row r="879">
      <c r="C879" s="20"/>
    </row>
    <row r="880">
      <c r="C880" s="20"/>
    </row>
    <row r="881">
      <c r="C881" s="20"/>
    </row>
    <row r="882">
      <c r="C882" s="20"/>
    </row>
    <row r="883">
      <c r="C883" s="20"/>
    </row>
    <row r="884">
      <c r="C884" s="20"/>
    </row>
    <row r="885">
      <c r="C885" s="20"/>
    </row>
    <row r="886">
      <c r="C886" s="20"/>
    </row>
    <row r="887">
      <c r="C887" s="20"/>
    </row>
    <row r="888">
      <c r="C888" s="20"/>
    </row>
    <row r="889">
      <c r="C889" s="20"/>
    </row>
    <row r="890">
      <c r="C890" s="20"/>
    </row>
    <row r="891">
      <c r="C891" s="20"/>
    </row>
    <row r="892">
      <c r="C892" s="20"/>
    </row>
    <row r="893">
      <c r="C893" s="20"/>
    </row>
    <row r="894">
      <c r="C894" s="20"/>
    </row>
    <row r="895">
      <c r="C895" s="20"/>
    </row>
    <row r="896">
      <c r="C896" s="20"/>
    </row>
    <row r="897">
      <c r="C897" s="20"/>
    </row>
    <row r="898">
      <c r="C898" s="20"/>
    </row>
    <row r="899">
      <c r="C899" s="20"/>
    </row>
    <row r="900">
      <c r="C900" s="20"/>
    </row>
    <row r="901">
      <c r="C901" s="20"/>
    </row>
    <row r="902">
      <c r="C902" s="20"/>
    </row>
    <row r="903">
      <c r="C903" s="20"/>
    </row>
    <row r="904">
      <c r="C904" s="20"/>
    </row>
    <row r="905">
      <c r="C905" s="20"/>
    </row>
    <row r="906">
      <c r="C906" s="20"/>
    </row>
    <row r="907">
      <c r="C907" s="20"/>
    </row>
    <row r="908">
      <c r="C908" s="20"/>
    </row>
    <row r="909">
      <c r="C909" s="20"/>
    </row>
    <row r="910">
      <c r="C910" s="20"/>
    </row>
    <row r="911">
      <c r="C911" s="20"/>
    </row>
    <row r="912">
      <c r="C912" s="20"/>
    </row>
    <row r="913">
      <c r="C913" s="20"/>
    </row>
    <row r="914">
      <c r="C914" s="20"/>
    </row>
    <row r="915">
      <c r="C915" s="20"/>
    </row>
    <row r="916">
      <c r="C916" s="20"/>
    </row>
    <row r="917">
      <c r="C917" s="20"/>
    </row>
    <row r="918">
      <c r="C918" s="20"/>
    </row>
    <row r="919">
      <c r="C919" s="20"/>
    </row>
    <row r="920">
      <c r="C920" s="20"/>
    </row>
    <row r="921">
      <c r="C921" s="20"/>
    </row>
    <row r="922">
      <c r="C922" s="20"/>
    </row>
    <row r="923">
      <c r="C923" s="20"/>
    </row>
    <row r="924">
      <c r="C924" s="20"/>
    </row>
    <row r="925">
      <c r="C925" s="20"/>
    </row>
    <row r="926">
      <c r="C926" s="20"/>
    </row>
    <row r="927">
      <c r="C927" s="20"/>
    </row>
    <row r="928">
      <c r="C928" s="20"/>
    </row>
    <row r="929">
      <c r="C929" s="20"/>
    </row>
    <row r="930">
      <c r="C930" s="20"/>
    </row>
    <row r="931">
      <c r="C931" s="20"/>
    </row>
    <row r="932">
      <c r="C932" s="20"/>
    </row>
    <row r="933">
      <c r="C933" s="20"/>
    </row>
    <row r="934">
      <c r="C934" s="20"/>
    </row>
    <row r="935">
      <c r="C935" s="20"/>
    </row>
    <row r="936">
      <c r="C936" s="20"/>
    </row>
    <row r="937">
      <c r="C937" s="20"/>
    </row>
    <row r="938">
      <c r="C938" s="20"/>
    </row>
    <row r="939">
      <c r="C939" s="20"/>
    </row>
    <row r="940">
      <c r="C940" s="20"/>
    </row>
    <row r="941">
      <c r="C941" s="20"/>
    </row>
    <row r="942">
      <c r="C942" s="20"/>
    </row>
    <row r="943">
      <c r="C943" s="20"/>
    </row>
    <row r="944">
      <c r="C944" s="20"/>
    </row>
    <row r="945">
      <c r="C945" s="20"/>
    </row>
    <row r="946">
      <c r="C946" s="20"/>
    </row>
    <row r="947">
      <c r="C947" s="20"/>
    </row>
    <row r="948">
      <c r="C948" s="20"/>
    </row>
    <row r="949">
      <c r="C949" s="20"/>
    </row>
    <row r="950">
      <c r="C950" s="20"/>
    </row>
    <row r="951">
      <c r="C951" s="20"/>
    </row>
    <row r="952">
      <c r="C952" s="20"/>
    </row>
    <row r="953">
      <c r="C953" s="20"/>
    </row>
    <row r="954">
      <c r="C954" s="20"/>
    </row>
    <row r="955">
      <c r="C955" s="20"/>
    </row>
    <row r="956">
      <c r="C956" s="20"/>
    </row>
    <row r="957">
      <c r="C957" s="20"/>
    </row>
    <row r="958">
      <c r="C958" s="20"/>
    </row>
    <row r="959">
      <c r="C959" s="20"/>
    </row>
    <row r="960">
      <c r="C960" s="20"/>
    </row>
    <row r="961">
      <c r="C961" s="20"/>
    </row>
    <row r="962">
      <c r="C962" s="20"/>
    </row>
    <row r="963">
      <c r="C963" s="20"/>
    </row>
    <row r="964">
      <c r="C964" s="20"/>
    </row>
    <row r="965">
      <c r="C965" s="20"/>
    </row>
    <row r="966">
      <c r="C966" s="20"/>
    </row>
    <row r="967">
      <c r="C967" s="20"/>
    </row>
    <row r="968">
      <c r="C968" s="20"/>
    </row>
    <row r="969">
      <c r="C969" s="20"/>
    </row>
    <row r="970">
      <c r="C970" s="20"/>
    </row>
    <row r="971">
      <c r="C971" s="20"/>
    </row>
    <row r="972">
      <c r="C972" s="20"/>
    </row>
    <row r="973">
      <c r="C973" s="20"/>
    </row>
    <row r="974">
      <c r="C974" s="20"/>
    </row>
    <row r="975">
      <c r="C975" s="20"/>
    </row>
    <row r="976">
      <c r="C976" s="20"/>
    </row>
    <row r="977">
      <c r="C977" s="20"/>
    </row>
    <row r="978">
      <c r="C978" s="20"/>
    </row>
    <row r="979">
      <c r="C979" s="20"/>
    </row>
    <row r="980">
      <c r="C980" s="20"/>
    </row>
    <row r="981">
      <c r="C981" s="20"/>
    </row>
    <row r="982">
      <c r="C982" s="20"/>
    </row>
    <row r="983">
      <c r="C983" s="20"/>
    </row>
    <row r="984">
      <c r="C984" s="20"/>
    </row>
    <row r="985">
      <c r="C985" s="20"/>
    </row>
    <row r="986">
      <c r="C986" s="20"/>
    </row>
    <row r="987">
      <c r="C987" s="20"/>
    </row>
    <row r="988">
      <c r="C988" s="20"/>
    </row>
    <row r="989">
      <c r="C989" s="20"/>
    </row>
    <row r="990">
      <c r="C990" s="20"/>
    </row>
    <row r="991">
      <c r="C991" s="20"/>
    </row>
    <row r="992">
      <c r="C992" s="20"/>
    </row>
    <row r="993">
      <c r="C993" s="20"/>
    </row>
    <row r="994">
      <c r="C994" s="20"/>
    </row>
    <row r="995">
      <c r="C995" s="20"/>
    </row>
    <row r="996">
      <c r="C996" s="20"/>
    </row>
    <row r="997">
      <c r="C997" s="20"/>
    </row>
    <row r="998">
      <c r="C998" s="20"/>
    </row>
    <row r="999">
      <c r="C999" s="20"/>
    </row>
    <row r="1000">
      <c r="C1000" s="20"/>
    </row>
    <row r="1001">
      <c r="C1001" s="20"/>
    </row>
    <row r="1002">
      <c r="C1002" s="20"/>
    </row>
  </sheetData>
  <mergeCells count="11">
    <mergeCell ref="A106:A107"/>
    <mergeCell ref="A110:A111"/>
    <mergeCell ref="A135:A136"/>
    <mergeCell ref="A138:A140"/>
    <mergeCell ref="C1:D1"/>
    <mergeCell ref="A17:A18"/>
    <mergeCell ref="A27:A28"/>
    <mergeCell ref="A31:A32"/>
    <mergeCell ref="A63:A64"/>
    <mergeCell ref="A90:A91"/>
    <mergeCell ref="A99:A100"/>
  </mergeCell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0" showOutlineSymbols="1"/>
    <pageSetUpPr autoPageBreaks="1" fitToPage="0"/>
  </sheetPr>
  <sheetViews>
    <sheetView zoomScale="100" workbookViewId="0">
      <selection activeCell="A1" activeCellId="0" sqref="A1"/>
    </sheetView>
  </sheetViews>
  <sheetFormatPr defaultColWidth="12.630000000000001" defaultRowHeight="15.75" customHeight="1"/>
  <sheetData>
    <row r="1">
      <c r="A1" s="87" t="s">
        <v>566</v>
      </c>
      <c r="B1" s="88" t="s">
        <v>567</v>
      </c>
    </row>
    <row r="2" ht="15.75" customHeight="1">
      <c r="B2" t="s">
        <v>568</v>
      </c>
    </row>
    <row r="3">
      <c r="A3" s="79" t="s">
        <v>569</v>
      </c>
      <c r="B3" s="88" t="s">
        <v>570</v>
      </c>
    </row>
    <row r="4" ht="15.75" customHeight="1">
      <c r="B4" t="s">
        <v>571</v>
      </c>
    </row>
    <row r="5">
      <c r="A5" s="89" t="s">
        <v>572</v>
      </c>
    </row>
    <row r="7">
      <c r="A7" s="90" t="s">
        <v>573</v>
      </c>
    </row>
    <row r="9">
      <c r="A9" s="80" t="s">
        <v>574</v>
      </c>
      <c r="B9" s="88" t="s">
        <v>575</v>
      </c>
    </row>
    <row r="10">
      <c r="A10" s="4"/>
      <c r="B10" t="s">
        <v>576</v>
      </c>
    </row>
    <row r="11">
      <c r="A11" s="91"/>
    </row>
  </sheetData>
  <hyperlinks>
    <hyperlink r:id="rId1" ref="B1"/>
    <hyperlink r:id="rId2" ref="B3"/>
    <hyperlink r:id="rId3" ref="B9"/>
  </hyperlink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0" summaryRight="1" showOutlineSymbols="1"/>
    <pageSetUpPr autoPageBreaks="1" fitToPage="0"/>
  </sheetPr>
  <sheetViews>
    <sheetView zoomScale="100" workbookViewId="0">
      <pane ySplit="2" topLeftCell="A3" activePane="bottomLeft" state="frozen"/>
      <selection activeCell="B4" activeCellId="0" sqref="B4"/>
    </sheetView>
  </sheetViews>
  <sheetFormatPr defaultColWidth="12.630000000000001" defaultRowHeight="15.75" customHeight="1" outlineLevelRow="1" outlineLevelCol="1"/>
  <cols>
    <col customWidth="1" hidden="1" min="1" max="1" outlineLevel="1" width="30.5"/>
    <col customWidth="1" hidden="1" min="2" max="2" outlineLevel="1" width="1.5"/>
    <col customWidth="1" hidden="1" min="3" max="3" outlineLevel="1" width="16"/>
    <col customWidth="1" hidden="1" min="4" max="4" outlineLevel="1" width="8.8800000000000008"/>
    <col customWidth="1" hidden="1" min="5" max="5" outlineLevel="1" width="15"/>
    <col collapsed="1" customWidth="1" min="6" max="6" width="12"/>
    <col customWidth="1" min="7" max="7" width="8.3800000000000008"/>
    <col customWidth="1" min="8" max="8" width="21.5"/>
    <col customWidth="1" min="9" max="9" width="4.8799999999999999"/>
    <col customWidth="1" min="10" max="10" width="82.25"/>
  </cols>
  <sheetData>
    <row r="1">
      <c r="A1" s="92"/>
      <c r="B1" s="92"/>
      <c r="C1" s="92"/>
      <c r="D1" s="92"/>
      <c r="E1" s="92"/>
      <c r="F1" s="93" t="s">
        <v>577</v>
      </c>
      <c r="G1" s="94" t="s">
        <v>578</v>
      </c>
      <c r="K1" s="77"/>
      <c r="L1" s="41"/>
      <c r="M1" s="41"/>
      <c r="N1" s="41"/>
      <c r="O1" s="41"/>
      <c r="P1" s="41"/>
      <c r="Q1" s="41"/>
      <c r="R1" s="41"/>
      <c r="S1" s="41"/>
      <c r="T1" s="41"/>
      <c r="U1" s="41"/>
      <c r="V1" s="41"/>
      <c r="W1" s="41"/>
      <c r="X1" s="41"/>
      <c r="Y1" s="41"/>
      <c r="Z1" s="41"/>
      <c r="AA1" s="41"/>
      <c r="AB1" s="41"/>
      <c r="AC1" s="41"/>
      <c r="AD1" s="41"/>
      <c r="AE1" s="41"/>
      <c r="AF1" s="41"/>
      <c r="AG1" s="41"/>
      <c r="AH1" s="41"/>
      <c r="AI1" s="41"/>
      <c r="AJ1" s="41"/>
      <c r="AK1" s="41"/>
      <c r="AL1" s="41"/>
      <c r="AM1" s="41"/>
      <c r="AN1" s="41"/>
      <c r="AO1" s="41"/>
      <c r="AP1" s="41"/>
      <c r="AQ1" s="41"/>
      <c r="AR1" s="41"/>
      <c r="AS1" s="41"/>
      <c r="AT1" s="41"/>
      <c r="AU1" s="41"/>
      <c r="AV1" s="41"/>
      <c r="AW1" s="41"/>
      <c r="AX1" s="41"/>
      <c r="AY1" s="41"/>
      <c r="AZ1" s="41"/>
      <c r="BA1" s="41"/>
      <c r="BB1" s="41"/>
      <c r="BC1" s="41"/>
      <c r="BD1" s="41"/>
      <c r="BE1" s="41"/>
      <c r="BF1" s="41"/>
      <c r="BG1" s="41"/>
      <c r="BH1" s="41"/>
      <c r="BI1" s="41"/>
      <c r="BJ1" s="41"/>
      <c r="BK1" s="41"/>
      <c r="BL1" s="41"/>
      <c r="BM1" s="41"/>
      <c r="BN1" s="41"/>
      <c r="BO1" s="41"/>
      <c r="BP1" s="41"/>
      <c r="BQ1" s="41"/>
      <c r="BR1" s="41"/>
      <c r="BS1" s="41"/>
      <c r="BT1" s="41"/>
      <c r="BU1" s="41"/>
      <c r="BV1" s="41"/>
      <c r="BW1" s="41"/>
      <c r="BX1" s="41"/>
      <c r="BY1" s="41"/>
      <c r="BZ1" s="41"/>
      <c r="CA1" s="41"/>
      <c r="CB1" s="41"/>
      <c r="CC1" s="41"/>
      <c r="CD1" s="41"/>
      <c r="CE1" s="41"/>
      <c r="CF1" s="41"/>
      <c r="CG1" s="41"/>
      <c r="CH1" s="41"/>
      <c r="CI1" s="41"/>
      <c r="CJ1" s="41"/>
      <c r="CK1" s="41"/>
      <c r="CL1" s="41"/>
      <c r="CM1" s="41"/>
      <c r="CN1" s="41"/>
      <c r="CO1" s="41"/>
      <c r="CP1" s="41"/>
      <c r="CQ1" s="41"/>
      <c r="CR1" s="41"/>
      <c r="CS1" s="41"/>
      <c r="CT1" s="41"/>
      <c r="CU1" s="41"/>
      <c r="CV1" s="41"/>
      <c r="CW1" s="41"/>
      <c r="CX1" s="41"/>
      <c r="CY1" s="41"/>
      <c r="CZ1" s="41"/>
    </row>
    <row r="2" collapsed="1">
      <c r="A2" s="92" t="s">
        <v>579</v>
      </c>
      <c r="D2" s="92" t="s">
        <v>5</v>
      </c>
      <c r="E2" s="92" t="s">
        <v>391</v>
      </c>
      <c r="F2" s="92" t="s">
        <v>580</v>
      </c>
      <c r="G2" s="92" t="s">
        <v>581</v>
      </c>
      <c r="H2" s="92" t="s">
        <v>7</v>
      </c>
      <c r="I2" s="95" t="s">
        <v>392</v>
      </c>
      <c r="J2" s="96" t="s">
        <v>582</v>
      </c>
      <c r="K2" s="77"/>
      <c r="L2" s="41"/>
      <c r="M2" s="41"/>
      <c r="N2" s="41"/>
      <c r="O2" s="41"/>
      <c r="P2" s="41"/>
      <c r="Q2" s="41"/>
      <c r="R2" s="41"/>
      <c r="S2" s="41"/>
      <c r="T2" s="41"/>
      <c r="U2" s="41"/>
      <c r="V2" s="41"/>
      <c r="W2" s="41"/>
      <c r="X2" s="41"/>
      <c r="Y2" s="41"/>
      <c r="Z2" s="41"/>
      <c r="AA2" s="41"/>
      <c r="AB2" s="41"/>
      <c r="AC2" s="41"/>
      <c r="AD2" s="41"/>
      <c r="AE2" s="41"/>
      <c r="AF2" s="41"/>
      <c r="AG2" s="41"/>
      <c r="AH2" s="41"/>
      <c r="AI2" s="41"/>
      <c r="AJ2" s="41"/>
      <c r="AK2" s="41"/>
      <c r="AL2" s="41"/>
      <c r="AM2" s="41"/>
      <c r="AN2" s="41"/>
      <c r="AO2" s="41"/>
      <c r="AP2" s="41"/>
      <c r="AQ2" s="41"/>
      <c r="AR2" s="41"/>
      <c r="AS2" s="41"/>
      <c r="AT2" s="41"/>
      <c r="AU2" s="41"/>
      <c r="AV2" s="41"/>
      <c r="AW2" s="41"/>
      <c r="AX2" s="41"/>
      <c r="AY2" s="41"/>
      <c r="AZ2" s="41"/>
      <c r="BA2" s="41"/>
      <c r="BB2" s="41"/>
      <c r="BC2" s="41"/>
      <c r="BD2" s="41"/>
      <c r="BE2" s="41"/>
      <c r="BF2" s="41"/>
      <c r="BG2" s="41"/>
      <c r="BH2" s="41"/>
      <c r="BI2" s="41"/>
      <c r="BJ2" s="41"/>
      <c r="BK2" s="41"/>
      <c r="BL2" s="41"/>
      <c r="BM2" s="41"/>
      <c r="BN2" s="41"/>
      <c r="BO2" s="41"/>
      <c r="BP2" s="41"/>
      <c r="BQ2" s="41"/>
      <c r="BR2" s="41"/>
      <c r="BS2" s="41"/>
      <c r="BT2" s="41"/>
      <c r="BU2" s="41"/>
      <c r="BV2" s="41"/>
      <c r="BW2" s="41"/>
      <c r="BX2" s="41"/>
      <c r="BY2" s="41"/>
      <c r="BZ2" s="41"/>
      <c r="CA2" s="41"/>
      <c r="CB2" s="41"/>
      <c r="CC2" s="41"/>
      <c r="CD2" s="41"/>
      <c r="CE2" s="41"/>
      <c r="CF2" s="41"/>
      <c r="CG2" s="41"/>
      <c r="CH2" s="41"/>
      <c r="CI2" s="41"/>
      <c r="CJ2" s="41"/>
      <c r="CK2" s="41"/>
      <c r="CL2" s="41"/>
      <c r="CM2" s="41"/>
      <c r="CN2" s="41"/>
      <c r="CO2" s="41"/>
      <c r="CP2" s="41"/>
      <c r="CQ2" s="41"/>
      <c r="CR2" s="41"/>
      <c r="CS2" s="41"/>
      <c r="CT2" s="41"/>
      <c r="CU2" s="41"/>
      <c r="CV2" s="41"/>
      <c r="CW2" s="41"/>
      <c r="CX2" s="41"/>
      <c r="CY2" s="41"/>
      <c r="CZ2" s="41"/>
    </row>
    <row r="3" hidden="1" outlineLevel="1">
      <c r="A3" s="97"/>
      <c r="B3" s="98"/>
      <c r="C3" s="98"/>
      <c r="D3" s="82"/>
      <c r="E3" s="99"/>
      <c r="F3" s="100"/>
      <c r="G3" s="100"/>
      <c r="H3" s="101" t="s">
        <v>583</v>
      </c>
      <c r="I3" s="102"/>
      <c r="J3" s="103"/>
    </row>
    <row r="4" hidden="1" outlineLevel="1">
      <c r="A4" s="104"/>
      <c r="B4" s="105"/>
      <c r="C4" s="105"/>
      <c r="D4" s="106"/>
      <c r="E4" s="107"/>
      <c r="F4" s="108"/>
      <c r="G4" s="100"/>
      <c r="H4" s="82" t="s">
        <v>584</v>
      </c>
      <c r="I4" s="109"/>
      <c r="J4" s="110"/>
      <c r="K4" s="66"/>
      <c r="L4" s="66"/>
    </row>
    <row r="5" hidden="1" outlineLevel="1">
      <c r="A5" s="97"/>
      <c r="B5" s="98"/>
      <c r="C5" s="98"/>
      <c r="D5" s="82"/>
      <c r="E5" s="99"/>
      <c r="F5" s="100"/>
      <c r="G5" s="108"/>
      <c r="H5" s="106"/>
      <c r="I5" s="111"/>
      <c r="J5" s="103"/>
      <c r="K5" s="112"/>
      <c r="L5" s="112"/>
    </row>
    <row r="6" hidden="1" outlineLevel="1">
      <c r="A6" s="97"/>
      <c r="B6" s="98"/>
      <c r="C6" s="98"/>
      <c r="D6" s="82"/>
      <c r="E6" s="99"/>
      <c r="F6" s="100"/>
      <c r="G6" s="100"/>
      <c r="H6" s="113" t="s">
        <v>585</v>
      </c>
      <c r="I6" s="109"/>
      <c r="J6" s="103"/>
      <c r="K6" s="66"/>
      <c r="L6" s="66"/>
    </row>
    <row r="7" hidden="1" outlineLevel="1">
      <c r="A7" s="104"/>
      <c r="B7" s="105"/>
      <c r="C7" s="105"/>
      <c r="D7" s="106"/>
      <c r="E7" s="107"/>
      <c r="F7" s="108"/>
      <c r="G7" s="100"/>
      <c r="H7" s="82" t="s">
        <v>586</v>
      </c>
      <c r="I7" s="102"/>
      <c r="J7" s="110"/>
      <c r="L7" s="112"/>
    </row>
    <row r="8" hidden="1" outlineLevel="1">
      <c r="A8" s="104"/>
      <c r="B8" s="105"/>
      <c r="C8" s="105"/>
      <c r="D8" s="106"/>
      <c r="E8" s="107"/>
      <c r="F8" s="100"/>
      <c r="G8" s="100"/>
      <c r="H8" s="82"/>
      <c r="I8" s="102"/>
      <c r="J8" s="114"/>
      <c r="L8" s="66"/>
    </row>
    <row r="9">
      <c r="A9" s="115" t="str">
        <f>concatenate("Hello and welcome to ",$G$1,"
Your role is ")</f>
        <v xml:space="preserve">Hello and welcome to XXX Mafia # - 
Your role is</v>
      </c>
      <c r="B9" s="115" t="s">
        <v>587</v>
      </c>
      <c r="C9" s="115" t="s">
        <v>588</v>
      </c>
      <c r="D9" s="82" t="s">
        <v>589</v>
      </c>
      <c r="E9" s="99" t="s">
        <v>403</v>
      </c>
      <c r="F9" s="100" t="str">
        <f t="shared" ref="F9:F18" si="7">concatenate(IF(D9="Town","[color=#00ff00]",if(D9="Mafia","[color=red]",if(D9="3rd party","[color=#8e7cc3]",if(D9="Modifier","[color=ff9900]",if(D9="Yakuza","[color=ffff00]",if(D9="KGB","[color=cyan]","[color=magenta]")))))),H9,"[/color] - ",I9)</f>
        <v xml:space="preserve">[color=#00ff00]#NAME?[/color] - An Absorber passively and reflexively copies all active abilities that target them. The Absorber can then use the "absorbed" abilities on subsequent nights (but only one ability per night). If the absorber is targeted by a JoAT or similar, it will only absorb the ability actively in use that night, not all the possible abilities. Each ability learned will be a one-shot action (a failed attempt does not count against the limit). The absorber is affected normally by the actions that target it.</v>
      </c>
      <c r="G9" s="116" t="str">
        <f t="shared" ref="G9:G18" si="8">concatenate(IF(D9="Town","[color=#00ff00]",if(D9="Mafia","[color=red]",if(D9="3rd party","[color=#8e7cc3]",if(D9="Modifier","[color=ff9900]",if(D9="Yakuza","[color=ffff00]",if(D9="KGB","[color=cyan]","[color=magenta]")))))),H9,"[/color]")</f>
        <v>[color=#00ff00]#NAME?[/color]</v>
      </c>
      <c r="H9" s="117" t="str">
        <f>split(substitute(E9," - ","~!@^&amp;*#",1),"~!@^&amp;*#",false)"),"Absorber</f>
        <v>#NAME?</v>
      </c>
      <c r="I9" s="106" t="str">
        <f>"COMPUTED_VALUE""),"An Absorber passively and reflexively copies all active abilities that target them. The Absorber can then use the "absorbed" abilities on subsequent nights (but only one ability per night). If the absorber is targeted by a JoAT or similar, it will only "&amp;"absorb the ability actively in use that night, not all the possible abilities. Each ability learned will be a one-shot action (a failed attempt does not count against the limit). The absorber is affected normally by the actions that target it.</f>
        <v xml:space="preserve">An Absorber passively and reflexively copies all active abilities that target them. The Absorber can then use the "absorbed" abilities on subsequent nights (but only one ability per night). If the absorber is targeted by a JoAT or similar, it will only absorb the ability actively in use that night, not all the possible abilities. Each ability learned will be a one-shot action (a failed attempt does not count against the limit). The absorber is affected normally by the actions that target it.</v>
      </c>
      <c r="J9" s="103" t="str">
        <f t="shared" ref="J9:J18" si="9">CONCATENATE($A$9,G9,$B$9,F9,$C$9)</f>
        <v xml:space="preserve">Hello and welcome to XXX Mafia # - 
Your role is[color=#00ff00]#NAME?[/color].
[color=#00ff00]#NAME?[/color] - An Absorber passively and reflexively copies all active abilities that target them. The Absorber can then use the "absorbed" abilities on subsequent nights (but only one ability per night). If the absorber is targeted by a JoAT or similar, it will only absorb the ability actively in use that night, not all the possible abilities. Each ability learned will be a one-shot action (a failed attempt does not count against the limit). The absorber is affected normally by the actions that target it.
Feel free to ask any questions about your role or the game itself.
Good luck and have fun!</v>
      </c>
      <c r="K9" s="118"/>
    </row>
    <row r="10">
      <c r="A10" s="119"/>
      <c r="B10" s="120"/>
      <c r="C10" s="120"/>
      <c r="D10" s="82" t="s">
        <v>589</v>
      </c>
      <c r="E10" s="99" t="s">
        <v>404</v>
      </c>
      <c r="F10" s="100" t="str">
        <f t="shared" si="7"/>
        <v xml:space="preserve">[color=#00ff00]#NAME?[/color] - An Amnesiac can take over the role of any dead town member, but can only use this action once. However, it CAN take over the role of another dead town Amnesiac. This is not a visiting role.</v>
      </c>
      <c r="G10" s="116" t="str">
        <f t="shared" si="8"/>
        <v>[color=#00ff00]#NAME?[/color]</v>
      </c>
      <c r="H10" s="117" t="str">
        <f>split(substitute(E10," - ","~!@^&amp;*#",1),"~!@^&amp;*#",false)"),"Amnesiac</f>
        <v>#NAME?</v>
      </c>
      <c r="I10" s="106" t="str">
        <f>"COMPUTED_VALUE""),"An Amnesiac can take over the role of any dead town member, but can only use this action once. However, it CAN take over the role of another dead town Amnesiac. This is not a visiting role.</f>
        <v xml:space="preserve">An Amnesiac can take over the role of any dead town member, but can only use this action once. However, it CAN take over the role of another dead town Amnesiac. This is not a visiting role.</v>
      </c>
      <c r="J10" s="103" t="str">
        <f t="shared" si="9"/>
        <v xml:space="preserve">Hello and welcome to XXX Mafia # - 
Your role is[color=#00ff00]#NAME?[/color].
[color=#00ff00]#NAME?[/color] - An Amnesiac can take over the role of any dead town member, but can only use this action once. However, it CAN take over the role of another dead town Amnesiac. This is not a visiting role.
Feel free to ask any questions about your role or the game itself.
Good luck and have fun!</v>
      </c>
    </row>
    <row r="11">
      <c r="A11" s="119"/>
      <c r="B11" s="120"/>
      <c r="C11" s="120"/>
      <c r="D11" s="82" t="s">
        <v>589</v>
      </c>
      <c r="E11" s="99" t="s">
        <v>405</v>
      </c>
      <c r="F11" s="100" t="str">
        <f t="shared" si="7"/>
        <v xml:space="preserve">[color=#00ff00]#NAME?[/color] - An Apprentice targets one player each night and learns that player's ability. The Apprentice then can use its learned ability on subsequent nights, but only one ability per night. When using the ability, the Apprentice will NOT learn a new one. The Apprentice can only learn active abilities and the learned ability will be a one-shot action (where a failed attempt does not count against this limit). If the Apprentice targets a player that has more than one action, such as a JoAT, it will only learn the action that player is actively using that night. This is a visiting role.</v>
      </c>
      <c r="G11" s="116" t="str">
        <f t="shared" si="8"/>
        <v>[color=#00ff00]#NAME?[/color]</v>
      </c>
      <c r="H11" s="117" t="str">
        <f>split(substitute(E11," - ","~!@^&amp;*#",1),"~!@^&amp;*#",false)"),"Apprentice</f>
        <v>#NAME?</v>
      </c>
      <c r="I11" s="106" t="str">
        <f>"COMPUTED_VALUE""),"An Apprentice targets one player each night and learns that player's ability. The Apprentice then can use its learned ability on subsequent nights, but only one ability per night. When using the ability, the Apprentice will NOT learn a new one. The Appren"&amp;"tice can only learn active abilities and the learned ability will be a one-shot action (where a failed attempt does not count against this limit). If the Apprentice targets a player that has more than one action, such as a JoAT, it will only learn the act"&amp;"ion that player is actively using that night. This is a visiting role.</f>
        <v xml:space="preserve">An Apprentice targets one player each night and learns that player's ability. The Apprentice then can use its learned ability on subsequent nights, but only one ability per night. When using the ability, the Apprentice will NOT learn a new one. The Apprentice can only learn active abilities and the learned ability will be a one-shot action (where a failed attempt does not count against this limit). If the Apprentice targets a player that has more than one action, such as a JoAT, it will only learn the action that player is actively using that night. This is a visiting role.</v>
      </c>
      <c r="J11" s="103" t="str">
        <f t="shared" si="9"/>
        <v xml:space="preserve">Hello and welcome to XXX Mafia # - 
Your role is[color=#00ff00]#NAME?[/color].
[color=#00ff00]#NAME?[/color] - An Apprentice targets one player each night and learns that player's ability. The Apprentice then can use its learned ability on subsequent nights, but only one ability per night. When using the ability, the Apprentice will NOT learn a new one. The Apprentice can only learn active abilities and the learned ability will be a one-shot action (where a failed attempt does not count against this limit). If the Apprentice targets a player that has more than one action, such as a JoAT, it will only learn the action that player is actively using that night. This is a visiting role.
Feel free to ask any questions about your role or the game itself.
Good luck and have fun!</v>
      </c>
    </row>
    <row r="12">
      <c r="A12" s="119"/>
      <c r="B12" s="120"/>
      <c r="C12" s="120"/>
      <c r="D12" s="82" t="s">
        <v>589</v>
      </c>
      <c r="E12" s="99" t="s">
        <v>406</v>
      </c>
      <c r="F12" s="100" t="str">
        <f t="shared" si="7"/>
        <v xml:space="preserve">[color=#00ff00]#NAME?[/color] - An Armourer can give out a total of three shields during the game, including one shield to itself (and a failed attempt does not count against this limit). The shields are given out as an item and the targeted player can then choose when to use their shield. They will forfeit their night action when equipping the shield and it cannot be given out to another person. All actions targeting the shielded player will rebound onto the original player using that action. The shield will break after it is used. Shields do not stack. The player targeted by the Armourer will know it received a shield, but not the Armourer’s identity. The Armourer does not carry a gun. This is a visiting role.</v>
      </c>
      <c r="G12" s="116" t="str">
        <f t="shared" si="8"/>
        <v>[color=#00ff00]#NAME?[/color]</v>
      </c>
      <c r="H12" s="117" t="str">
        <f>split(substitute(E12," - ","~!@^&amp;*#",1),"~!@^&amp;*#",false)"),"Armourer</f>
        <v>#NAME?</v>
      </c>
      <c r="I12" s="106" t="str">
        <f>"COMPUTED_VALUE""),"An Armourer can give out a total of three shields during the game, including one shield to itself (and a failed attempt does not count against this limit). The shields are given out as an item and the targeted player can then choose when to use their shie"&amp;"ld. They will forfeit their night action when equipping the shield and it cannot be given out to another person. All actions targeting the shielded player will rebound onto the original player using that action. The shield will break after it is used. Shi"&amp;"elds do not stack. The player targeted by the Armourer will know it received a shield, but not the Armourer’s identity. The Armourer does not carry a gun. This is a visiting role.</f>
        <v xml:space="preserve">An Armourer can give out a total of three shields during the game, including one shield to itself (and a failed attempt does not count against this limit). The shields are given out as an item and the targeted player can then choose when to use their shield. They will forfeit their night action when equipping the shield and it cannot be given out to another person. All actions targeting the shielded player will rebound onto the original player using that action. The shield will break after it is used. Shields do not stack. The player targeted by the Armourer will know it received a shield, but not the Armourer’s identity. The Armourer does not carry a gun. This is a visiting role.</v>
      </c>
      <c r="J12" s="103" t="str">
        <f t="shared" si="9"/>
        <v xml:space="preserve">Hello and welcome to XXX Mafia # - 
Your role is[color=#00ff00]#NAME?[/color].
[color=#00ff00]#NAME?[/color] - An Armourer can give out a total of three shields during the game, including one shield to itself (and a failed attempt does not count against this limit). The shields are given out as an item and the targeted player can then choose when to use their shield. They will forfeit their night action when equipping the shield and it cannot be given out to another person. All actions targeting the shielded player will rebound onto the original player using that action. The shield will break after it is used. Shields do not stack. The player targeted by the Armourer will know it received a shield, but not the Armourer’s identity. The Armourer does not carry a gun. This is a visiting role.
Feel free to ask any questions about your role or the game itself.
Good luck and have fun!</v>
      </c>
    </row>
    <row r="13">
      <c r="A13" s="119"/>
      <c r="B13" s="120"/>
      <c r="C13" s="120"/>
      <c r="D13" s="82" t="s">
        <v>589</v>
      </c>
      <c r="E13" s="99" t="s">
        <v>407</v>
      </c>
      <c r="F13" s="100" t="str">
        <f t="shared" si="7"/>
        <v xml:space="preserve">[color=#00ff00]#NAME?[/color] - An Arms Dealer can give out a total of three guns during the game, including one gun to itself (and a failed attempt does not count against this limit). The gun allows the player to perform a one-shot kill on subsequent nights and it will be lost after its use. Players that have received a gun and haven't performed the one-shot kill action yet will be seen as gun holders until after they use it. The Arms Dealer carries a gun regardless of whether it has given itself one or if it has no guns left to give out. It cannot give more than one gun to the same player. This is a visiting role.</v>
      </c>
      <c r="G13" s="116" t="str">
        <f t="shared" si="8"/>
        <v>[color=#00ff00]#NAME?[/color]</v>
      </c>
      <c r="H13" s="117" t="str">
        <f>split(substitute(E13," - ","~!@^&amp;*#",1),"~!@^&amp;*#",false)"),"Arms Dealer</f>
        <v>#NAME?</v>
      </c>
      <c r="I13" s="106" t="str">
        <f>"COMPUTED_VALUE""),"An Arms Dealer can give out a total of three guns during the game, including one gun to itself (and a failed attempt does not count against this limit). The gun allows the player to perform a one-shot kill on subsequent nights and it will be lost after it"&amp;"s use. Players that have received a gun and haven't performed the one-shot kill action yet will be seen as gun holders until after they use it. The Arms Dealer carries a gun regardless of whether it has given itself one or if it has no guns left to give o"&amp;"ut. It cannot give more than one gun to the same player. This is a visiting role.</f>
        <v xml:space="preserve">An Arms Dealer can give out a total of three guns during the game, including one gun to itself (and a failed attempt does not count against this limit). The gun allows the player to perform a one-shot kill on subsequent nights and it will be lost after its use. Players that have received a gun and haven't performed the one-shot kill action yet will be seen as gun holders until after they use it. The Arms Dealer carries a gun regardless of whether it has given itself one or if it has no guns left to give out. It cannot give more than one gun to the same player. This is a visiting role.</v>
      </c>
      <c r="J13" s="103" t="str">
        <f t="shared" si="9"/>
        <v xml:space="preserve">Hello and welcome to XXX Mafia # - 
Your role is[color=#00ff00]#NAME?[/color].
[color=#00ff00]#NAME?[/color] - An Arms Dealer can give out a total of three guns during the game, including one gun to itself (and a failed attempt does not count against this limit). The gun allows the player to perform a one-shot kill on subsequent nights and it will be lost after its use. Players that have received a gun and haven't performed the one-shot kill action yet will be seen as gun holders until after they use it. The Arms Dealer carries a gun regardless of whether it has given itself one or if it has no guns left to give out. It cannot give more than one gun to the same player. This is a visiting role.
Feel free to ask any questions about your role or the game itself.
Good luck and have fun!</v>
      </c>
    </row>
    <row r="14">
      <c r="A14" s="119"/>
      <c r="B14" s="120"/>
      <c r="C14" s="120"/>
      <c r="D14" s="82" t="s">
        <v>589</v>
      </c>
      <c r="E14" s="99" t="s">
        <v>408</v>
      </c>
      <c r="F14" s="100" t="str">
        <f t="shared" si="7"/>
        <v xml:space="preserve">[color=#00ff00]#NAME?[/color] - An Authenticator targets one player each night and will verify if any items that the target was given by another player and which are still in its possession are real or fabricated. Both parties will be notified of the verification and, if any item is fabricated, it will be disposed of. The Authenticator does not carry a gun. This is a visiting role.</v>
      </c>
      <c r="G14" s="116" t="str">
        <f t="shared" si="8"/>
        <v>[color=#00ff00]#NAME?[/color]</v>
      </c>
      <c r="H14" s="117" t="str">
        <f>split(substitute(E14," - ","~!@^&amp;*#",1),"~!@^&amp;*#",false)"),"Authenticator</f>
        <v>#NAME?</v>
      </c>
      <c r="I14" s="106" t="str">
        <f>"COMPUTED_VALUE""),"An Authenticator targets one player each night and will verify if any items that the target was given by another player and which are still in its possession are real or fabricated. Both parties will be notified of the verification and, if any item is fab"&amp;"ricated, it will be disposed of. The Authenticator does not carry a gun. This is a visiting role.</f>
        <v xml:space="preserve">An Authenticator targets one player each night and will verify if any items that the target was given by another player and which are still in its possession are real or fabricated. Both parties will be notified of the verification and, if any item is fabricated, it will be disposed of. The Authenticator does not carry a gun. This is a visiting role.</v>
      </c>
      <c r="J14" s="103" t="str">
        <f t="shared" si="9"/>
        <v xml:space="preserve">Hello and welcome to XXX Mafia # - 
Your role is[color=#00ff00]#NAME?[/color].
[color=#00ff00]#NAME?[/color] - An Authenticator targets one player each night and will verify if any items that the target was given by another player and which are still in its possession are real or fabricated. Both parties will be notified of the verification and, if any item is fabricated, it will be disposed of. The Authenticator does not carry a gun. This is a visiting role.
Feel free to ask any questions about your role or the game itself.
Good luck and have fun!</v>
      </c>
    </row>
    <row r="15">
      <c r="A15" s="119"/>
      <c r="B15" s="120"/>
      <c r="C15" s="120"/>
      <c r="D15" s="82" t="s">
        <v>589</v>
      </c>
      <c r="E15" s="99" t="s">
        <v>409</v>
      </c>
      <c r="F15" s="100" t="str">
        <f t="shared" si="7"/>
        <v xml:space="preserve">[color=#00ff00]#NAME?[/color] - A Babysitter targets a player at night to protect them. However, if the Babysitter is killed that night, both the Babysitter and its target will die. The Babysitter cannot babysit themselves. This is a visiting role.</v>
      </c>
      <c r="G15" s="116" t="str">
        <f t="shared" si="8"/>
        <v>[color=#00ff00]#NAME?[/color]</v>
      </c>
      <c r="H15" s="117" t="str">
        <f>split(substitute(E15," - ","~!@^&amp;*#",1),"~!@^&amp;*#",false)"),"Babysitter</f>
        <v>#NAME?</v>
      </c>
      <c r="I15" s="106" t="str">
        <f>"COMPUTED_VALUE""),"A Babysitter targets a player at night to protect them. However, if the Babysitter is killed that night, both the Babysitter and its target will die. The Babysitter cannot babysit themselves. This is a visiting role.</f>
        <v xml:space="preserve">A Babysitter targets a player at night to protect them. However, if the Babysitter is killed that night, both the Babysitter and its target will die. The Babysitter cannot babysit themselves. This is a visiting role.</v>
      </c>
      <c r="J15" s="103" t="str">
        <f t="shared" si="9"/>
        <v xml:space="preserve">Hello and welcome to XXX Mafia # - 
Your role is[color=#00ff00]#NAME?[/color].
[color=#00ff00]#NAME?[/color] - A Babysitter targets a player at night to protect them. However, if the Babysitter is killed that night, both the Babysitter and its target will die. The Babysitter cannot babysit themselves. This is a visiting role.
Feel free to ask any questions about your role or the game itself.
Good luck and have fun!</v>
      </c>
    </row>
    <row r="16">
      <c r="A16" s="119"/>
      <c r="B16" s="120"/>
      <c r="C16" s="120"/>
      <c r="D16" s="82" t="s">
        <v>589</v>
      </c>
      <c r="E16" s="99" t="s">
        <v>410</v>
      </c>
      <c r="F16" s="100" t="str">
        <f t="shared" si="7"/>
        <v xml:space="preserve">[color=#00ff00]#NAME?[/color] - Batman chooses one player to watch, track AND sane cop each night. Batman appears guilty to investigative roles and cannot be tracked (but can still be watched). Detective investigations fail. Batman carries a [bat]gun. This is a visiting role</v>
      </c>
      <c r="G16" s="116" t="str">
        <f t="shared" si="8"/>
        <v>[color=#00ff00]#NAME?[/color]</v>
      </c>
      <c r="H16" s="117" t="str">
        <f>split(substitute(E16," - ","~!@^&amp;*#",1),"~!@^&amp;*#",false)"),"Batman</f>
        <v>#NAME?</v>
      </c>
      <c r="I16" s="106" t="str">
        <f>"COMPUTED_VALUE""),"Batman chooses one player to watch, track AND sane cop each night. Batman appears guilty to investigative roles and cannot be tracked (but can still be watched). Detective investigations fail. Batman carries a [bat]gun. This is a visiting role</f>
        <v xml:space="preserve">Batman chooses one player to watch, track AND sane cop each night. Batman appears guilty to investigative roles and cannot be tracked (but can still be watched). Detective investigations fail. Batman carries a [bat]gun. This is a visiting role</v>
      </c>
      <c r="J16" s="103" t="str">
        <f t="shared" si="9"/>
        <v xml:space="preserve">Hello and welcome to XXX Mafia # - 
Your role is[color=#00ff00]#NAME?[/color].
[color=#00ff00]#NAME?[/color] - Batman chooses one player to watch, track AND sane cop each night. Batman appears guilty to investigative roles and cannot be tracked (but can still be watched). Detective investigations fail. Batman carries a [bat]gun. This is a visiting role
Feel free to ask any questions about your role or the game itself.
Good luck and have fun!</v>
      </c>
    </row>
    <row r="17">
      <c r="A17" s="119"/>
      <c r="B17" s="120"/>
      <c r="C17" s="120"/>
      <c r="D17" s="82" t="s">
        <v>589</v>
      </c>
      <c r="E17" s="99" t="s">
        <v>411</v>
      </c>
      <c r="F17" s="100" t="str">
        <f t="shared" si="7"/>
        <v xml:space="preserve">[color=#00ff00]#NAME?[/color] - A Bear Trapper may perform a Roleblock OR Track action each night. This is a visiting role.</v>
      </c>
      <c r="G17" s="116" t="str">
        <f t="shared" si="8"/>
        <v>[color=#00ff00]#NAME?[/color]</v>
      </c>
      <c r="H17" s="117" t="str">
        <f>split(substitute(E17," - ","~!@^&amp;*#",1),"~!@^&amp;*#",false)"),"Bear Trapper</f>
        <v>#NAME?</v>
      </c>
      <c r="I17" s="106" t="str">
        <f>"COMPUTED_VALUE""),"A Bear Trapper may perform a Roleblock OR Track action each night. This is a visiting role.</f>
        <v xml:space="preserve">A Bear Trapper may perform a Roleblock OR Track action each night. This is a visiting role.</v>
      </c>
      <c r="J17" s="103" t="str">
        <f t="shared" si="9"/>
        <v xml:space="preserve">Hello and welcome to XXX Mafia # - 
Your role is[color=#00ff00]#NAME?[/color].
[color=#00ff00]#NAME?[/color] - A Bear Trapper may perform a Roleblock OR Track action each night. This is a visiting role.
Feel free to ask any questions about your role or the game itself.
Good luck and have fun!</v>
      </c>
    </row>
    <row r="18">
      <c r="A18" s="119"/>
      <c r="B18" s="120"/>
      <c r="C18" s="120"/>
      <c r="D18" s="82" t="s">
        <v>589</v>
      </c>
      <c r="E18" s="99" t="s">
        <v>412</v>
      </c>
      <c r="F18" s="100" t="str">
        <f t="shared" si="7"/>
        <v xml:space="preserve">[color=#00ff00]#NAME?[/color] - A Blacksmith visits one player each night. That player is automatically equipped with a vest. The vest allows the recipient to survive one shot or one stab, but will not protect against bombs. The Blacksmith is allowed to give itself a vest once. Vests do not stack. This is a visiting role.</v>
      </c>
      <c r="G18" s="116" t="str">
        <f t="shared" si="8"/>
        <v>[color=#00ff00]#NAME?[/color]</v>
      </c>
      <c r="H18" s="117" t="str">
        <f>split(substitute(E18," - ","~!@^&amp;*#",1),"~!@^&amp;*#",false)"),"Blacksmith</f>
        <v>#NAME?</v>
      </c>
      <c r="I18" s="106" t="str">
        <f>"COMPUTED_VALUE""),"A Blacksmith visits one player each night. That player is automatically equipped with a vest. The vest allows the recipient to survive one shot or one stab, but will not protect against bombs. The Blacksmith is allowed to give itself a vest once. Vests do"&amp;" not stack. This is a visiting role.</f>
        <v xml:space="preserve">A Blacksmith visits one player each night. That player is automatically equipped with a vest. The vest allows the recipient to survive one shot or one stab, but will not protect against bombs. The Blacksmith is allowed to give itself a vest once. Vests do not stack. This is a visiting role.</v>
      </c>
      <c r="J18" s="103" t="str">
        <f t="shared" si="9"/>
        <v xml:space="preserve">Hello and welcome to XXX Mafia # - 
Your role is[color=#00ff00]#NAME?[/color].
[color=#00ff00]#NAME?[/color] - A Blacksmith visits one player each night. That player is automatically equipped with a vest. The vest allows the recipient to survive one shot or one stab, but will not protect against bombs. The Blacksmith is allowed to give itself a vest once. Vests do not stack. This is a visiting role.
Feel free to ask any questions about your role or the game itself.
Good luck and have fun!</v>
      </c>
    </row>
    <row r="19">
      <c r="A19" s="119"/>
      <c r="B19" s="120"/>
      <c r="C19" s="120"/>
      <c r="H19" s="121"/>
      <c r="I19" s="82" t="s">
        <v>413</v>
      </c>
      <c r="J19" s="110"/>
    </row>
    <row r="20">
      <c r="A20" s="119"/>
      <c r="B20" s="120"/>
      <c r="C20" s="120"/>
      <c r="D20" s="82" t="s">
        <v>589</v>
      </c>
      <c r="E20" s="99" t="s">
        <v>414</v>
      </c>
      <c r="F20" s="100" t="str">
        <f t="shared" ref="F20:F83" si="10">concatenate(IF(D20="Town","[color=#00ff00]",if(D20="Mafia","[color=red]",if(D20="3rd party","[color=#8e7cc3]",if(D20="Modifier","[color=ff9900]",if(D20="Yakuza","[color=ffff00]",if(D20="KGB","[color=cyan]","[color=magenta]")))))),H20,"[/color] - ",I20)</f>
        <v xml:space="preserve">[color=#00ff00]#NAME?[/color] - A Bus Driver selects two targets at night to drive around. Actions directed at one of the targets will go to the other instead and vice versa. Targets will know they were transported, but not who they were swapped with. This is not a visiting role.</v>
      </c>
      <c r="G20" s="116" t="str">
        <f t="shared" ref="G20:G83" si="11">concatenate(IF(D20="Town","[color=#00ff00]",if(D20="Mafia","[color=red]",if(D20="3rd party","[color=#8e7cc3]",if(D20="Modifier","[color=ff9900]",if(D20="Yakuza","[color=ffff00]",if(D20="KGB","[color=cyan]","[color=magenta]")))))),H20,"[/color]")</f>
        <v>[color=#00ff00]#NAME?[/color]</v>
      </c>
      <c r="H20" s="117" t="str">
        <f>split(substitute(E20," - ","~!@^&amp;*#",1),"~!@^&amp;*#",false)"),"Bus Driver</f>
        <v>#NAME?</v>
      </c>
      <c r="I20" s="106" t="str">
        <f>"COMPUTED_VALUE""),"A Bus Driver selects two targets at night to drive around. Actions directed at one of the targets will go to the other instead and vice versa. Targets will know they were transported, but not who they were swapped with. This is not a visiting role.</f>
        <v xml:space="preserve">A Bus Driver selects two targets at night to drive around. Actions directed at one of the targets will go to the other instead and vice versa. Targets will know they were transported, but not who they were swapped with. This is not a visiting role.</v>
      </c>
      <c r="J20" s="103" t="str">
        <f t="shared" ref="J20:J83" si="12">CONCATENATE($A$9,G20,$B$9,F20,$C$9)</f>
        <v xml:space="preserve">Hello and welcome to XXX Mafia # - 
Your role is[color=#00ff00]#NAME?[/color].
[color=#00ff00]#NAME?[/color] - A Bus Driver selects two targets at night to drive around. Actions directed at one of the targets will go to the other instead and vice versa. Targets will know they were transported, but not who they were swapped with. This is not a visiting role.
Feel free to ask any questions about your role or the game itself.
Good luck and have fun!</v>
      </c>
    </row>
    <row r="21">
      <c r="A21" s="119"/>
      <c r="B21" s="120"/>
      <c r="C21" s="120"/>
      <c r="D21" s="82" t="s">
        <v>589</v>
      </c>
      <c r="E21" s="99" t="s">
        <v>415</v>
      </c>
      <c r="F21" s="100" t="str">
        <f t="shared" si="10"/>
        <v xml:space="preserve">[color=#00ff00]#NAME?[/color] - A Cloak chooses one player at night to cloak. Anybody they cloak is unblockable and invisible to tracking/watching/following/voyeuring (i.e. those actions simply do not detect the cloaked player and its actions). This is NOT a visiting role.</v>
      </c>
      <c r="G21" s="116" t="str">
        <f t="shared" si="11"/>
        <v>[color=#00ff00]#NAME?[/color]</v>
      </c>
      <c r="H21" s="117" t="str">
        <f>split(substitute(E21," - ","~!@^&amp;*#",1),"~!@^&amp;*#",false)"),"Cloak</f>
        <v>#NAME?</v>
      </c>
      <c r="I21" s="106" t="str">
        <f>"COMPUTED_VALUE""),"A Cloak chooses one player at night to cloak. Anybody they cloak is unblockable and invisible to tracking/watching/following/voyeuring (i.e. those actions simply do not detect the cloaked player and its actions). This is NOT a visiting role.</f>
        <v xml:space="preserve">A Cloak chooses one player at night to cloak. Anybody they cloak is unblockable and invisible to tracking/watching/following/voyeuring (i.e. those actions simply do not detect the cloaked player and its actions). This is NOT a visiting role.</v>
      </c>
      <c r="J21" s="103" t="str">
        <f t="shared" si="12"/>
        <v xml:space="preserve">Hello and welcome to XXX Mafia # - 
Your role is[color=#00ff00]#NAME?[/color].
[color=#00ff00]#NAME?[/color] - A Cloak chooses one player at night to cloak. Anybody they cloak is unblockable and invisible to tracking/watching/following/voyeuring (i.e. those actions simply do not detect the cloaked player and its actions). This is NOT a visiting role.
Feel free to ask any questions about your role or the game itself.
Good luck and have fun!</v>
      </c>
    </row>
    <row r="22">
      <c r="A22" s="119"/>
      <c r="B22" s="120"/>
      <c r="C22" s="120"/>
      <c r="D22" s="82" t="s">
        <v>589</v>
      </c>
      <c r="E22" s="99" t="s">
        <v>416</v>
      </c>
      <c r="F22" s="100" t="str">
        <f t="shared" si="10"/>
        <v xml:space="preserve">[color=#00ff00]#NAME?[/color] - A Commuter can choose to leave Town during the night, becoming ineligible for night actions. If combined with another role, it cannot use a night action when commuting, even if that night action is passive. This ability cannot be used two consecutive nights. This is not a visiting role.</v>
      </c>
      <c r="G22" s="116" t="str">
        <f t="shared" si="11"/>
        <v>[color=#00ff00]#NAME?[/color]</v>
      </c>
      <c r="H22" s="117" t="str">
        <f>split(substitute(E22," - ","~!@^&amp;*#",1),"~!@^&amp;*#",false)"),"Commuter</f>
        <v>#NAME?</v>
      </c>
      <c r="I22" s="106" t="str">
        <f>"COMPUTED_VALUE""),"A Commuter can choose to leave Town during the night, becoming ineligible for night actions. If combined with another role, it cannot use a night action when commuting, even if that night action is passive. This ability cannot be used two consecutive nigh"&amp;"ts. This is not a visiting role.</f>
        <v xml:space="preserve">A Commuter can choose to leave Town during the night, becoming ineligible for night actions. If combined with another role, it cannot use a night action when commuting, even if that night action is passive. This ability cannot be used two consecutive nights. This is not a visiting role.</v>
      </c>
      <c r="J22" s="103" t="str">
        <f t="shared" si="12"/>
        <v xml:space="preserve">Hello and welcome to XXX Mafia # - 
Your role is[color=#00ff00]#NAME?[/color].
[color=#00ff00]#NAME?[/color] - A Commuter can choose to leave Town during the night, becoming ineligible for night actions. If combined with another role, it cannot use a night action when commuting, even if that night action is passive. This ability cannot be used two consecutive nights. This is not a visiting role.
Feel free to ask any questions about your role or the game itself.
Good luck and have fun!</v>
      </c>
    </row>
    <row r="23">
      <c r="A23" s="119"/>
      <c r="B23" s="120"/>
      <c r="C23" s="120"/>
      <c r="D23" s="82" t="s">
        <v>589</v>
      </c>
      <c r="E23" s="99" t="s">
        <v>417</v>
      </c>
      <c r="F23" s="100" t="str">
        <f t="shared" si="10"/>
        <v xml:space="preserve">[color=#00ff00]#NAME?[/color] - A Constantine targets one player per night to either detective OR kill. The Constantine Is the force against the Cult, therefore it cannot be recruited. Constantine appears guilty to sane cops and carries a gun. This is a visiting role.</v>
      </c>
      <c r="G23" s="116" t="str">
        <f t="shared" si="11"/>
        <v>[color=#00ff00]#NAME?[/color]</v>
      </c>
      <c r="H23" s="117" t="str">
        <f>split(substitute(E23," - ","~!@^&amp;*#",1),"~!@^&amp;*#",false)"),"Constantine</f>
        <v>#NAME?</v>
      </c>
      <c r="I23" s="106" t="str">
        <f>"COMPUTED_VALUE""),"A Constantine targets one player per night to either detective OR kill. The Constantine Is the force against the Cult, therefore it cannot be recruited. Constantine appears guilty to sane cops and carries a gun. This is a visiting role.</f>
        <v xml:space="preserve">A Constantine targets one player per night to either detective OR kill. The Constantine Is the force against the Cult, therefore it cannot be recruited. Constantine appears guilty to sane cops and carries a gun. This is a visiting role.</v>
      </c>
      <c r="J23" s="103" t="str">
        <f t="shared" si="12"/>
        <v xml:space="preserve">Hello and welcome to XXX Mafia # - 
Your role is[color=#00ff00]#NAME?[/color].
[color=#00ff00]#NAME?[/color] - A Constantine targets one player per night to either detective OR kill. The Constantine Is the force against the Cult, therefore it cannot be recruited. Constantine appears guilty to sane cops and carries a gun. This is a visiting role.
Feel free to ask any questions about your role or the game itself.
Good luck and have fun!</v>
      </c>
      <c r="N23" s="3"/>
    </row>
    <row r="24">
      <c r="A24" s="119"/>
      <c r="B24" s="120"/>
      <c r="C24" s="120"/>
      <c r="D24" s="82" t="s">
        <v>589</v>
      </c>
      <c r="E24" s="99" t="s">
        <v>418</v>
      </c>
      <c r="F24" s="100" t="str">
        <f t="shared" si="10"/>
        <v xml:space="preserve">[color=#00ff00]#NAME?[/color] - A Cop investigates one player each night to determine if they are guilty or innocent. The Cop cannot investigate themselves. The Cop carries a gun. This is a visiting role.</v>
      </c>
      <c r="G24" s="116" t="str">
        <f t="shared" si="11"/>
        <v>[color=#00ff00]#NAME?[/color]</v>
      </c>
      <c r="H24" s="117" t="str">
        <f>split(substitute(E24," - ","~!@^&amp;*#",1),"~!@^&amp;*#",false)"),"Cop</f>
        <v>#NAME?</v>
      </c>
      <c r="I24" s="106" t="str">
        <f>"COMPUTED_VALUE""),"A Cop investigates one player each night to determine if they are guilty or innocent. The Cop cannot investigate themselves. The Cop carries a gun. This is a visiting role.</f>
        <v xml:space="preserve">A Cop investigates one player each night to determine if they are guilty or innocent. The Cop cannot investigate themselves. The Cop carries a gun. This is a visiting role.</v>
      </c>
      <c r="J24" s="103" t="str">
        <f t="shared" si="12"/>
        <v xml:space="preserve">Hello and welcome to XXX Mafia # - 
Your role is[color=#00ff00]#NAME?[/color].
[color=#00ff00]#NAME?[/color] - A Cop investigates one player each night to determine if they are guilty or innocent. The Cop cannot investigate themselves. The Cop carries a gun. This is a visiting role.
Feel free to ask any questions about your role or the game itself.
Good luck and have fun!</v>
      </c>
      <c r="N24" s="3"/>
    </row>
    <row r="25">
      <c r="A25" s="119"/>
      <c r="B25" s="120"/>
      <c r="C25" s="120"/>
      <c r="D25" s="82" t="s">
        <v>589</v>
      </c>
      <c r="E25" s="99" t="s">
        <v>419</v>
      </c>
      <c r="F25" s="100" t="str">
        <f t="shared" si="10"/>
        <v xml:space="preserve">[color=#00ff00]#NAME?[/color] - A Defuser may visit one player each night. If the target has a bomb planted on them, it will be defused, and both parties will be notified that the defusing was successful. This is a visiting role.</v>
      </c>
      <c r="G25" s="116" t="str">
        <f t="shared" si="11"/>
        <v>[color=#00ff00]#NAME?[/color]</v>
      </c>
      <c r="H25" s="117" t="str">
        <f>split(substitute(E25," - ","~!@^&amp;*#",1),"~!@^&amp;*#",false)"),"Defuser</f>
        <v>#NAME?</v>
      </c>
      <c r="I25" s="106" t="str">
        <f>"COMPUTED_VALUE""),"A Defuser may visit one player each night. If the target has a bomb planted on them, it will be defused, and both parties will be notified that the defusing was successful. This is a visiting role.</f>
        <v xml:space="preserve">A Defuser may visit one player each night. If the target has a bomb planted on them, it will be defused, and both parties will be notified that the defusing was successful. This is a visiting role.</v>
      </c>
      <c r="J25" s="103" t="str">
        <f t="shared" si="12"/>
        <v xml:space="preserve">Hello and welcome to XXX Mafia # - 
Your role is[color=#00ff00]#NAME?[/color].
[color=#00ff00]#NAME?[/color] - A Defuser may visit one player each night. If the target has a bomb planted on them, it will be defused, and both parties will be notified that the defusing was successful. This is a visiting role.
Feel free to ask any questions about your role or the game itself.
Good luck and have fun!</v>
      </c>
      <c r="N25" s="3"/>
    </row>
    <row r="26">
      <c r="A26" s="119"/>
      <c r="B26" s="120"/>
      <c r="C26" s="120"/>
      <c r="D26" s="82" t="s">
        <v>589</v>
      </c>
      <c r="E26" s="99" t="s">
        <v>420</v>
      </c>
      <c r="F26" s="100" t="str">
        <f t="shared" si="10"/>
        <v xml:space="preserve">[color=#00ff00]#NAME?[/color] - Each night, chooses one player to silence for the following day. The target cannot post in the thread the day they are silenced. The Dentist cannot silence the same player two days in a row. Is a visiting role.</v>
      </c>
      <c r="G26" s="116" t="str">
        <f t="shared" si="11"/>
        <v>[color=#00ff00]#NAME?[/color]</v>
      </c>
      <c r="H26" s="117" t="str">
        <f>split(substitute(E26," - ","~!@^&amp;*#",1),"~!@^&amp;*#",false)"),"Dentist</f>
        <v>#NAME?</v>
      </c>
      <c r="I26" s="106" t="str">
        <f>"COMPUTED_VALUE""),"Each night, chooses one player to silence for the following day. The target cannot post in the thread the day they are silenced. The Dentist cannot silence the same player two days in a row. Is a visiting role.</f>
        <v xml:space="preserve">Each night, chooses one player to silence for the following day. The target cannot post in the thread the day they are silenced. The Dentist cannot silence the same player two days in a row. Is a visiting role.</v>
      </c>
      <c r="J26" s="103" t="str">
        <f t="shared" si="12"/>
        <v xml:space="preserve">Hello and welcome to XXX Mafia # - 
Your role is[color=#00ff00]#NAME?[/color].
[color=#00ff00]#NAME?[/color] - Each night, chooses one player to silence for the following day. The target cannot post in the thread the day they are silenced. The Dentist cannot silence the same player two days in a row. Is a visiting role.
Feel free to ask any questions about your role or the game itself.
Good luck and have fun!</v>
      </c>
    </row>
    <row r="27">
      <c r="A27" s="119"/>
      <c r="B27" s="120"/>
      <c r="C27" s="120"/>
      <c r="D27" s="82" t="s">
        <v>589</v>
      </c>
      <c r="E27" s="99" t="s">
        <v>421</v>
      </c>
      <c r="F27" s="100" t="str">
        <f t="shared" si="10"/>
        <v xml:space="preserve">[color=#00ff00]#NAME?[/color] - A Detective investigates one player each night to determine their role. The Detective does not learn their alignment. The Detective carries a gun. This is a visiting role.</v>
      </c>
      <c r="G27" s="116" t="str">
        <f t="shared" si="11"/>
        <v>[color=#00ff00]#NAME?[/color]</v>
      </c>
      <c r="H27" s="117" t="str">
        <f>split(substitute(E27," - ","~!@^&amp;*#",1),"~!@^&amp;*#",false)"),"Detective</f>
        <v>#NAME?</v>
      </c>
      <c r="I27" s="106" t="str">
        <f>"COMPUTED_VALUE""),"A Detective investigates one player each night to determine their role. The Detective does not learn their alignment. The Detective carries a gun. This is a visiting role.</f>
        <v xml:space="preserve">A Detective investigates one player each night to determine their role. The Detective does not learn their alignment. The Detective carries a gun. This is a visiting role.</v>
      </c>
      <c r="J27" s="103" t="str">
        <f t="shared" si="12"/>
        <v xml:space="preserve">Hello and welcome to XXX Mafia # - 
Your role is[color=#00ff00]#NAME?[/color].
[color=#00ff00]#NAME?[/color] - A Detective investigates one player each night to determine their role. The Detective does not learn their alignment. The Detective carries a gun. This is a visiting role.
Feel free to ask any questions about your role or the game itself.
Good luck and have fun!</v>
      </c>
    </row>
    <row r="28">
      <c r="A28" s="119"/>
      <c r="B28" s="120"/>
      <c r="C28" s="120"/>
      <c r="D28" s="82" t="s">
        <v>589</v>
      </c>
      <c r="E28" s="99" t="s">
        <v>422</v>
      </c>
      <c r="F28" s="100" t="str">
        <f t="shared" si="10"/>
        <v xml:space="preserve">[color=#00ff00]#NAME?[/color] - A Doctor chooses one player at night to save. The save can be used on the bodyguard if they are targeted for a kill, but it will not save the bodyguard if they are protecting someone who is targeted for a kill. This is a visiting role.</v>
      </c>
      <c r="G28" s="116" t="str">
        <f t="shared" si="11"/>
        <v>[color=#00ff00]#NAME?[/color]</v>
      </c>
      <c r="H28" s="117" t="str">
        <f>split(substitute(E28," - ","~!@^&amp;*#",1),"~!@^&amp;*#",false)"),"Doctor</f>
        <v>#NAME?</v>
      </c>
      <c r="I28" s="106" t="str">
        <f>"COMPUTED_VALUE""),"A Doctor chooses one player at night to save. The save can be used on the bodyguard if they are targeted for a kill, but it will not save the bodyguard if they are protecting someone who is targeted for a kill. This is a visiting role.</f>
        <v xml:space="preserve">A Doctor chooses one player at night to save. The save can be used on the bodyguard if they are targeted for a kill, but it will not save the bodyguard if they are protecting someone who is targeted for a kill. This is a visiting role.</v>
      </c>
      <c r="J28" s="103" t="str">
        <f t="shared" si="12"/>
        <v xml:space="preserve">Hello and welcome to XXX Mafia # - 
Your role is[color=#00ff00]#NAME?[/color].
[color=#00ff00]#NAME?[/color] - A Doctor chooses one player at night to save. The save can be used on the bodyguard if they are targeted for a kill, but it will not save the bodyguard if they are protecting someone who is targeted for a kill. This is a visiting role.
Feel free to ask any questions about your role or the game itself.
Good luck and have fun!</v>
      </c>
    </row>
    <row r="29">
      <c r="A29" s="119"/>
      <c r="B29" s="120"/>
      <c r="C29" s="120"/>
      <c r="H29" s="121"/>
      <c r="I29" s="82" t="s">
        <v>423</v>
      </c>
      <c r="J29" s="110"/>
    </row>
    <row r="30">
      <c r="A30" s="119"/>
      <c r="B30" s="120"/>
      <c r="C30" s="120"/>
      <c r="D30" s="82" t="s">
        <v>589</v>
      </c>
      <c r="E30" s="99" t="s">
        <v>424</v>
      </c>
      <c r="F30" s="100" t="str">
        <f t="shared" si="10"/>
        <v xml:space="preserve">[color=#00ff00]#NAME?[/color] - A Dreamer has a dream every night that gives information on 3 players, one of which is non-town. (One of player1, player2, player3 is guilty.) Third party roles/Godfather do not show up in dreams. The Dreamer does not dream if it is visited. This is not a visiting role.</v>
      </c>
      <c r="G30" s="116" t="str">
        <f t="shared" si="11"/>
        <v>[color=#00ff00]#NAME?[/color]</v>
      </c>
      <c r="H30" s="117" t="str">
        <f>split(substitute(E30," - ","~!@^&amp;*#",1),"~!@^&amp;*#",false)"),"Dreamer</f>
        <v>#NAME?</v>
      </c>
      <c r="I30" s="106" t="str">
        <f>"COMPUTED_VALUE""),"A Dreamer has a dream every night that gives information on 3 players, one of which is non-town. (One of player1, player2, player3 is guilty.) Third party roles/Godfather do not show up in dreams. The Dreamer does not dream if it is visited. This is not a"&amp;" visiting role.</f>
        <v xml:space="preserve">A Dreamer has a dream every night that gives information on 3 players, one of which is non-town. (One of player1, player2, player3 is guilty.) Third party roles/Godfather do not show up in dreams. The Dreamer does not dream if it is visited. This is not a visiting role.</v>
      </c>
      <c r="J30" s="103" t="str">
        <f t="shared" si="12"/>
        <v xml:space="preserve">Hello and welcome to XXX Mafia # - 
Your role is[color=#00ff00]#NAME?[/color].
[color=#00ff00]#NAME?[/color] - A Dreamer has a dream every night that gives information on 3 players, one of which is non-town. (One of player1, player2, player3 is guilty.) Third party roles/Godfather do not show up in dreams. The Dreamer does not dream if it is visited. This is not a visiting role.
Feel free to ask any questions about your role or the game itself.
Good luck and have fun!</v>
      </c>
    </row>
    <row r="31">
      <c r="A31" s="119"/>
      <c r="B31" s="120"/>
      <c r="C31" s="120"/>
      <c r="D31" s="82" t="s">
        <v>589</v>
      </c>
      <c r="E31" s="99" t="s">
        <v>425</v>
      </c>
      <c r="F31" s="100" t="str">
        <f t="shared" si="10"/>
        <v xml:space="preserve">[color=#00ff00]#NAME?[/color] - An Elite Bodyguard chooses one player at night to save. The Elite Bodyguard protects the target, kills the attacker, and then dies. If multiple people attack the protected target, only one randomly-selected attacker dies. The Elite Bodyguard carries a gun. This is a visiting role.</v>
      </c>
      <c r="G31" s="116" t="str">
        <f t="shared" si="11"/>
        <v>[color=#00ff00]#NAME?[/color]</v>
      </c>
      <c r="H31" s="117" t="str">
        <f>split(substitute(E31," - ","~!@^&amp;*#",1),"~!@^&amp;*#",false)"),"Elite Bodyguard</f>
        <v>#NAME?</v>
      </c>
      <c r="I31" s="106" t="str">
        <f>"COMPUTED_VALUE""),"An Elite Bodyguard chooses one player at night to save. The Elite Bodyguard protects the target, kills the attacker, and then dies. If multiple people attack the protected target, only one randomly-selected attacker dies. The Elite Bodyguard carries a gun"&amp;". This is a visiting role.</f>
        <v xml:space="preserve">An Elite Bodyguard chooses one player at night to save. The Elite Bodyguard protects the target, kills the attacker, and then dies. If multiple people attack the protected target, only one randomly-selected attacker dies. The Elite Bodyguard carries a gun. This is a visiting role.</v>
      </c>
      <c r="J31" s="103" t="str">
        <f t="shared" si="12"/>
        <v xml:space="preserve">Hello and welcome to XXX Mafia # - 
Your role is[color=#00ff00]#NAME?[/color].
[color=#00ff00]#NAME?[/color] - An Elite Bodyguard chooses one player at night to save. The Elite Bodyguard protects the target, kills the attacker, and then dies. If multiple people attack the protected target, only one randomly-selected attacker dies. The Elite Bodyguard carries a gun. This is a visiting role.
Feel free to ask any questions about your role or the game itself.
Good luck and have fun!</v>
      </c>
    </row>
    <row r="32">
      <c r="A32" s="119"/>
      <c r="B32" s="120"/>
      <c r="C32" s="120"/>
      <c r="D32" s="82" t="s">
        <v>589</v>
      </c>
      <c r="E32" s="99" t="s">
        <v>426</v>
      </c>
      <c r="F32" s="100" t="str">
        <f t="shared" si="10"/>
        <v xml:space="preserve">[color=#00ff00]#NAME?[/color] - An Engineer has a panel of buttons connected to the rooms of every player, including their own room. Each button can lock the door of that player's room, preventing anyone from coming or going (i.e. the locked door only affects visiting actions). Each button can only be pressed once, but any number can be pressed each night. This is not a visiting role.</v>
      </c>
      <c r="G32" s="116" t="str">
        <f t="shared" si="11"/>
        <v>[color=#00ff00]#NAME?[/color]</v>
      </c>
      <c r="H32" s="117" t="str">
        <f>split(substitute(E32," - ","~!@^&amp;*#",1),"~!@^&amp;*#",false)"),"Engineer</f>
        <v>#NAME?</v>
      </c>
      <c r="I32" s="106" t="str">
        <f>"COMPUTED_VALUE""),"An Engineer has a panel of buttons connected to the rooms of every player, including their own room. Each button can lock the door of that player's room, preventing anyone from coming or going (i.e. the locked door only affects visiting actions). Each but"&amp;"ton can only be pressed once, but any number can be pressed each night. This is not a visiting role.</f>
        <v xml:space="preserve">An Engineer has a panel of buttons connected to the rooms of every player, including their own room. Each button can lock the door of that player's room, preventing anyone from coming or going (i.e. the locked door only affects visiting actions). Each button can only be pressed once, but any number can be pressed each night. This is not a visiting role.</v>
      </c>
      <c r="J32" s="103" t="str">
        <f t="shared" si="12"/>
        <v xml:space="preserve">Hello and welcome to XXX Mafia # - 
Your role is[color=#00ff00]#NAME?[/color].
[color=#00ff00]#NAME?[/color] - An Engineer has a panel of buttons connected to the rooms of every player, including their own room. Each button can lock the door of that player's room, preventing anyone from coming or going (i.e. the locked door only affects visiting actions). Each button can only be pressed once, but any number can be pressed each night. This is not a visiting role.
Feel free to ask any questions about your role or the game itself.
Good luck and have fun!</v>
      </c>
    </row>
    <row r="33">
      <c r="A33" s="119"/>
      <c r="B33" s="120"/>
      <c r="C33" s="120"/>
      <c r="H33" s="121"/>
      <c r="I33" s="82" t="s">
        <v>427</v>
      </c>
      <c r="J33" s="110"/>
    </row>
    <row r="34">
      <c r="A34" s="119"/>
      <c r="B34" s="120"/>
      <c r="C34" s="120"/>
      <c r="D34" s="82" t="s">
        <v>589</v>
      </c>
      <c r="E34" s="99" t="s">
        <v>428</v>
      </c>
      <c r="F34" s="100" t="str">
        <f t="shared" si="10"/>
        <v xml:space="preserve">[color=#00ff00]#NAME?[/color] - An Exceptional Rookie Cop chooses a target each night to determine if they are guilty or innocent. The Exceptional Rookie Cop cannot target themselves. (Note: The different sanities - Sane, Insane, Paranoid, Paranoid Insane and Naive - also apply to the Exceptional Rookie Cop and, like a regular Cop, it will not know about its sanity). After the Cop dies, the Exceptional Rookie Cop will be promoted to Exceptional Detective, learning the role AND alignment of its targets. The promotion takes one night to be completed, meaning the Exceptional Detective has to wait one night to start submitting its actions. The Exceptional Rookie Cop/Detective carries a gun. This is a visiting role.</v>
      </c>
      <c r="G34" s="116" t="str">
        <f t="shared" si="11"/>
        <v>[color=#00ff00]#NAME?[/color]</v>
      </c>
      <c r="H34" s="117" t="str">
        <f>split(substitute(E34," - ","~!@^&amp;*#",1),"~!@^&amp;*#",false)"),"Exceptional Rookie Cop</f>
        <v>#NAME?</v>
      </c>
      <c r="I34" s="106" t="str">
        <f>"COMPUTED_VALUE""),"An Exceptional Rookie Cop chooses a target each night to determine if they are guilty or innocent. The Exceptional Rookie Cop cannot target themselves. (Note: The different sanities - Sane, Insane, Paranoid, Paranoid Insane and Naive - also apply to the E"&amp;"xceptional Rookie Cop and, like a regular Cop, it will not know about its sanity). After the Cop dies, the Exceptional Rookie Cop will be promoted to Exceptional Detective, learning the role AND alignment of its targets. The promotion takes one night to b"&amp;"e completed, meaning the Exceptional Detective has to wait one night to start submitting its actions. The Exceptional Rookie Cop/Detective carries a gun. This is a visiting role.</f>
        <v xml:space="preserve">An Exceptional Rookie Cop chooses a target each night to determine if they are guilty or innocent. The Exceptional Rookie Cop cannot target themselves. (Note: The different sanities - Sane, Insane, Paranoid, Paranoid Insane and Naive - also apply to the Exceptional Rookie Cop and, like a regular Cop, it will not know about its sanity). After the Cop dies, the Exceptional Rookie Cop will be promoted to Exceptional Detective, learning the role AND alignment of its targets. The promotion takes one night to be completed, meaning the Exceptional Detective has to wait one night to start submitting its actions. The Exceptional Rookie Cop/Detective carries a gun. This is a visiting role.</v>
      </c>
      <c r="J34" s="103" t="str">
        <f t="shared" si="12"/>
        <v xml:space="preserve">Hello and welcome to XXX Mafia # - 
Your role is[color=#00ff00]#NAME?[/color].
[color=#00ff00]#NAME?[/color] - An Exceptional Rookie Cop chooses a target each night to determine if they are guilty or innocent. The Exceptional Rookie Cop cannot target themselves. (Note: The different sanities - Sane, Insane, Paranoid, Paranoid Insane and Naive - also apply to the Exceptional Rookie Cop and, like a regular Cop, it will not know about its sanity). After the Cop dies, the Exceptional Rookie Cop will be promoted to Exceptional Detective, learning the role AND alignment of its targets. The promotion takes one night to be completed, meaning the Exceptional Detective has to wait one night to start submitting its actions. The Exceptional Rookie Cop/Detective carries a gun. This is a visiting role.
Feel free to ask any questions about your role or the game itself.
Good luck and have fun!</v>
      </c>
    </row>
    <row r="35">
      <c r="A35" s="119"/>
      <c r="B35" s="120"/>
      <c r="C35" s="120"/>
      <c r="D35" s="82" t="s">
        <v>589</v>
      </c>
      <c r="E35" s="99" t="s">
        <v>429</v>
      </c>
      <c r="F35" s="100" t="str">
        <f t="shared" si="10"/>
        <v xml:space="preserve">[color=#00ff00]#NAME?[/color] - An Exorcist chooses a player each night to protect from any action of The Fallen Angel. If it tries to protect a Satanic Cult Member, that member dies. If it tries to protect the Fallen Angel, the Exorcist will die instead. The Exorcist cannot choose to protect the same player three nights in a row and cannot protect themselves. This is a visiting role.</v>
      </c>
      <c r="G35" s="116" t="str">
        <f t="shared" si="11"/>
        <v>[color=#00ff00]#NAME?[/color]</v>
      </c>
      <c r="H35" s="117" t="str">
        <f>split(substitute(E35," - ","~!@^&amp;*#",1),"~!@^&amp;*#",false)"),"Exorcist</f>
        <v>#NAME?</v>
      </c>
      <c r="I35" s="106" t="str">
        <f>"COMPUTED_VALUE""),"An Exorcist chooses a player each night to protect from any action of The Fallen Angel. If it tries to protect a Satanic Cult Member, that member dies. If it tries to protect the Fallen Angel, the Exorcist will die instead. The Exorcist cannot choose to p"&amp;"rotect the same player three nights in a row and cannot protect themselves. This is a visiting role.</f>
        <v xml:space="preserve">An Exorcist chooses a player each night to protect from any action of The Fallen Angel. If it tries to protect a Satanic Cult Member, that member dies. If it tries to protect the Fallen Angel, the Exorcist will die instead. The Exorcist cannot choose to protect the same player three nights in a row and cannot protect themselves. This is a visiting role.</v>
      </c>
      <c r="J35" s="103" t="str">
        <f t="shared" si="12"/>
        <v xml:space="preserve">Hello and welcome to XXX Mafia # - 
Your role is[color=#00ff00]#NAME?[/color].
[color=#00ff00]#NAME?[/color] - An Exorcist chooses a player each night to protect from any action of The Fallen Angel. If it tries to protect a Satanic Cult Member, that member dies. If it tries to protect the Fallen Angel, the Exorcist will die instead. The Exorcist cannot choose to protect the same player three nights in a row and cannot protect themselves. This is a visiting role.
Feel free to ask any questions about your role or the game itself.
Good luck and have fun!</v>
      </c>
    </row>
    <row r="36">
      <c r="A36" s="119"/>
      <c r="B36" s="120"/>
      <c r="C36" s="120"/>
      <c r="D36" s="82" t="s">
        <v>589</v>
      </c>
      <c r="E36" s="99" t="s">
        <v>430</v>
      </c>
      <c r="F36" s="100" t="str">
        <f t="shared" si="10"/>
        <v xml:space="preserve">[color=#00ff00]#NAME?[/color] - At the start of each day, the Fashion Stylist will learn the identity of any deceased player (killed overnight or lynched the day before) that was suited by a Tailor, but not the player's original role. This ability is passive and will succeed even if the player is roleblocked. This is not a visiting role.</v>
      </c>
      <c r="G36" s="116" t="str">
        <f t="shared" si="11"/>
        <v>[color=#00ff00]#NAME?[/color]</v>
      </c>
      <c r="H36" s="117" t="str">
        <f>split(substitute(E36," - ","~!@^&amp;*#",1),"~!@^&amp;*#",false)"),"Fashion Stylist</f>
        <v>#NAME?</v>
      </c>
      <c r="I36" s="106" t="str">
        <f>"COMPUTED_VALUE""),"At the start of each day, the Fashion Stylist will learn the identity of any deceased player (killed overnight or lynched the day before) that was suited by a Tailor, but not the player's original role. This ability is passive and will succeed even if the"&amp;" player is roleblocked. This is not a visiting role.</f>
        <v xml:space="preserve">At the start of each day, the Fashion Stylist will learn the identity of any deceased player (killed overnight or lynched the day before) that was suited by a Tailor, but not the player's original role. This ability is passive and will succeed even if the player is roleblocked. This is not a visiting role.</v>
      </c>
      <c r="J36" s="103" t="str">
        <f t="shared" si="12"/>
        <v xml:space="preserve">Hello and welcome to XXX Mafia # - 
Your role is[color=#00ff00]#NAME?[/color].
[color=#00ff00]#NAME?[/color] - At the start of each day, the Fashion Stylist will learn the identity of any deceased player (killed overnight or lynched the day before) that was suited by a Tailor, but not the player's original role. This ability is passive and will succeed even if the player is roleblocked. This is not a visiting role.
Feel free to ask any questions about your role or the game itself.
Good luck and have fun!</v>
      </c>
    </row>
    <row r="37">
      <c r="A37" s="119"/>
      <c r="B37" s="120"/>
      <c r="C37" s="120"/>
      <c r="D37" s="82" t="s">
        <v>589</v>
      </c>
      <c r="E37" s="99" t="s">
        <v>431</v>
      </c>
      <c r="F37" s="100" t="str">
        <f t="shared" si="10"/>
        <v xml:space="preserve">[color=#00ff00]#NAME?[/color] - At the start of each day, the Fashion Assistant will learn the identity of any deceased player (killed overnight or lynched the day before) that was given a gown by the Seamstress, but not the player's original role. This ability is passive, but it will not get results if it is visited. This is not a visiting role.</v>
      </c>
      <c r="G37" s="116" t="str">
        <f t="shared" si="11"/>
        <v>[color=#00ff00]#NAME?[/color]</v>
      </c>
      <c r="H37" s="117" t="str">
        <f>split(substitute(E37," - ","~!@^&amp;*#",1),"~!@^&amp;*#",false)"),"Fashion Assistant</f>
        <v>#NAME?</v>
      </c>
      <c r="I37" s="106" t="str">
        <f>"COMPUTED_VALUE""),"At the start of each day, the Fashion Assistant will learn the identity of any deceased player (killed overnight or lynched the day before) that was given a gown by the Seamstress, but not the player's original role. This ability is passive, but it will n"&amp;"ot get results if it is visited. This is not a visiting role.</f>
        <v xml:space="preserve">At the start of each day, the Fashion Assistant will learn the identity of any deceased player (killed overnight or lynched the day before) that was given a gown by the Seamstress, but not the player's original role. This ability is passive, but it will not get results if it is visited. This is not a visiting role.</v>
      </c>
      <c r="J37" s="103" t="str">
        <f t="shared" si="12"/>
        <v xml:space="preserve">Hello and welcome to XXX Mafia # - 
Your role is[color=#00ff00]#NAME?[/color].
[color=#00ff00]#NAME?[/color] - At the start of each day, the Fashion Assistant will learn the identity of any deceased player (killed overnight or lynched the day before) that was given a gown by the Seamstress, but not the player's original role. This ability is passive, but it will not get results if it is visited. This is not a visiting role.
Feel free to ask any questions about your role or the game itself.
Good luck and have fun!</v>
      </c>
    </row>
    <row r="38">
      <c r="A38" s="119"/>
      <c r="B38" s="120"/>
      <c r="C38" s="120"/>
      <c r="D38" s="82" t="s">
        <v>589</v>
      </c>
      <c r="E38" s="99" t="s">
        <v>432</v>
      </c>
      <c r="F38" s="100" t="str">
        <f t="shared" si="10"/>
        <v xml:space="preserve">[color=#00ff00]#NAME?[/color] - Each night, an FBI Agent may investigate a player and determine whether they are guilty or innocent. (It is, at its core, a Sane Cop.) The FBI Agent may also choose to flash its Badge by PMing the host at any time, and during the next time change (either day&gt;night or night&gt;day), the host will publicly reveal its role, abilities, and alignment in the main thread. The FBI Agent carries a gun. This is a visiting role.</v>
      </c>
      <c r="G38" s="116" t="str">
        <f t="shared" si="11"/>
        <v>[color=#00ff00]#NAME?[/color]</v>
      </c>
      <c r="H38" s="117" t="str">
        <f>split(substitute(E38," - ","~!@^&amp;*#",1),"~!@^&amp;*#",false)"),"FBI Agent</f>
        <v>#NAME?</v>
      </c>
      <c r="I38" s="106" t="str">
        <f>"COMPUTED_VALUE""),"Each night, an FBI Agent may investigate a player and determine whether they are guilty or innocent. (It is, at its core, a Sane Cop.) The FBI Agent may also choose to flash its Badge by PMing the host at any time, and during the next time change (either "&amp;"day&gt;night or night&gt;day), the host will publicly reveal its role, abilities, and alignment in the main thread. The FBI Agent carries a gun. This is a visiting role.</f>
        <v xml:space="preserve">Each night, an FBI Agent may investigate a player and determine whether they are guilty or innocent. (It is, at its core, a Sane Cop.) The FBI Agent may also choose to flash its Badge by PMing the host at any time, and during the next time change (either day&gt;night or night&gt;day), the host will publicly reveal its role, abilities, and alignment in the main thread. The FBI Agent carries a gun. This is a visiting role.</v>
      </c>
      <c r="J38" s="103" t="str">
        <f t="shared" si="12"/>
        <v xml:space="preserve">Hello and welcome to XXX Mafia # - 
Your role is[color=#00ff00]#NAME?[/color].
[color=#00ff00]#NAME?[/color] - Each night, an FBI Agent may investigate a player and determine whether they are guilty or innocent. (It is, at its core, a Sane Cop.) The FBI Agent may also choose to flash its Badge by PMing the host at any time, and during the next time change (either day&gt;night or night&gt;day), the host will publicly reveal its role, abilities, and alignment in the main thread. The FBI Agent carries a gun. This is a visiting role.
Feel free to ask any questions about your role or the game itself.
Good luck and have fun!</v>
      </c>
    </row>
    <row r="39">
      <c r="A39" s="119"/>
      <c r="B39" s="120"/>
      <c r="C39" s="120"/>
      <c r="D39" s="82" t="s">
        <v>589</v>
      </c>
      <c r="E39" s="99" t="s">
        <v>433</v>
      </c>
      <c r="F39" s="100" t="str">
        <f t="shared" si="10"/>
        <v xml:space="preserve">[color=#00ff00]#NAME?[/color] - A Fisherman may fish for an item each night. Fishing for an item has a 50% chance of succeeding. Each item gives them an one-shot ability that can then be used on subsequent nights. If the Fisherman is using an item during the night, it cannot fish for another one. There is only one of each item available. The possible items are: syringe (Doctor), magnifying glasses (Sane cop), gun (Vigilante), bulletproof vest (Blacksmith), GPS locator (Tracker) and binoculars (Watcher). If the Fisherman catches a gun, it will be seen as having a gun until it is used. The Fisherman is unblockable while fishing for an item. This is not a visiting role when fishing.</v>
      </c>
      <c r="G39" s="116" t="str">
        <f t="shared" si="11"/>
        <v>[color=#00ff00]#NAME?[/color]</v>
      </c>
      <c r="H39" s="117" t="str">
        <f>split(substitute(E39," - ","~!@^&amp;*#",1),"~!@^&amp;*#",false)"),"Fisherman</f>
        <v>#NAME?</v>
      </c>
      <c r="I39" s="106" t="str">
        <f>"COMPUTED_VALUE""),"A Fisherman may fish for an item each night. Fishing for an item has a 50% chance of succeeding. Each item gives them an one-shot ability that can then be used on subsequent nights. If the Fisherman is using an item during the night, it cannot fish for an"&amp;"other one. There is only one of each item available. The possible items are: syringe (Doctor), magnifying glasses (Sane cop), gun (Vigilante), bulletproof vest (Blacksmith), GPS locator (Tracker) and binoculars (Watcher). If the Fisherman catches a gun, i"&amp;"t will be seen as having a gun until it is used. The Fisherman is unblockable while fishing for an item. This is not a visiting role when fishing.</f>
        <v xml:space="preserve">A Fisherman may fish for an item each night. Fishing for an item has a 50% chance of succeeding. Each item gives them an one-shot ability that can then be used on subsequent nights. If the Fisherman is using an item during the night, it cannot fish for another one. There is only one of each item available. The possible items are: syringe (Doctor), magnifying glasses (Sane cop), gun (Vigilante), bulletproof vest (Blacksmith), GPS locator (Tracker) and binoculars (Watcher). If the Fisherman catches a gun, it will be seen as having a gun until it is used. The Fisherman is unblockable while fishing for an item. This is not a visiting role when fishing.</v>
      </c>
      <c r="J39" s="103" t="str">
        <f t="shared" si="12"/>
        <v xml:space="preserve">Hello and welcome to XXX Mafia # - 
Your role is[color=#00ff00]#NAME?[/color].
[color=#00ff00]#NAME?[/color] - A Fisherman may fish for an item each night. Fishing for an item has a 50% chance of succeeding. Each item gives them an one-shot ability that can then be used on subsequent nights. If the Fisherman is using an item during the night, it cannot fish for another one. There is only one of each item available. The possible items are: syringe (Doctor), magnifying glasses (Sane cop), gun (Vigilante), bulletproof vest (Blacksmith), GPS locator (Tracker) and binoculars (Watcher). If the Fisherman catches a gun, it will be seen as having a gun until it is used. The Fisherman is unblockable while fishing for an item. This is not a visiting role when fishing.
Feel free to ask any questions about your role or the game itself.
Good luck and have fun!</v>
      </c>
    </row>
    <row r="40">
      <c r="A40" s="119"/>
      <c r="B40" s="120"/>
      <c r="C40" s="120"/>
      <c r="D40" s="82" t="s">
        <v>589</v>
      </c>
      <c r="E40" s="99" t="s">
        <v>434</v>
      </c>
      <c r="F40" s="100" t="str">
        <f t="shared" si="10"/>
        <v xml:space="preserve">[color=#00ff00]#NAME?[/color] - A Follower targets a player at night and learns what action they took that night, but not who they targeted. This is a visiting role.</v>
      </c>
      <c r="G40" s="116" t="str">
        <f t="shared" si="11"/>
        <v>[color=#00ff00]#NAME?[/color]</v>
      </c>
      <c r="H40" s="117" t="str">
        <f>split(substitute(E40," - ","~!@^&amp;*#",1),"~!@^&amp;*#",false)"),"Follower</f>
        <v>#NAME?</v>
      </c>
      <c r="I40" s="106" t="str">
        <f>"COMPUTED_VALUE""),"A Follower targets a player at night and learns what action they took that night, but not who they targeted. This is a visiting role.</f>
        <v xml:space="preserve">A Follower targets a player at night and learns what action they took that night, but not who they targeted. This is a visiting role.</v>
      </c>
      <c r="J40" s="103" t="str">
        <f t="shared" si="12"/>
        <v xml:space="preserve">Hello and welcome to XXX Mafia # - 
Your role is[color=#00ff00]#NAME?[/color].
[color=#00ff00]#NAME?[/color] - A Follower targets a player at night and learns what action they took that night, but not who they targeted. This is a visiting role.
Feel free to ask any questions about your role or the game itself.
Good luck and have fun!</v>
      </c>
    </row>
    <row r="41">
      <c r="A41" s="119"/>
      <c r="B41" s="120"/>
      <c r="C41" s="120"/>
      <c r="D41" s="82" t="s">
        <v>589</v>
      </c>
      <c r="E41" s="99" t="s">
        <v>435</v>
      </c>
      <c r="F41" s="100" t="str">
        <f t="shared" si="10"/>
        <v xml:space="preserve">[color=#00ff00]#NAME?[/color] - A Forensic Investigator has the ability to analyze any dead player and learn what was done to them each night up until their death, but not by whom. They may use this ability three times during the game, but a failed attempt does not count against this limit. This is not a visiting role.</v>
      </c>
      <c r="G41" s="116" t="str">
        <f t="shared" si="11"/>
        <v>[color=#00ff00]#NAME?[/color]</v>
      </c>
      <c r="H41" s="117" t="str">
        <f>split(substitute(E41," - ","~!@^&amp;*#",1),"~!@^&amp;*#",false)"),"Forensic Investigator</f>
        <v>#NAME?</v>
      </c>
      <c r="I41" s="106" t="str">
        <f>"COMPUTED_VALUE""),"A Forensic Investigator has the ability to analyze any dead player and learn what was done to them each night up until their death, but not by whom. They may use this ability three times during the game, but a failed attempt does not count against this li"&amp;"mit. This is not a visiting role.</f>
        <v xml:space="preserve">A Forensic Investigator has the ability to analyze any dead player and learn what was done to them each night up until their death, but not by whom. They may use this ability three times during the game, but a failed attempt does not count against this limit. This is not a visiting role.</v>
      </c>
      <c r="J41" s="103" t="str">
        <f t="shared" si="12"/>
        <v xml:space="preserve">Hello and welcome to XXX Mafia # - 
Your role is[color=#00ff00]#NAME?[/color].
[color=#00ff00]#NAME?[/color] - A Forensic Investigator has the ability to analyze any dead player and learn what was done to them each night up until their death, but not by whom. They may use this ability three times during the game, but a failed attempt does not count against this limit. This is not a visiting role.
Feel free to ask any questions about your role or the game itself.
Good luck and have fun!</v>
      </c>
    </row>
    <row r="42">
      <c r="A42" s="119"/>
      <c r="B42" s="120"/>
      <c r="C42" s="120"/>
      <c r="D42" s="82" t="s">
        <v>589</v>
      </c>
      <c r="E42" s="99" t="s">
        <v>436</v>
      </c>
      <c r="F42" s="100" t="str">
        <f t="shared" si="10"/>
        <v xml:space="preserve">[color=#00ff00]#NAME?[/color] - A Friendly Doctor may visit a player each night. If another player's actions would cause that target to die that night, it will survive instead. Additionally, targeted players will receive a message saying they were visited by the Friendly Doctor, and that message will include the Friendly Doctor’s name, but the message cannot be responded to. If the Friendly Doctor prevents a death, both it and the player it saved will know, but neither will know who was responsible for the kill attempt.</v>
      </c>
      <c r="G42" s="116" t="str">
        <f t="shared" si="11"/>
        <v>[color=#00ff00]#NAME?[/color]</v>
      </c>
      <c r="H42" s="117" t="str">
        <f>split(substitute(E42," - ","~!@^&amp;*#",1),"~!@^&amp;*#",false)"),"Friendly Doctor</f>
        <v>#NAME?</v>
      </c>
      <c r="I42" s="106" t="str">
        <f>"COMPUTED_VALUE""),"A Friendly Doctor may visit a player each night. If another player's actions would cause that target to die that night, it will survive instead. Additionally, targeted players will receive a message saying they were visited by the Friendly Doctor, and tha"&amp;"t message will include the Friendly Doctor’s name, but the message cannot be responded to. If the Friendly Doctor prevents a death, both it and the player it saved will know, but neither will know who was responsible for the kill attempt.</f>
        <v xml:space="preserve">A Friendly Doctor may visit a player each night. If another player's actions would cause that target to die that night, it will survive instead. Additionally, targeted players will receive a message saying they were visited by the Friendly Doctor, and that message will include the Friendly Doctor’s name, but the message cannot be responded to. If the Friendly Doctor prevents a death, both it and the player it saved will know, but neither will know who was responsible for the kill attempt.</v>
      </c>
      <c r="J42" s="103" t="str">
        <f t="shared" si="12"/>
        <v xml:space="preserve">Hello and welcome to XXX Mafia # - 
Your role is[color=#00ff00]#NAME?[/color].
[color=#00ff00]#NAME?[/color] - A Friendly Doctor may visit a player each night. If another player's actions would cause that target to die that night, it will survive instead. Additionally, targeted players will receive a message saying they were visited by the Friendly Doctor, and that message will include the Friendly Doctor’s name, but the message cannot be responded to. If the Friendly Doctor prevents a death, both it and the player it saved will know, but neither will know who was responsible for the kill attempt.
Feel free to ask any questions about your role or the game itself.
Good luck and have fun!</v>
      </c>
    </row>
    <row r="43">
      <c r="A43" s="119"/>
      <c r="B43" s="120"/>
      <c r="C43" s="120"/>
      <c r="D43" s="82" t="s">
        <v>589</v>
      </c>
      <c r="E43" s="99" t="s">
        <v>437</v>
      </c>
      <c r="F43" s="100" t="str">
        <f t="shared" si="10"/>
        <v xml:space="preserve">[color=#00ff00]#NAME?[/color] - A Friendly Neighbor can send one message each night to a player, stating that the Friendly Neighbor is town. This mail may not be responded to. This is not a visiting role.</v>
      </c>
      <c r="G43" s="116" t="str">
        <f t="shared" si="11"/>
        <v>[color=#00ff00]#NAME?[/color]</v>
      </c>
      <c r="H43" s="117" t="str">
        <f>split(substitute(E43," - ","~!@^&amp;*#",1),"~!@^&amp;*#",false)"),"Friendly Neighbor</f>
        <v>#NAME?</v>
      </c>
      <c r="I43" s="106" t="str">
        <f>"COMPUTED_VALUE""),"A Friendly Neighbor can send one message each night to a player, stating that the Friendly Neighbor is town. This mail may not be responded to. This is not a visiting role.</f>
        <v xml:space="preserve">A Friendly Neighbor can send one message each night to a player, stating that the Friendly Neighbor is town. This mail may not be responded to. This is not a visiting role.</v>
      </c>
      <c r="J43" s="103" t="str">
        <f t="shared" si="12"/>
        <v xml:space="preserve">Hello and welcome to XXX Mafia # - 
Your role is[color=#00ff00]#NAME?[/color].
[color=#00ff00]#NAME?[/color] - A Friendly Neighbor can send one message each night to a player, stating that the Friendly Neighbor is town. This mail may not be responded to. This is not a visiting role.
Feel free to ask any questions about your role or the game itself.
Good luck and have fun!</v>
      </c>
    </row>
    <row r="44">
      <c r="A44" s="119"/>
      <c r="B44" s="120"/>
      <c r="C44" s="120"/>
      <c r="D44" s="82" t="s">
        <v>589</v>
      </c>
      <c r="E44" s="99" t="s">
        <v>438</v>
      </c>
      <c r="F44" s="100" t="str">
        <f t="shared" si="10"/>
        <v xml:space="preserve">[color=#00ff00]#NAME?[/color] - A Geneticist can choose one player and then forcibly clone that player’s role onto another player of their choice, completely changing the player’s role and alignment for the rest of the game. An attempt of cloning a team member into another team (i. e. trying to clone a scum/Cult member into a Town role or a Mason/Cult into a scum role or a Cult member into a Town/scum role, etc) will fail. The Geneticist can only use this ability ONCE. This is not a visiting role.</v>
      </c>
      <c r="G44" s="116" t="str">
        <f t="shared" si="11"/>
        <v>[color=#00ff00]#NAME?[/color]</v>
      </c>
      <c r="H44" s="117" t="str">
        <f>split(substitute(E44," - ","~!@^&amp;*#",1),"~!@^&amp;*#",false)"),"Geneticist</f>
        <v>#NAME?</v>
      </c>
      <c r="I44" s="106" t="str">
        <f>"COMPUTED_VALUE""),"A Geneticist can choose one player and then forcibly clone that player’s role onto another player of their choice, completely changing the player’s role and alignment for the rest of the game. An attempt of cloning a team member into another team (i. e. t"&amp;"rying to clone a scum/Cult member into a Town role or a Mason/Cult into a scum role or a Cult member into a Town/scum role, etc) will fail. The Geneticist can only use this ability ONCE. This is not a visiting role.</f>
        <v xml:space="preserve">A Geneticist can choose one player and then forcibly clone that player’s role onto another player of their choice, completely changing the player’s role and alignment for the rest of the game. An attempt of cloning a team member into another team (i. e. trying to clone a scum/Cult member into a Town role or a Mason/Cult into a scum role or a Cult member into a Town/scum role, etc) will fail. The Geneticist can only use this ability ONCE. This is not a visiting role.</v>
      </c>
      <c r="J44" s="103" t="str">
        <f t="shared" si="12"/>
        <v xml:space="preserve">Hello and welcome to XXX Mafia # - 
Your role is[color=#00ff00]#NAME?[/color].
[color=#00ff00]#NAME?[/color] - A Geneticist can choose one player and then forcibly clone that player’s role onto another player of their choice, completely changing the player’s role and alignment for the rest of the game. An attempt of cloning a team member into another team (i. e. trying to clone a scum/Cult member into a Town role or a Mason/Cult into a scum role or a Cult member into a Town/scum role, etc) will fail. The Geneticist can only use this ability ONCE. This is not a visiting role.
Feel free to ask any questions about your role or the game itself.
Good luck and have fun!</v>
      </c>
    </row>
    <row r="45">
      <c r="A45" s="119"/>
      <c r="B45" s="120"/>
      <c r="C45" s="120"/>
      <c r="D45" s="82" t="s">
        <v>589</v>
      </c>
      <c r="E45" s="99" t="s">
        <v>439</v>
      </c>
      <c r="F45" s="100" t="str">
        <f t="shared" si="10"/>
        <v xml:space="preserve">[color=#00ff00]#NAME?[/color] - A Gladiator can choose to challenge any player during the night ONCE during the game. The following day, only the Gladiator and its opponent are eligible for lynching, but there must be a lynching, which means that if the day ends in a tie, BOTH of them will be lynched. The identity of the Gladiator will NOT be announced when the challenge day begins; only which two players are lynch candidates will be announced. This is not a visiting role.</v>
      </c>
      <c r="G45" s="116" t="str">
        <f t="shared" si="11"/>
        <v>[color=#00ff00]#NAME?[/color]</v>
      </c>
      <c r="H45" s="117" t="str">
        <f>split(substitute(E45," - ","~!@^&amp;*#",1),"~!@^&amp;*#",false)"),"Gladiator</f>
        <v>#NAME?</v>
      </c>
      <c r="I45" s="106" t="str">
        <f>"COMPUTED_VALUE""),"A Gladiator can choose to challenge any player during the night ONCE during the game. The following day, only the Gladiator and its opponent are eligible for lynching, but there must be a lynching, which means that if the day ends in a tie, BOTH of them w"&amp;"ill be lynched. The identity of the Gladiator will NOT be announced when the challenge day begins; only which two players are lynch candidates will be announced. This is not a visiting role.</f>
        <v xml:space="preserve">A Gladiator can choose to challenge any player during the night ONCE during the game. The following day, only the Gladiator and its opponent are eligible for lynching, but there must be a lynching, which means that if the day ends in a tie, BOTH of them will be lynched. The identity of the Gladiator will NOT be announced when the challenge day begins; only which two players are lynch candidates will be announced. This is not a visiting role.</v>
      </c>
      <c r="J45" s="103" t="str">
        <f t="shared" si="12"/>
        <v xml:space="preserve">Hello and welcome to XXX Mafia # - 
Your role is[color=#00ff00]#NAME?[/color].
[color=#00ff00]#NAME?[/color] - A Gladiator can choose to challenge any player during the night ONCE during the game. The following day, only the Gladiator and its opponent are eligible for lynching, but there must be a lynching, which means that if the day ends in a tie, BOTH of them will be lynched. The identity of the Gladiator will NOT be announced when the challenge day begins; only which two players are lynch candidates will be announced. This is not a visiting role.
Feel free to ask any questions about your role or the game itself.
Good luck and have fun!</v>
      </c>
    </row>
    <row r="46">
      <c r="A46" s="119"/>
      <c r="B46" s="120"/>
      <c r="C46" s="120"/>
      <c r="D46" s="82" t="s">
        <v>589</v>
      </c>
      <c r="E46" s="99" t="s">
        <v>440</v>
      </c>
      <c r="F46" s="100" t="str">
        <f t="shared" si="10"/>
        <v xml:space="preserve">[color=#00ff00]#NAME?[/color] - A Governor can override one lynch during the game. The Governor can choose another player or No Lynch. It must PM the host the selection before the role of the lynched player is revealed. A good way to do this is to send a PM saying "If so-and-so is lynched, lynch so-and-so instead." This action can only be used once. The identity of the Governor will be revealed when the ability is used. This is not a visiting role.</v>
      </c>
      <c r="G46" s="116" t="str">
        <f t="shared" si="11"/>
        <v>[color=#00ff00]#NAME?[/color]</v>
      </c>
      <c r="H46" s="117" t="str">
        <f>split(substitute(E46," - ","~!@^&amp;*#",1),"~!@^&amp;*#",false)"),"Governor</f>
        <v>#NAME?</v>
      </c>
      <c r="I46" s="106" t="str">
        <f>"COMPUTED_VALUE""),"A Governor can override one lynch during the game. The Governor can choose another player or No Lynch. It must PM the host the selection before the role of the lynched player is revealed. A good way to do this is to send a PM saying "If so-and-so is lync"&amp;"hed, lynch so-and-so instead." This action can only be used once. The identity of the Governor will be revealed when the ability is used. This is not a visiting role.</f>
        <v xml:space="preserve">A Governor can override one lynch during the game. The Governor can choose another player or No Lynch. It must PM the host the selection before the role of the lynched player is revealed. A good way to do this is to send a PM saying "If so-and-so is lynched, lynch so-and-so instead." This action can only be used once. The identity of the Governor will be revealed when the ability is used. This is not a visiting role.</v>
      </c>
      <c r="J46" s="103" t="str">
        <f t="shared" si="12"/>
        <v xml:space="preserve">Hello and welcome to XXX Mafia # - 
Your role is[color=#00ff00]#NAME?[/color].
[color=#00ff00]#NAME?[/color] - A Governor can override one lynch during the game. The Governor can choose another player or No Lynch. It must PM the host the selection before the role of the lynched player is revealed. A good way to do this is to send a PM saying "If so-and-so is lynched, lynch so-and-so instead." This action can only be used once. The identity of the Governor will be revealed when the ability is used. This is not a visiting role.
Feel free to ask any questions about your role or the game itself.
Good luck and have fun!</v>
      </c>
    </row>
    <row r="47">
      <c r="A47" s="119"/>
      <c r="B47" s="120"/>
      <c r="C47" s="120"/>
      <c r="D47" s="82" t="s">
        <v>589</v>
      </c>
      <c r="E47" s="99" t="s">
        <v>441</v>
      </c>
      <c r="F47" s="100" t="str">
        <f t="shared" si="10"/>
        <v xml:space="preserve">[color=#00ff00]#NAME?[/color] - A Gunsmith investigates one player each night to determine if they have a gun. These common roles will carry guns: scum faction members, Detectives, Cops, Jacks of All Trades, FBI Agents, and Vigilantes (Note: this is a general guide. For information on whether or not a specific, less common role carries a gun, check that role's description). Third party killers and Godfathers do not carry guns. The Gunsmith itself does not carry a gun. This is a visiting role.</v>
      </c>
      <c r="G47" s="116" t="str">
        <f t="shared" si="11"/>
        <v>[color=#00ff00]#NAME?[/color]</v>
      </c>
      <c r="H47" s="117" t="str">
        <f>split(substitute(E47," - ","~!@^&amp;*#",1),"~!@^&amp;*#",false)"),"Gunsmith</f>
        <v>#NAME?</v>
      </c>
      <c r="I47" s="106" t="str">
        <f>"COMPUTED_VALUE""),"A Gunsmith investigates one player each night to determine if they have a gun. These common roles will carry guns: scum faction members, Detectives, Cops, Jacks of All Trades, FBI Agents, and Vigilantes (Note: this is a general guide. For information on w"&amp;"hether or not a specific, less common role carries a gun, check that role's description). Third party killers and Godfathers do not carry guns. The Gunsmith itself does not carry a gun. This is a visiting role.</f>
        <v xml:space="preserve">A Gunsmith investigates one player each night to determine if they have a gun. These common roles will carry guns: scum faction members, Detectives, Cops, Jacks of All Trades, FBI Agents, and Vigilantes (Note: this is a general guide. For information on whether or not a specific, less common role carries a gun, check that role's description). Third party killers and Godfathers do not carry guns. The Gunsmith itself does not carry a gun. This is a visiting role.</v>
      </c>
      <c r="J47" s="103" t="str">
        <f t="shared" si="12"/>
        <v xml:space="preserve">Hello and welcome to XXX Mafia # - 
Your role is[color=#00ff00]#NAME?[/color].
[color=#00ff00]#NAME?[/color] - A Gunsmith investigates one player each night to determine if they have a gun. These common roles will carry guns: scum faction members, Detectives, Cops, Jacks of All Trades, FBI Agents, and Vigilantes (Note: this is a general guide. For information on whether or not a specific, less common role carries a gun, check that role's description). Third party killers and Godfathers do not carry guns. The Gunsmith itself does not carry a gun. This is a visiting role.
Feel free to ask any questions about your role or the game itself.
Good luck and have fun!</v>
      </c>
    </row>
    <row r="48">
      <c r="A48" s="119"/>
      <c r="B48" s="120"/>
      <c r="C48" s="120"/>
      <c r="D48" s="82" t="s">
        <v>589</v>
      </c>
      <c r="E48" s="99" t="s">
        <v>442</v>
      </c>
      <c r="F48" s="100" t="str">
        <f t="shared" si="10"/>
        <v xml:space="preserve">[color=#00ff00]#NAME?[/color] - A Hider may hide behind one player every night. Whatever happens to the player they hide behind also happens to them. If the Hider tries to hide behind a scum player, it will die. When hiding, actions directly targeting the Hider will fail, but it can be targeted normally when not using its ability. This is a visiting role.</v>
      </c>
      <c r="G48" s="116" t="str">
        <f t="shared" si="11"/>
        <v>[color=#00ff00]#NAME?[/color]</v>
      </c>
      <c r="H48" s="117" t="str">
        <f>split(substitute(E48," - ","~!@^&amp;*#",1),"~!@^&amp;*#",false)"),"Hider</f>
        <v>#NAME?</v>
      </c>
      <c r="I48" s="106" t="str">
        <f>"COMPUTED_VALUE""),"A Hider may hide behind one player every night. Whatever happens to the player they hide behind also happens to them. If the Hider tries to hide behind a scum player, it will die. When hiding, actions directly targeting the Hider will fail, but it can be "&amp;"targeted normally when not using its ability. This is a visiting role.</f>
        <v xml:space="preserve">A Hider may hide behind one player every night. Whatever happens to the player they hide behind also happens to them. If the Hider tries to hide behind a scum player, it will die. When hiding, actions directly targeting the Hider will fail, but it can be targeted normally when not using its ability. This is a visiting role.</v>
      </c>
      <c r="J48" s="103" t="str">
        <f t="shared" si="12"/>
        <v xml:space="preserve">Hello and welcome to XXX Mafia # - 
Your role is[color=#00ff00]#NAME?[/color].
[color=#00ff00]#NAME?[/color] - A Hider may hide behind one player every night. Whatever happens to the player they hide behind also happens to them. If the Hider tries to hide behind a scum player, it will die. When hiding, actions directly targeting the Hider will fail, but it can be targeted normally when not using its ability. This is a visiting role.
Feel free to ask any questions about your role or the game itself.
Good luck and have fun!</v>
      </c>
    </row>
    <row r="49">
      <c r="A49" s="119"/>
      <c r="B49" s="120"/>
      <c r="C49" s="120"/>
      <c r="D49" s="82" t="s">
        <v>589</v>
      </c>
      <c r="E49" s="99" t="s">
        <v>443</v>
      </c>
      <c r="F49" s="100" t="str">
        <f t="shared" si="10"/>
        <v xml:space="preserve">[color=#00ff00]#NAME?[/color] - An Innocent Child has no night actions. If targeted by a faction kill, third party killer, or Town Doctor/Vigilante, the child grows up to become a part of the team that they were visited by, and they will receive a randomly selected role from that team. If they are visited by a third party killer, they are aligned with that killer and share a chat room with that killer, gaining Detective abilities. This is not a visiting role while not recruited.</v>
      </c>
      <c r="G49" s="116" t="str">
        <f t="shared" si="11"/>
        <v>[color=#00ff00]#NAME?[/color]</v>
      </c>
      <c r="H49" s="117" t="str">
        <f>split(substitute(E49," - ","~!@^&amp;*#",1),"~!@^&amp;*#",false)"),"Innocent Child</f>
        <v>#NAME?</v>
      </c>
      <c r="I49" s="106" t="str">
        <f>"COMPUTED_VALUE""),"An Innocent Child has no night actions. If targeted by a faction kill, third party killer, or Town Doctor/Vigilante, the child grows up to become a part of the team that they were visited by, and they will receive a randomly selected role from that team. "&amp;"If they are visited by a third party killer, they are aligned with that killer and share a chat room with that killer, gaining Detective abilities. This is not a visiting role while not recruited.</f>
        <v xml:space="preserve">An Innocent Child has no night actions. If targeted by a faction kill, third party killer, or Town Doctor/Vigilante, the child grows up to become a part of the team that they were visited by, and they will receive a randomly selected role from that team. If they are visited by a third party killer, they are aligned with that killer and share a chat room with that killer, gaining Detective abilities. This is not a visiting role while not recruited.</v>
      </c>
      <c r="J49" s="103" t="str">
        <f t="shared" si="12"/>
        <v xml:space="preserve">Hello and welcome to XXX Mafia # - 
Your role is[color=#00ff00]#NAME?[/color].
[color=#00ff00]#NAME?[/color] - An Innocent Child has no night actions. If targeted by a faction kill, third party killer, or Town Doctor/Vigilante, the child grows up to become a part of the team that they were visited by, and they will receive a randomly selected role from that team. If they are visited by a third party killer, they are aligned with that killer and share a chat room with that killer, gaining Detective abilities. This is not a visiting role while not recruited.
Feel free to ask any questions about your role or the game itself.
Good luck and have fun!</v>
      </c>
    </row>
    <row r="50">
      <c r="A50" s="119"/>
      <c r="B50" s="120"/>
      <c r="C50" s="120"/>
      <c r="D50" s="82" t="s">
        <v>589</v>
      </c>
      <c r="E50" s="99" t="s">
        <v>444</v>
      </c>
      <c r="F50" s="100" t="str">
        <f t="shared" si="10"/>
        <v xml:space="preserve">[color=#00ff00]#NAME?[/color] - An Inquisitor can ask a total of three yes/no questions to the host via PM about night events or the setting. When talking about players, the Inquisitor has to use the role name and not the player name (or the question is invalid). Questions fail if the player is visited. A failed attempt does not count against the limit. This is not a visiting role.</v>
      </c>
      <c r="G50" s="116" t="str">
        <f t="shared" si="11"/>
        <v>[color=#00ff00]#NAME?[/color]</v>
      </c>
      <c r="H50" s="117" t="str">
        <f>split(substitute(E50," - ","~!@^&amp;*#",1),"~!@^&amp;*#",false)"),"Inquisitor</f>
        <v>#NAME?</v>
      </c>
      <c r="I50" s="106" t="str">
        <f>"COMPUTED_VALUE""),"An Inquisitor can ask a total of three yes/no questions to the host via PM about night events or the setting. When talking about players, the Inquisitor has to use the role name and not the player name (or the question is invalid). Questions fail if the p"&amp;"layer is visited. A failed attempt does not count against the limit. This is not a visiting role.</f>
        <v xml:space="preserve">An Inquisitor can ask a total of three yes/no questions to the host via PM about night events or the setting. When talking about players, the Inquisitor has to use the role name and not the player name (or the question is invalid). Questions fail if the player is visited. A failed attempt does not count against the limit. This is not a visiting role.</v>
      </c>
      <c r="J50" s="103" t="str">
        <f t="shared" si="12"/>
        <v xml:space="preserve">Hello and welcome to XXX Mafia # - 
Your role is[color=#00ff00]#NAME?[/color].
[color=#00ff00]#NAME?[/color] - An Inquisitor can ask a total of three yes/no questions to the host via PM about night events or the setting. When talking about players, the Inquisitor has to use the role name and not the player name (or the question is invalid). Questions fail if the player is visited. A failed attempt does not count against the limit. This is not a visiting role.
Feel free to ask any questions about your role or the game itself.
Good luck and have fun!</v>
      </c>
    </row>
    <row r="51">
      <c r="A51" s="119"/>
      <c r="B51" s="120"/>
      <c r="C51" s="120"/>
      <c r="D51" s="82" t="s">
        <v>589</v>
      </c>
      <c r="E51" s="99" t="s">
        <v>445</v>
      </c>
      <c r="F51" s="100" t="str">
        <f t="shared" si="10"/>
        <v xml:space="preserve">[color=#00ff00]#NAME?[/color] - An Insane Cop investigates one player each night to determine if they are guilty or innocent. The Insane Cop cannot investigate themselves. The Insane Cop’s investigations will reveal results that are the opposite of the truth, but it does not know its sanity. The Insane Cop carries a gun. This is a visiting role.</v>
      </c>
      <c r="G51" s="116" t="str">
        <f t="shared" si="11"/>
        <v>[color=#00ff00]#NAME?[/color]</v>
      </c>
      <c r="H51" s="117" t="str">
        <f>split(substitute(E51," - ","~!@^&amp;*#",1),"~!@^&amp;*#",false)"),"Insane Cop</f>
        <v>#NAME?</v>
      </c>
      <c r="I51" s="106" t="str">
        <f>"COMPUTED_VALUE""),"An Insane Cop investigates one player each night to determine if they are guilty or innocent. The Insane Cop cannot investigate themselves. The Insane Cop’s investigations will reveal results that are the opposite of the truth, but it does not know its sa"&amp;"nity. The Insane Cop carries a gun. This is a visiting role.</f>
        <v xml:space="preserve">An Insane Cop investigates one player each night to determine if they are guilty or innocent. The Insane Cop cannot investigate themselves. The Insane Cop’s investigations will reveal results that are the opposite of the truth, but it does not know its sanity. The Insane Cop carries a gun. This is a visiting role.</v>
      </c>
      <c r="J51" s="103" t="str">
        <f t="shared" si="12"/>
        <v xml:space="preserve">Hello and welcome to XXX Mafia # - 
Your role is[color=#00ff00]#NAME?[/color].
[color=#00ff00]#NAME?[/color] - An Insane Cop investigates one player each night to determine if they are guilty or innocent. The Insane Cop cannot investigate themselves. The Insane Cop’s investigations will reveal results that are the opposite of the truth, but it does not know its sanity. The Insane Cop carries a gun. This is a visiting role.
Feel free to ask any questions about your role or the game itself.
Good luck and have fun!</v>
      </c>
    </row>
    <row r="52">
      <c r="A52" s="119"/>
      <c r="B52" s="120"/>
      <c r="C52" s="120"/>
      <c r="D52" s="82" t="s">
        <v>589</v>
      </c>
      <c r="E52" s="99" t="s">
        <v>446</v>
      </c>
      <c r="F52" s="100" t="str">
        <f t="shared" si="10"/>
        <v xml:space="preserve">[color=#00ff00]#NAME?[/color] - An Inventor can give out a total of five items (gadgets) during the game. Each gadget typically provides a one-shot use of a power role ability, such as a one-shot kill or a one-shot detective. The gadgets are chosen from a list provided in the Inventor’s role PM (there isn’t a fixed list of gadgets, it is up to the host to come up with one). The Inventor can give one item to themselves. The host may or may not reveal to the Inventor what each gadget does. This is a visiting role.</v>
      </c>
      <c r="G52" s="116" t="str">
        <f t="shared" si="11"/>
        <v>[color=#00ff00]#NAME?[/color]</v>
      </c>
      <c r="H52" s="117" t="str">
        <f>split(substitute(E52," - ","~!@^&amp;*#",1),"~!@^&amp;*#",false)"),"Inventor</f>
        <v>#NAME?</v>
      </c>
      <c r="I52" s="106" t="str">
        <f>"COMPUTED_VALUE""),"An Inventor can give out a total of five items (gadgets) during the game. Each gadget typically provides a one-shot use of a power role ability, such as a one-shot kill or a one-shot detective. The gadgets are chosen from a list provided in the Inventor’s"&amp;" role PM (there isn’t a fixed list of gadgets, it is up to the host to come up with one). The Inventor can give one item to themselves. The host may or may not reveal to the Inventor what each gadget does. This is a visiting role.</f>
        <v xml:space="preserve">An Inventor can give out a total of five items (gadgets) during the game. Each gadget typically provides a one-shot use of a power role ability, such as a one-shot kill or a one-shot detective. The gadgets are chosen from a list provided in the Inventor’s role PM (there isn’t a fixed list of gadgets, it is up to the host to come up with one). The Inventor can give one item to themselves. The host may or may not reveal to the Inventor what each gadget does. This is a visiting role.</v>
      </c>
      <c r="J52" s="103" t="str">
        <f t="shared" si="12"/>
        <v xml:space="preserve">Hello and welcome to XXX Mafia # - 
Your role is[color=#00ff00]#NAME?[/color].
[color=#00ff00]#NAME?[/color] - An Inventor can give out a total of five items (gadgets) during the game. Each gadget typically provides a one-shot use of a power role ability, such as a one-shot kill or a one-shot detective. The gadgets are chosen from a list provided in the Inventor’s role PM (there isn’t a fixed list of gadgets, it is up to the host to come up with one). The Inventor can give one item to themselves. The host may or may not reveal to the Inventor what each gadget does. This is a visiting role.
Feel free to ask any questions about your role or the game itself.
Good luck and have fun!</v>
      </c>
    </row>
    <row r="53">
      <c r="A53" s="119"/>
      <c r="B53" s="120"/>
      <c r="C53" s="120"/>
      <c r="D53" s="82" t="s">
        <v>589</v>
      </c>
      <c r="E53" s="99" t="s">
        <v>447</v>
      </c>
      <c r="F53" s="100" t="str">
        <f t="shared" si="10"/>
        <v xml:space="preserve">[color=#00ff00]#NAME?[/color] - A Jack of All Trades (JoAT) has the ability to perform one of these actions each night: detective, sane cop, roleblock, watch, track, gunsmith, jail and kill. The JoAT can only use each action once, but a failed attempt does not count against this limit. The JoAT carries a gun. This is a visiting role.</v>
      </c>
      <c r="G53" s="116" t="str">
        <f t="shared" si="11"/>
        <v>[color=#00ff00]#NAME?[/color]</v>
      </c>
      <c r="H53" s="117" t="str">
        <f>split(substitute(E53," - ","~!@^&amp;*#",1),"~!@^&amp;*#",false)"),"Jack of All Trades</f>
        <v>#NAME?</v>
      </c>
      <c r="I53" s="106" t="str">
        <f>"COMPUTED_VALUE""),"A Jack of All Trades (JoAT) has the ability to perform one of these actions each night: detective, sane cop, roleblock, watch, track, gunsmith, jail and kill. The JoAT can only use each action once, but a failed attempt does not count against this limit. "&amp;"The JoAT carries a gun. This is a visiting role.</f>
        <v xml:space="preserve">A Jack of All Trades (JoAT) has the ability to perform one of these actions each night: detective, sane cop, roleblock, watch, track, gunsmith, jail and kill. The JoAT can only use each action once, but a failed attempt does not count against this limit. The JoAT carries a gun. This is a visiting role.</v>
      </c>
      <c r="J53" s="103" t="str">
        <f t="shared" si="12"/>
        <v xml:space="preserve">Hello and welcome to XXX Mafia # - 
Your role is[color=#00ff00]#NAME?[/color].
[color=#00ff00]#NAME?[/color] - A Jack of All Trades (JoAT) has the ability to perform one of these actions each night: detective, sane cop, roleblock, watch, track, gunsmith, jail and kill. The JoAT can only use each action once, but a failed attempt does not count against this limit. The JoAT carries a gun. This is a visiting role.
Feel free to ask any questions about your role or the game itself.
Good luck and have fun!</v>
      </c>
    </row>
    <row r="54">
      <c r="A54" s="119"/>
      <c r="B54" s="120"/>
      <c r="C54" s="120"/>
      <c r="D54" s="82" t="s">
        <v>589</v>
      </c>
      <c r="E54" s="99" t="s">
        <v>448</v>
      </c>
      <c r="F54" s="100" t="str">
        <f t="shared" si="10"/>
        <v xml:space="preserve">[color=#00ff00]#NAME?[/color] - A Jailkeeper jails one target each night, and that target is roleblocked (cannot use a night ability) and immune to all night actions. If the Jailkeeper dies, the prisoner dies at the same time (and it does not matter if the prisoner is vested, is a Stump/Tough Guy or has a modifier that would prevent or delay death otherwise). This is a visiting role.</v>
      </c>
      <c r="G54" s="116" t="str">
        <f t="shared" si="11"/>
        <v>[color=#00ff00]#NAME?[/color]</v>
      </c>
      <c r="H54" s="117" t="str">
        <f>split(substitute(E54," - ","~!@^&amp;*#",1),"~!@^&amp;*#",false)"),"Jailkeeper</f>
        <v>#NAME?</v>
      </c>
      <c r="I54" s="106" t="str">
        <f>"COMPUTED_VALUE""),"A Jailkeeper jails one target each night, and that target is roleblocked (cannot use a night ability) and immune to all night actions. If the Jailkeeper dies, the prisoner dies at the same time (and it does not matter if the prisoner is vested, is a Stump"&amp;"/Tough Guy or has a modifier that would prevent or delay death otherwise). This is a visiting role.</f>
        <v xml:space="preserve">A Jailkeeper jails one target each night, and that target is roleblocked (cannot use a night ability) and immune to all night actions. If the Jailkeeper dies, the prisoner dies at the same time (and it does not matter if the prisoner is vested, is a Stump/Tough Guy or has a modifier that would prevent or delay death otherwise). This is a visiting role.</v>
      </c>
      <c r="J54" s="103" t="str">
        <f t="shared" si="12"/>
        <v xml:space="preserve">Hello and welcome to XXX Mafia # - 
Your role is[color=#00ff00]#NAME?[/color].
[color=#00ff00]#NAME?[/color] - A Jailkeeper jails one target each night, and that target is roleblocked (cannot use a night ability) and immune to all night actions. If the Jailkeeper dies, the prisoner dies at the same time (and it does not matter if the prisoner is vested, is a Stump/Tough Guy or has a modifier that would prevent or delay death otherwise). This is a visiting role.
Feel free to ask any questions about your role or the game itself.
Good luck and have fun!</v>
      </c>
    </row>
    <row r="55">
      <c r="A55" s="119"/>
      <c r="B55" s="120"/>
      <c r="C55" s="120"/>
      <c r="D55" s="82" t="s">
        <v>589</v>
      </c>
      <c r="E55" s="99" t="s">
        <v>449</v>
      </c>
      <c r="F55" s="100" t="str">
        <f t="shared" si="10"/>
        <v xml:space="preserve">[color=#00ff00]#NAME?[/color] - If Jesus gets lynched, he will rise again. While he is dead, he may commune with one dead player and learn their night actions and results. If there are over 20 players remaining, he will rise after 3 days. If there are under 20, 2 days. If under 15, he will rise the next day. Jesus is a one trick pony and cannot be resurrected a second time. This is not a visiting role.</v>
      </c>
      <c r="G55" s="116" t="str">
        <f t="shared" si="11"/>
        <v>[color=#00ff00]#NAME?[/color]</v>
      </c>
      <c r="H55" s="117" t="str">
        <f>split(substitute(E55," - ","~!@^&amp;*#",1),"~!@^&amp;*#",false)"),"Jesus</f>
        <v>#NAME?</v>
      </c>
      <c r="I55" s="106" t="str">
        <f>"COMPUTED_VALUE""),"If Jesus gets lynched, he will rise again. While he is dead, he may commune with one dead player and learn their night actions and results. If there are over 20 players remaining, he will rise after 3 days. If there are under 20, 2 days. If under 15, he w"&amp;"ill rise the next day. Jesus is a one trick pony and cannot be resurrected a second time. This is not a visiting role.</f>
        <v xml:space="preserve">If Jesus gets lynched, he will rise again. While he is dead, he may commune with one dead player and learn their night actions and results. If there are over 20 players remaining, he will rise after 3 days. If there are under 20, 2 days. If under 15, he will rise the next day. Jesus is a one trick pony and cannot be resurrected a second time. This is not a visiting role.</v>
      </c>
      <c r="J55" s="103" t="str">
        <f t="shared" si="12"/>
        <v xml:space="preserve">Hello and welcome to XXX Mafia # - 
Your role is[color=#00ff00]#NAME?[/color].
[color=#00ff00]#NAME?[/color] - If Jesus gets lynched, he will rise again. While he is dead, he may commune with one dead player and learn their night actions and results. If there are over 20 players remaining, he will rise after 3 days. If there are under 20, 2 days. If under 15, he will rise the next day. Jesus is a one trick pony and cannot be resurrected a second time. This is not a visiting role.
Feel free to ask any questions about your role or the game itself.
Good luck and have fun!</v>
      </c>
    </row>
    <row r="56">
      <c r="A56" s="119"/>
      <c r="B56" s="120"/>
      <c r="C56" s="120"/>
      <c r="D56" s="82" t="s">
        <v>589</v>
      </c>
      <c r="E56" s="99" t="s">
        <v>450</v>
      </c>
      <c r="F56" s="100" t="str">
        <f t="shared" si="10"/>
        <v xml:space="preserve">[color=#00ff00]#NAME?[/color] - A Keymaker makes a Key each night and gives it to a player. That player can then lock itself in its house during any night of the game, but only for one night. The player using the key is considered to be jailed for that night. The Keymaker can make one key for himself. Each key is unique and can only be given once. This is a visiting role.</v>
      </c>
      <c r="G56" s="116" t="str">
        <f t="shared" si="11"/>
        <v>[color=#00ff00]#NAME?[/color]</v>
      </c>
      <c r="H56" s="117" t="str">
        <f>split(substitute(E56," - ","~!@^&amp;*#",1),"~!@^&amp;*#",false)"),"Keymaker</f>
        <v>#NAME?</v>
      </c>
      <c r="I56" s="106" t="str">
        <f>"COMPUTED_VALUE""),"A Keymaker makes a Key each night and gives it to a player. That player can then lock itself in its house during any night of the game, but only for one night. The player using the key is considered to be jailed for that night. The Keymaker can make one k"&amp;"ey for himself. Each key is unique and can only be given once. This is a visiting role.</f>
        <v xml:space="preserve">A Keymaker makes a Key each night and gives it to a player. That player can then lock itself in its house during any night of the game, but only for one night. The player using the key is considered to be jailed for that night. The Keymaker can make one key for himself. Each key is unique and can only be given once. This is a visiting role.</v>
      </c>
      <c r="J56" s="103" t="str">
        <f t="shared" si="12"/>
        <v xml:space="preserve">Hello and welcome to XXX Mafia # - 
Your role is[color=#00ff00]#NAME?[/color].
[color=#00ff00]#NAME?[/color] - A Keymaker makes a Key each night and gives it to a player. That player can then lock itself in its house during any night of the game, but only for one night. The player using the key is considered to be jailed for that night. The Keymaker can make one key for himself. Each key is unique and can only be given once. This is a visiting role.
Feel free to ask any questions about your role or the game itself.
Good luck and have fun!</v>
      </c>
    </row>
    <row r="57">
      <c r="A57" s="119"/>
      <c r="B57" s="120"/>
      <c r="C57" s="120"/>
      <c r="D57" s="82" t="s">
        <v>589</v>
      </c>
      <c r="E57" s="99" t="s">
        <v>451</v>
      </c>
      <c r="F57" s="100" t="str">
        <f t="shared" si="10"/>
        <v xml:space="preserve">[color=#00ff00]#NAME?[/color] - Each night, a Lie Detector may send the host a quote containing a statement given by another player. The host will then reveal if the statement is a lie or not. A statement using just a color to identify an alignment will not succeed. The statement has to be clear and there can’t be more than one in each quote. This is not a visiting role.</v>
      </c>
      <c r="G57" s="116" t="str">
        <f t="shared" si="11"/>
        <v>[color=#00ff00]#NAME?[/color]</v>
      </c>
      <c r="H57" s="117" t="str">
        <f>split(substitute(E57," - ","~!@^&amp;*#",1),"~!@^&amp;*#",false)"),"Lie Detector</f>
        <v>#NAME?</v>
      </c>
      <c r="I57" s="106" t="str">
        <f>"COMPUTED_VALUE""),"Each night, a Lie Detector may send the host a quote containing a statement given by another player. The host will then reveal if the statement is a lie or not. A statement using just a color to identify an alignment will not succeed. The statement has to"&amp;" be clear and there can’t be more than one in each quote. This is not a visiting role.</f>
        <v xml:space="preserve">Each night, a Lie Detector may send the host a quote containing a statement given by another player. The host will then reveal if the statement is a lie or not. A statement using just a color to identify an alignment will not succeed. The statement has to be clear and there can’t be more than one in each quote. This is not a visiting role.</v>
      </c>
      <c r="J57" s="103" t="str">
        <f t="shared" si="12"/>
        <v xml:space="preserve">Hello and welcome to XXX Mafia # - 
Your role is[color=#00ff00]#NAME?[/color].
[color=#00ff00]#NAME?[/color] - Each night, a Lie Detector may send the host a quote containing a statement given by another player. The host will then reveal if the statement is a lie or not. A statement using just a color to identify an alignment will not succeed. The statement has to be clear and there can’t be more than one in each quote. This is not a visiting role.
Feel free to ask any questions about your role or the game itself.
Good luck and have fun!</v>
      </c>
    </row>
    <row r="58">
      <c r="A58" s="119"/>
      <c r="B58" s="120"/>
      <c r="C58" s="120"/>
      <c r="D58" s="82" t="s">
        <v>589</v>
      </c>
      <c r="E58" s="99" t="s">
        <v>452</v>
      </c>
      <c r="F58" s="100" t="str">
        <f t="shared" si="10"/>
        <v xml:space="preserve">[color=#00ff00]#NAME?[/color] - A Mailman can send an anonymous message to another player of their choice at night. This is done by sending the host the target's name and the message. The host will then send the message on to the target. The recipient can send a message in reply. This is not a visiting role.</v>
      </c>
      <c r="G58" s="116" t="str">
        <f t="shared" si="11"/>
        <v>[color=#00ff00]#NAME?[/color]</v>
      </c>
      <c r="H58" s="117" t="str">
        <f>split(substitute(E58," - ","~!@^&amp;*#",1),"~!@^&amp;*#",false)"),"Mailman</f>
        <v>#NAME?</v>
      </c>
      <c r="I58" s="106" t="str">
        <f>"COMPUTED_VALUE""),"A Mailman can send an anonymous message to another player of their choice at night. This is done by sending the host the target's name and the message. The host will then send the message on to the target. The recipient can send a message in reply. This i"&amp;"s not a visiting role.</f>
        <v xml:space="preserve">A Mailman can send an anonymous message to another player of their choice at night. This is done by sending the host the target's name and the message. The host will then send the message on to the target. The recipient can send a message in reply. This is not a visiting role.</v>
      </c>
      <c r="J58" s="103" t="str">
        <f t="shared" si="12"/>
        <v xml:space="preserve">Hello and welcome to XXX Mafia # - 
Your role is[color=#00ff00]#NAME?[/color].
[color=#00ff00]#NAME?[/color] - A Mailman can send an anonymous message to another player of their choice at night. This is done by sending the host the target's name and the message. The host will then send the message on to the target. The recipient can send a message in reply. This is not a visiting role.
Feel free to ask any questions about your role or the game itself.
Good luck and have fun!</v>
      </c>
    </row>
    <row r="59">
      <c r="A59" s="119"/>
      <c r="B59" s="120"/>
      <c r="C59" s="120"/>
      <c r="D59" s="82" t="s">
        <v>589</v>
      </c>
      <c r="E59" s="99" t="s">
        <v>453</v>
      </c>
      <c r="F59" s="100" t="str">
        <f t="shared" si="10"/>
        <v xml:space="preserve">[color=#00ff00]#NAME?[/color] - A Martyr can use their ability once. The Martyr chooses a target to kill, kills that target, and then dies. The Martyr cannot be saved when using their ability. This is a visiting role.</v>
      </c>
      <c r="G59" s="116" t="str">
        <f t="shared" si="11"/>
        <v>[color=#00ff00]#NAME?[/color]</v>
      </c>
      <c r="H59" s="117" t="str">
        <f>split(substitute(E59," - ","~!@^&amp;*#",1),"~!@^&amp;*#",false)"),"Martyr</f>
        <v>#NAME?</v>
      </c>
      <c r="I59" s="106" t="str">
        <f>"COMPUTED_VALUE""),"A Martyr can use their ability once. The Martyr chooses a target to kill, kills that target, and then dies. The Martyr cannot be saved when using their ability. This is a visiting role.</f>
        <v xml:space="preserve">A Martyr can use their ability once. The Martyr chooses a target to kill, kills that target, and then dies. The Martyr cannot be saved when using their ability. This is a visiting role.</v>
      </c>
      <c r="J59" s="103" t="str">
        <f t="shared" si="12"/>
        <v xml:space="preserve">Hello and welcome to XXX Mafia # - 
Your role is[color=#00ff00]#NAME?[/color].
[color=#00ff00]#NAME?[/color] - A Martyr can use their ability once. The Martyr chooses a target to kill, kills that target, and then dies. The Martyr cannot be saved when using their ability. This is a visiting role.
Feel free to ask any questions about your role or the game itself.
Good luck and have fun!</v>
      </c>
    </row>
    <row r="60">
      <c r="A60" s="119"/>
      <c r="B60" s="120"/>
      <c r="C60" s="120"/>
      <c r="D60" s="82" t="s">
        <v>589</v>
      </c>
      <c r="E60" s="99" t="s">
        <v>454</v>
      </c>
      <c r="F60" s="100" t="str">
        <f t="shared" si="10"/>
        <v xml:space="preserve">[color=#00ff00]#NAME?[/color] - Masons share a chat room. They recruit one player each night through a voting system - they are allowed to vote for "Nobody", but they are NOT allowed to refrain from voting. Only a majority is needed to recruit a player, but if no majority is reached, the recruitment will not happen. Recruiting a Town member removes that player's ability, and that player becomes a Mason. Recruiting Cult Members kills those Cult Members. Recruiting a scum faction member fails, and kills any Masons who voted to recruit that player. If the recruit is a scum member and is also targeted to be recruited by Cult on the same night, the action fails but no Masons die. The first Mason will be the leader and will carry out the recruitment. If more than one Mason exists at the beginning of the game, they will decide on N0 which one of them will be the leader. If the leader dies, the remaining Masons will decide again who will become the new leader. Masons are immune to other recruitment. There is a 50% chance of the game starting with a Mason whose abilities are intact. This is a visiting role when recruiting.</v>
      </c>
      <c r="G60" s="116" t="str">
        <f t="shared" si="11"/>
        <v>[color=#00ff00]#NAME?[/color]</v>
      </c>
      <c r="H60" s="117" t="str">
        <f>split(substitute(E60," - ","~!@^&amp;*#",1),"~!@^&amp;*#",false)"),"Mason</f>
        <v>#NAME?</v>
      </c>
      <c r="I60" s="106" t="str">
        <f>"COMPUTED_VALUE""),"Masons share a chat room. They recruit one player each night through a voting system - they are allowed to vote for "Nobody", but they are NOT allowed to refrain from voting. Only a majority is needed to recruit a player, but if no majority is reached, "&amp;"the recruitment will not happen. Recruiting a Town member removes that player's ability, and that player becomes a Mason. Recruiting Cult Members kills those Cult Members. Recruiting a scum faction member fails, and kills any Masons who voted to recruit t"&amp;"hat player. If the recruit is a scum member and is also targeted to be recruited by Cult on the same night, the action fails but no Masons die. The first Mason will be the leader and will carry out the recruitment. If more than one Mason exists at the beg"&amp;"inning of the game, they will decide on N0 which one of them will be the leader. If the leader dies, the remaining Masons will decide again who will become the new leader. Masons are immune to other recruitment. There is a 50% chance of the game starting "&amp;"with a Mason whose abilities are intact. This is a visiting role when recruiting.</f>
        <v xml:space="preserve">Masons share a chat room. They recruit one player each night through a voting system - they are allowed to vote for "Nobody", but they are NOT allowed to refrain from voting. Only a majority is needed to recruit a player, but if no majority is reached, the recruitment will not happen. Recruiting a Town member removes that player's ability, and that player becomes a Mason. Recruiting Cult Members kills those Cult Members. Recruiting a scum faction member fails, and kills any Masons who voted to recruit that player. If the recruit is a scum member and is also targeted to be recruited by Cult on the same night, the action fails but no Masons die. The first Mason will be the leader and will carry out the recruitment. If more than one Mason exists at the beginning of the game, they will decide on N0 which one of them will be the leader. If the leader dies, the remaining Masons will decide again who will become the new leader. Masons are immune to other recruitment. There is a 50% chance of the game starting with a Mason whose abilities are intact. This is a visiting role when recruiting.</v>
      </c>
      <c r="J60" s="103" t="str">
        <f t="shared" si="12"/>
        <v xml:space="preserve">Hello and welcome to XXX Mafia # - 
Your role is[color=#00ff00]#NAME?[/color].
[color=#00ff00]#NAME?[/color] - Masons share a chat room. They recruit one player each night through a voting system - they are allowed to vote for "Nobody", but they are NOT allowed to refrain from voting. Only a majority is needed to recruit a player, but if no majority is reached, the recruitment will not happen. Recruiting a Town member removes that player's ability, and that player becomes a Mason. Recruiting Cult Members kills those Cult Members. Recruiting a scum faction member fails, and kills any Masons who voted to recruit that player. If the recruit is a scum member and is also targeted to be recruited by Cult on the same night, the action fails but no Masons die. The first Mason will be the leader and will carry out the recruitment. If more than one Mason exists at the beginning of the game, they will decide on N0 which one of them will be the leader. If the leader dies, the remaining Masons will decide again who will become the new leader. Masons are immune to other recruitment. There is a 50% chance of the game starting with a Mason whose abilities are intact. This is a visiting role when recruiting.
Feel free to ask any questions about your role or the game itself.
Good luck and have fun!</v>
      </c>
    </row>
    <row r="61">
      <c r="A61" s="119"/>
      <c r="B61" s="120"/>
      <c r="C61" s="120"/>
      <c r="D61" s="82" t="s">
        <v>589</v>
      </c>
      <c r="E61" s="99" t="s">
        <v>455</v>
      </c>
      <c r="F61" s="100" t="str">
        <f t="shared" si="10"/>
        <v xml:space="preserve">[color=#00ff00]#NAME?[/color] - Like a Doctor, a Master Surgeon chooses one player to save at night. A Master Surgeon cannot self-heal. Saving is a visiting action. Alternatively, a Master Surgeon can revive one dead player immediately after death. That player will randomly be assigned a new role matching their original alignment. A Master Surgeon cannot target themselves for revival. Revival is not a visiting action. After a revival, a Master Surgeon cannot use a Doctor’s ability on the following two nights.</v>
      </c>
      <c r="G61" s="116" t="str">
        <f t="shared" si="11"/>
        <v>[color=#00ff00]#NAME?[/color]</v>
      </c>
      <c r="H61" s="117" t="str">
        <f>split(substitute(E61," - ","~!@^&amp;*#",1),"~!@^&amp;*#",false)"),"Master Surgeon</f>
        <v>#NAME?</v>
      </c>
      <c r="I61" s="106" t="str">
        <f>"COMPUTED_VALUE""),"Like a Doctor, a Master Surgeon chooses one player to save at night. A Master Surgeon cannot self-heal. Saving is a visiting action. Alternatively, a Master Surgeon can revive one dead player immediately after death. That player will randomly be assigned "&amp;"a new role matching their original alignment. A Master Surgeon cannot target themselves for revival. Revival is not a visiting action. After a revival, a Master Surgeon cannot use a Doctor’s ability on the following two nights.</f>
        <v xml:space="preserve">Like a Doctor, a Master Surgeon chooses one player to save at night. A Master Surgeon cannot self-heal. Saving is a visiting action. Alternatively, a Master Surgeon can revive one dead player immediately after death. That player will randomly be assigned a new role matching their original alignment. A Master Surgeon cannot target themselves for revival. Revival is not a visiting action. After a revival, a Master Surgeon cannot use a Doctor’s ability on the following two nights.</v>
      </c>
      <c r="J61" s="103" t="str">
        <f t="shared" si="12"/>
        <v xml:space="preserve">Hello and welcome to XXX Mafia # - 
Your role is[color=#00ff00]#NAME?[/color].
[color=#00ff00]#NAME?[/color] - Like a Doctor, a Master Surgeon chooses one player to save at night. A Master Surgeon cannot self-heal. Saving is a visiting action. Alternatively, a Master Surgeon can revive one dead player immediately after death. That player will randomly be assigned a new role matching their original alignment. A Master Surgeon cannot target themselves for revival. Revival is not a visiting action. After a revival, a Master Surgeon cannot use a Doctor’s ability on the following two nights.
Feel free to ask any questions about your role or the game itself.
Good luck and have fun!</v>
      </c>
    </row>
    <row r="62">
      <c r="A62" s="119"/>
      <c r="B62" s="120"/>
      <c r="C62" s="120"/>
      <c r="D62" s="82" t="s">
        <v>589</v>
      </c>
      <c r="E62" s="99" t="s">
        <v>456</v>
      </c>
      <c r="F62" s="100" t="str">
        <f t="shared" si="10"/>
        <v xml:space="preserve">[color=#00ff00]#NAME?[/color] - Every other night, a Medium gets additional information about the night events or the setting. When talking about players, the host will use the role name, not a player’s name. The Medium does not receive information if visited. A random choice will be made to determine if the Medium will start getting information on N0 or N1.</v>
      </c>
      <c r="G62" s="116" t="str">
        <f t="shared" si="11"/>
        <v>[color=#00ff00]#NAME?[/color]</v>
      </c>
      <c r="H62" s="117" t="str">
        <f>split(substitute(E62," - ","~!@^&amp;*#",1),"~!@^&amp;*#",false)"),"Medium</f>
        <v>#NAME?</v>
      </c>
      <c r="I62" s="106" t="str">
        <f>"COMPUTED_VALUE""),"Every other night, a Medium gets additional information about the night events or the setting. When talking about players, the host will use the role name, not a player’s name. The Medium does not receive information if visited. A random choice will be ma"&amp;"de to determine if the Medium will start getting information on N0 or N1.</f>
        <v xml:space="preserve">Every other night, a Medium gets additional information about the night events or the setting. When talking about players, the host will use the role name, not a player’s name. The Medium does not receive information if visited. A random choice will be made to determine if the Medium will start getting information on N0 or N1.</v>
      </c>
      <c r="J62" s="103" t="str">
        <f t="shared" si="12"/>
        <v xml:space="preserve">Hello and welcome to XXX Mafia # - 
Your role is[color=#00ff00]#NAME?[/color].
[color=#00ff00]#NAME?[/color] - Every other night, a Medium gets additional information about the night events or the setting. When talking about players, the host will use the role name, not a player’s name. The Medium does not receive information if visited. A random choice will be made to determine if the Medium will start getting information on N0 or N1.
Feel free to ask any questions about your role or the game itself.
Good luck and have fun!</v>
      </c>
    </row>
    <row r="63">
      <c r="A63" s="119"/>
      <c r="B63" s="120"/>
      <c r="C63" s="120"/>
      <c r="D63" s="82" t="s">
        <v>589</v>
      </c>
      <c r="E63" s="99" t="s">
        <v>457</v>
      </c>
      <c r="F63" s="100" t="str">
        <f t="shared" si="10"/>
        <v xml:space="preserve">[color=#00ff00]#NAME?[/color] - A Miller is a Vanilla townie who show as guilty to sane Cops and innocent to Insane Cops. This is not a visiting role.</v>
      </c>
      <c r="G63" s="116" t="str">
        <f t="shared" si="11"/>
        <v>[color=#00ff00]#NAME?[/color]</v>
      </c>
      <c r="H63" s="117" t="str">
        <f>split(substitute(E63," - ","~!@^&amp;*#",1),"~!@^&amp;*#",false)"),"Miller</f>
        <v>#NAME?</v>
      </c>
      <c r="I63" s="106" t="str">
        <f>"COMPUTED_VALUE""),"A Miller is a Vanilla townie who show as guilty to sane Cops and innocent to Insane Cops. This is not a visiting role.</f>
        <v xml:space="preserve">A Miller is a Vanilla townie who show as guilty to sane Cops and innocent to Insane Cops. This is not a visiting role.</v>
      </c>
      <c r="J63" s="103" t="str">
        <f t="shared" si="12"/>
        <v xml:space="preserve">Hello and welcome to XXX Mafia # - 
Your role is[color=#00ff00]#NAME?[/color].
[color=#00ff00]#NAME?[/color] - A Miller is a Vanilla townie who show as guilty to sane Cops and innocent to Insane Cops. This is not a visiting role.
Feel free to ask any questions about your role or the game itself.
Good luck and have fun!</v>
      </c>
    </row>
    <row r="64">
      <c r="A64" s="119"/>
      <c r="B64" s="120"/>
      <c r="C64" s="120"/>
      <c r="D64" s="82" t="s">
        <v>589</v>
      </c>
      <c r="E64" s="99" t="s">
        <v>458</v>
      </c>
      <c r="F64" s="100" t="str">
        <f t="shared" si="10"/>
        <v xml:space="preserve">[color=#00ff00]#NAME?[/color] - A Mortician can choose a dead player each night and obtain the player's true role, no matter how that role is disguised. This is not a visiting role.</v>
      </c>
      <c r="G64" s="116" t="str">
        <f t="shared" si="11"/>
        <v>[color=#00ff00]#NAME?[/color]</v>
      </c>
      <c r="H64" s="117" t="str">
        <f>split(substitute(E64," - ","~!@^&amp;*#",1),"~!@^&amp;*#",false)"),"Mortician</f>
        <v>#NAME?</v>
      </c>
      <c r="I64" s="106" t="str">
        <f>"COMPUTED_VALUE""),"A Mortician can choose a dead player each night and obtain the player's true role, no matter how that role is disguised. This is not a visiting role.</f>
        <v xml:space="preserve">A Mortician can choose a dead player each night and obtain the player's true role, no matter how that role is disguised. This is not a visiting role.</v>
      </c>
      <c r="J64" s="103" t="str">
        <f t="shared" si="12"/>
        <v xml:space="preserve">Hello and welcome to XXX Mafia # - 
Your role is[color=#00ff00]#NAME?[/color].
[color=#00ff00]#NAME?[/color] - A Mortician can choose a dead player each night and obtain the player's true role, no matter how that role is disguised. This is not a visiting role.
Feel free to ask any questions about your role or the game itself.
Good luck and have fun!</v>
      </c>
    </row>
    <row r="65">
      <c r="A65" s="119"/>
      <c r="B65" s="120"/>
      <c r="C65" s="120"/>
      <c r="H65" s="121"/>
      <c r="I65" s="82" t="s">
        <v>459</v>
      </c>
      <c r="J65" s="110"/>
    </row>
    <row r="66">
      <c r="A66" s="119"/>
      <c r="B66" s="120"/>
      <c r="C66" s="120"/>
      <c r="D66" s="82" t="s">
        <v>589</v>
      </c>
      <c r="E66" s="99" t="s">
        <v>460</v>
      </c>
      <c r="F66" s="100" t="str">
        <f t="shared" si="10"/>
        <v xml:space="preserve">[color=#00ff00]#NAME?[/color] - A Motivator targets a player at night to allow them to use an extra action. The extra action is available the next night and the next night only. Factional abilities, such as the Mafia night kill, cannot be used twice in one night. One-shot type of actions won’t be affected by motivation, i. e., if a Jack of All Trades is motivated, they can’t use two of the same action, they simply can use two different actions at once. The Motivator cannot motivate themselves. This is a visiting role.</v>
      </c>
      <c r="G66" s="116" t="str">
        <f t="shared" si="11"/>
        <v>[color=#00ff00]#NAME?[/color]</v>
      </c>
      <c r="H66" s="117" t="str">
        <f>split(substitute(E66," - ","~!@^&amp;*#",1),"~!@^&amp;*#",false)"),"Motivator</f>
        <v>#NAME?</v>
      </c>
      <c r="I66" s="106" t="str">
        <f>"COMPUTED_VALUE""),"A Motivator targets a player at night to allow them to use an extra action. The extra action is available the next night and the next night only. Factional abilities, such as the Mafia night kill, cannot be used twice in one night. One-shot type of action"&amp;"s won’t be affected by motivation, i. e., if a Jack of All Trades is motivated, they can’t use two of the same action, they simply can use two different actions at once. The Motivator cannot motivate themselves. This is a visiting role.</f>
        <v xml:space="preserve">A Motivator targets a player at night to allow them to use an extra action. The extra action is available the next night and the next night only. Factional abilities, such as the Mafia night kill, cannot be used twice in one night. One-shot type of actions won’t be affected by motivation, i. e., if a Jack of All Trades is motivated, they can’t use two of the same action, they simply can use two different actions at once. The Motivator cannot motivate themselves. This is a visiting role.</v>
      </c>
      <c r="J66" s="103" t="str">
        <f t="shared" si="12"/>
        <v xml:space="preserve">Hello and welcome to XXX Mafia # - 
Your role is[color=#00ff00]#NAME?[/color].
[color=#00ff00]#NAME?[/color] - A Motivator targets a player at night to allow them to use an extra action. The extra action is available the next night and the next night only. Factional abilities, such as the Mafia night kill, cannot be used twice in one night. One-shot type of actions won’t be affected by motivation, i. e., if a Jack of All Trades is motivated, they can’t use two of the same action, they simply can use two different actions at once. The Motivator cannot motivate themselves. This is a visiting role.
Feel free to ask any questions about your role or the game itself.
Good luck and have fun!</v>
      </c>
    </row>
    <row r="67">
      <c r="A67" s="119"/>
      <c r="B67" s="120"/>
      <c r="C67" s="120"/>
      <c r="D67" s="82" t="s">
        <v>589</v>
      </c>
      <c r="E67" s="99" t="s">
        <v>461</v>
      </c>
      <c r="F67" s="100" t="str">
        <f t="shared" si="10"/>
        <v xml:space="preserve">[color=#00ff00]#NAME?[/color] - A Naive Cop Investigates one player each night to determine if they are guilty or innocent. The Naive Cop cannot investigate itself. The Naive Cop’s investigations will return 'Innocent' the first three nights. After that, it loses its naivety and returns sane Cop results. The Naive Cop does not know of its naivety. The Naive Cop carries a gun. This is a visiting role.</v>
      </c>
      <c r="G67" s="116" t="str">
        <f t="shared" si="11"/>
        <v>[color=#00ff00]#NAME?[/color]</v>
      </c>
      <c r="H67" s="117" t="str">
        <f>split(substitute(E67," - ","~!@^&amp;*#",1),"~!@^&amp;*#",false)"),"Naive Cop</f>
        <v>#NAME?</v>
      </c>
      <c r="I67" s="106" t="str">
        <f>"COMPUTED_VALUE""),"A Naive Cop Investigates one player each night to determine if they are guilty or innocent. The Naive Cop cannot investigate itself. The Naive Cop’s investigations will return 'Innocent' the first three nights. After that, it loses its naivety and returns"&amp;" sane Cop results. The Naive Cop does not know of its naivety. The Naive Cop carries a gun. This is a visiting role.</f>
        <v xml:space="preserve">A Naive Cop Investigates one player each night to determine if they are guilty or innocent. The Naive Cop cannot investigate itself. The Naive Cop’s investigations will return 'Innocent' the first three nights. After that, it loses its naivety and returns sane Cop results. The Naive Cop does not know of its naivety. The Naive Cop carries a gun. This is a visiting role.</v>
      </c>
      <c r="J67" s="103" t="str">
        <f t="shared" si="12"/>
        <v xml:space="preserve">Hello and welcome to XXX Mafia # - 
Your role is[color=#00ff00]#NAME?[/color].
[color=#00ff00]#NAME?[/color] - A Naive Cop Investigates one player each night to determine if they are guilty or innocent. The Naive Cop cannot investigate itself. The Naive Cop’s investigations will return 'Innocent' the first three nights. After that, it loses its naivety and returns sane Cop results. The Naive Cop does not know of its naivety. The Naive Cop carries a gun. This is a visiting role.
Feel free to ask any questions about your role or the game itself.
Good luck and have fun!</v>
      </c>
    </row>
    <row r="68">
      <c r="A68" s="119"/>
      <c r="B68" s="120"/>
      <c r="C68" s="120"/>
      <c r="D68" s="82" t="s">
        <v>589</v>
      </c>
      <c r="E68" s="99" t="s">
        <v>462</v>
      </c>
      <c r="F68" s="100" t="str">
        <f t="shared" si="10"/>
        <v xml:space="preserve">[color=#00ff00]#NAME?[/color] - A Neighborhood Watch chooses to watch one player per night. If the watched player dies, there is a 50% chance that the Neighborhood Watch sees the killer, thus learning the killer’s identity, even if the killer is cloaked (including Sneaky Pete). If two or more Neighborhood Watch players watch the same player, there is a 100% chance that they will see the killer. All Neighborhood Watch players may communicate with each other in a chat room. Neighborhood Watch players will also get normal watch results even when the target is not killed. This is a visiting role.</v>
      </c>
      <c r="G68" s="116" t="str">
        <f t="shared" si="11"/>
        <v>[color=#00ff00]#NAME?[/color]</v>
      </c>
      <c r="H68" s="117" t="str">
        <f>split(substitute(E68," - ","~!@^&amp;*#",1),"~!@^&amp;*#",false)"),"Neighborhood Watch</f>
        <v>#NAME?</v>
      </c>
      <c r="I68" s="106" t="str">
        <f>"COMPUTED_VALUE""),"A Neighborhood Watch chooses to watch one player per night. If the watched player dies, there is a 50% chance that the Neighborhood Watch sees the killer, thus learning the killer’s identity, even if the killer is cloaked (including Sneaky Pete). If two o"&amp;"r more Neighborhood Watch players watch the same player, there is a 100% chance that they will see the killer. All Neighborhood Watch players may communicate with each other in a chat room. Neighborhood Watch players will also get normal watch results eve"&amp;"n when the target is not killed. This is a visiting role.</f>
        <v xml:space="preserve">A Neighborhood Watch chooses to watch one player per night. If the watched player dies, there is a 50% chance that the Neighborhood Watch sees the killer, thus learning the killer’s identity, even if the killer is cloaked (including Sneaky Pete). If two or more Neighborhood Watch players watch the same player, there is a 100% chance that they will see the killer. All Neighborhood Watch players may communicate with each other in a chat room. Neighborhood Watch players will also get normal watch results even when the target is not killed. This is a visiting role.</v>
      </c>
      <c r="J68" s="103" t="str">
        <f t="shared" si="12"/>
        <v xml:space="preserve">Hello and welcome to XXX Mafia # - 
Your role is[color=#00ff00]#NAME?[/color].
[color=#00ff00]#NAME?[/color] - A Neighborhood Watch chooses to watch one player per night. If the watched player dies, there is a 50% chance that the Neighborhood Watch sees the killer, thus learning the killer’s identity, even if the killer is cloaked (including Sneaky Pete). If two or more Neighborhood Watch players watch the same player, there is a 100% chance that they will see the killer. All Neighborhood Watch players may communicate with each other in a chat room. Neighborhood Watch players will also get normal watch results even when the target is not killed. This is a visiting role.
Feel free to ask any questions about your role or the game itself.
Good luck and have fun!</v>
      </c>
    </row>
    <row r="69">
      <c r="A69" s="119"/>
      <c r="B69" s="120"/>
      <c r="C69" s="120"/>
      <c r="D69" s="82" t="s">
        <v>589</v>
      </c>
      <c r="E69" s="99" t="s">
        <v>463</v>
      </c>
      <c r="F69" s="100" t="str">
        <f t="shared" si="10"/>
        <v xml:space="preserve">[color=#00ff00]#NAME?[/color] - A Paranoid Cop investigates one player each night to determine if they are guilty or innocent. The Paranoid Cop cannot investigate itself. The Paranoid Cop;s investigations will return 'Guilty' the first three nights. After that, it loses its paranoia. The Paranoid Cop does not know of its paranoia. The Paranoid Cop carries a gun. This is a visiting role.</v>
      </c>
      <c r="G69" s="116" t="str">
        <f t="shared" si="11"/>
        <v>[color=#00ff00]#NAME?[/color]</v>
      </c>
      <c r="H69" s="117" t="str">
        <f>split(substitute(E69," - ","~!@^&amp;*#",1),"~!@^&amp;*#",false)"),"Paranoid Cop</f>
        <v>#NAME?</v>
      </c>
      <c r="I69" s="106" t="str">
        <f>"COMPUTED_VALUE""),"A Paranoid Cop investigates one player each night to determine if they are guilty or innocent. The Paranoid Cop cannot investigate itself. The Paranoid Cop;s investigations will return 'Guilty' the first three nights. After that, it loses its paranoia. Th"&amp;"e Paranoid Cop does not know of its paranoia. The Paranoid Cop carries a gun. This is a visiting role.</f>
        <v xml:space="preserve">A Paranoid Cop investigates one player each night to determine if they are guilty or innocent. The Paranoid Cop cannot investigate itself. The Paranoid Cop;s investigations will return 'Guilty' the first three nights. After that, it loses its paranoia. The Paranoid Cop does not know of its paranoia. The Paranoid Cop carries a gun. This is a visiting role.</v>
      </c>
      <c r="J69" s="103" t="str">
        <f t="shared" si="12"/>
        <v xml:space="preserve">Hello and welcome to XXX Mafia # - 
Your role is[color=#00ff00]#NAME?[/color].
[color=#00ff00]#NAME?[/color] - A Paranoid Cop investigates one player each night to determine if they are guilty or innocent. The Paranoid Cop cannot investigate itself. The Paranoid Cop;s investigations will return 'Guilty' the first three nights. After that, it loses its paranoia. The Paranoid Cop does not know of its paranoia. The Paranoid Cop carries a gun. This is a visiting role.
Feel free to ask any questions about your role or the game itself.
Good luck and have fun!</v>
      </c>
    </row>
    <row r="70">
      <c r="A70" s="119"/>
      <c r="B70" s="120"/>
      <c r="C70" s="120"/>
      <c r="D70" s="82" t="s">
        <v>589</v>
      </c>
      <c r="E70" s="99" t="s">
        <v>464</v>
      </c>
      <c r="F70" s="100" t="str">
        <f t="shared" si="10"/>
        <v xml:space="preserve">[color=#00ff00]#NAME?[/color] - A Paranoid Insane Cop investigates one player each night to determine if they are guilty or innocent. A Paranoid Insane Cop cannot investigate itself. The Paranoid Insane Cop’s investigations will return 'Guilty' the first three nights. After that, it loses its paranoia, but is still insane, so investigations on N3 and beyond will return the opposite of the truth. The Paranoid Insane Cop does not know of its paranoia or insanity. The Paranoid Insane Cop carries a gun. This is a visiting role.</v>
      </c>
      <c r="G70" s="116" t="str">
        <f t="shared" si="11"/>
        <v>[color=#00ff00]#NAME?[/color]</v>
      </c>
      <c r="H70" s="117" t="str">
        <f>split(substitute(E70," - ","~!@^&amp;*#",1),"~!@^&amp;*#",false)"),"Paranoid Insane Cop</f>
        <v>#NAME?</v>
      </c>
      <c r="I70" s="106" t="str">
        <f>"COMPUTED_VALUE""),"A Paranoid Insane Cop investigates one player each night to determine if they are guilty or innocent. A Paranoid Insane Cop cannot investigate itself. The Paranoid Insane Cop’s investigations will return 'Guilty' the first three nights. After that, it los"&amp;"es its paranoia, but is still insane, so investigations on N3 and beyond will return the opposite of the truth. The Paranoid Insane Cop does not know of its paranoia or insanity. The Paranoid Insane Cop carries a gun. This is a visiting role.</f>
        <v xml:space="preserve">A Paranoid Insane Cop investigates one player each night to determine if they are guilty or innocent. A Paranoid Insane Cop cannot investigate itself. The Paranoid Insane Cop’s investigations will return 'Guilty' the first three nights. After that, it loses its paranoia, but is still insane, so investigations on N3 and beyond will return the opposite of the truth. The Paranoid Insane Cop does not know of its paranoia or insanity. The Paranoid Insane Cop carries a gun. This is a visiting role.</v>
      </c>
      <c r="J70" s="103" t="str">
        <f t="shared" si="12"/>
        <v xml:space="preserve">Hello and welcome to XXX Mafia # - 
Your role is[color=#00ff00]#NAME?[/color].
[color=#00ff00]#NAME?[/color] - A Paranoid Insane Cop investigates one player each night to determine if they are guilty or innocent. A Paranoid Insane Cop cannot investigate itself. The Paranoid Insane Cop’s investigations will return 'Guilty' the first three nights. After that, it loses its paranoia, but is still insane, so investigations on N3 and beyond will return the opposite of the truth. The Paranoid Insane Cop does not know of its paranoia or insanity. The Paranoid Insane Cop carries a gun. This is a visiting role.
Feel free to ask any questions about your role or the game itself.
Good luck and have fun!</v>
      </c>
    </row>
    <row r="71">
      <c r="A71" s="119"/>
      <c r="B71" s="120"/>
      <c r="C71" s="120"/>
      <c r="D71" s="82" t="s">
        <v>589</v>
      </c>
      <c r="E71" s="99" t="s">
        <v>465</v>
      </c>
      <c r="F71" s="100" t="str">
        <f t="shared" si="10"/>
        <v xml:space="preserve">[color=#00ff00]#NAME?[/color] - A Parity Cop is an information role that receives a difference check during the night on two living players of their choosing. The player chosen on N0 returns without a check. The Parity Cop then chooses a player each of the following nights and will be told if that player is of the same or different alignments to the Parity Cop’s first successful target. The Parity Cop cannot target itself until it has had one successful result. The Parity Cop carries a gun. This is a visiting role.</v>
      </c>
      <c r="G71" s="116" t="str">
        <f t="shared" si="11"/>
        <v>[color=#00ff00]#NAME?[/color]</v>
      </c>
      <c r="H71" s="117" t="str">
        <f>split(substitute(E71," - ","~!@^&amp;*#",1),"~!@^&amp;*#",false)"),"Parity Cop</f>
        <v>#NAME?</v>
      </c>
      <c r="I71" s="106" t="str">
        <f>"COMPUTED_VALUE""),"A Parity Cop is an information role that receives a difference check during the night on two living players of their choosing. The player chosen on N0 returns without a check. The Parity Cop then chooses a player each of the following nights and will be t"&amp;"old if that player is of the same or different alignments to the Parity Cop’s first successful target. The Parity Cop cannot target itself until it has had one successful result. The Parity Cop carries a gun. This is a visiting role.</f>
        <v xml:space="preserve">A Parity Cop is an information role that receives a difference check during the night on two living players of their choosing. The player chosen on N0 returns without a check. The Parity Cop then chooses a player each of the following nights and will be told if that player is of the same or different alignments to the Parity Cop’s first successful target. The Parity Cop cannot target itself until it has had one successful result. The Parity Cop carries a gun. This is a visiting role.</v>
      </c>
      <c r="J71" s="103" t="str">
        <f t="shared" si="12"/>
        <v xml:space="preserve">Hello and welcome to XXX Mafia # - 
Your role is[color=#00ff00]#NAME?[/color].
[color=#00ff00]#NAME?[/color] - A Parity Cop is an information role that receives a difference check during the night on two living players of their choosing. The player chosen on N0 returns without a check. The Parity Cop then chooses a player each of the following nights and will be told if that player is of the same or different alignments to the Parity Cop’s first successful target. The Parity Cop cannot target itself until it has had one successful result. The Parity Cop carries a gun. This is a visiting role.
Feel free to ask any questions about your role or the game itself.
Good luck and have fun!</v>
      </c>
    </row>
    <row r="72">
      <c r="A72" s="119"/>
      <c r="B72" s="120"/>
      <c r="C72" s="120"/>
      <c r="D72" s="82" t="s">
        <v>589</v>
      </c>
      <c r="E72" s="99" t="s">
        <v>466</v>
      </c>
      <c r="F72" s="100" t="str">
        <f t="shared" si="10"/>
        <v xml:space="preserve">[color=#00ff00]#NAME?[/color] - A Party Host can choose to host a party 3 times during the game (and a failed attempt does not count against this limit). On the nights the Party Host is hosting a party, any player that visits them will be jailed during that night (meaning that their action will fail and actions directed towards them will fail as well). (Note: non-visiting roles will not be affected if they target the Party Host). The next day, the players that were at the party must use the drunk translator to transform any posts they make in the game thread. As with a jailer, if the Party Host is killed while hosting a party, any player at the party will die at the same time. This is not a visiting role.</v>
      </c>
      <c r="G72" s="116" t="str">
        <f t="shared" si="11"/>
        <v>[color=#00ff00]#NAME?[/color]</v>
      </c>
      <c r="H72" s="117" t="str">
        <f>split(substitute(E72," - ","~!@^&amp;*#",1),"~!@^&amp;*#",false)"),"Party Host</f>
        <v>#NAME?</v>
      </c>
      <c r="I72" s="106" t="str">
        <f>"COMPUTED_VALUE""),"A Party Host can choose to host a party 3 times during the game (and a failed attempt does not count against this limit). On the nights the Party Host is hosting a party, any player that visits them will be jailed during that night (meaning that their act"&amp;"ion will fail and actions directed towards them will fail as well). (Note: non-visiting roles will not be affected if they target the Party Host). The next day, the players that were at the party must use the drunk translator to transform any posts they m"&amp;"ake in the game thread. As with a jailer, if the Party Host is killed while hosting a party, any player at the party will die at the same time. This is not a visiting role.</f>
        <v xml:space="preserve">A Party Host can choose to host a party 3 times during the game (and a failed attempt does not count against this limit). On the nights the Party Host is hosting a party, any player that visits them will be jailed during that night (meaning that their action will fail and actions directed towards them will fail as well). (Note: non-visiting roles will not be affected if they target the Party Host). The next day, the players that were at the party must use the drunk translator to transform any posts they make in the game thread. As with a jailer, if the Party Host is killed while hosting a party, any player at the party will die at the same time. This is not a visiting role.</v>
      </c>
      <c r="J72" s="103" t="str">
        <f t="shared" si="12"/>
        <v xml:space="preserve">Hello and welcome to XXX Mafia # - 
Your role is[color=#00ff00]#NAME?[/color].
[color=#00ff00]#NAME?[/color] - A Party Host can choose to host a party 3 times during the game (and a failed attempt does not count against this limit). On the nights the Party Host is hosting a party, any player that visits them will be jailed during that night (meaning that their action will fail and actions directed towards them will fail as well). (Note: non-visiting roles will not be affected if they target the Party Host). The next day, the players that were at the party must use the drunk translator to transform any posts they make in the game thread. As with a jailer, if the Party Host is killed while hosting a party, any player at the party will die at the same time. This is not a visiting role.
Feel free to ask any questions about your role or the game itself.
Good luck and have fun!</v>
      </c>
    </row>
    <row r="73">
      <c r="A73" s="119"/>
      <c r="B73" s="120"/>
      <c r="C73" s="120"/>
      <c r="D73" s="82" t="s">
        <v>589</v>
      </c>
      <c r="E73" s="99" t="s">
        <v>467</v>
      </c>
      <c r="F73" s="100" t="str">
        <f t="shared" si="10"/>
        <v xml:space="preserve">[color=#00ff00]#NAME?[/color] - Each night, a Photographer may watch up to two players. The Photographer learns who visits both players that night. This is a visiting role.</v>
      </c>
      <c r="G73" s="116" t="str">
        <f t="shared" si="11"/>
        <v>[color=#00ff00]#NAME?[/color]</v>
      </c>
      <c r="H73" s="117" t="str">
        <f>split(substitute(E73," - ","~!@^&amp;*#",1),"~!@^&amp;*#",false)"),"Photographer</f>
        <v>#NAME?</v>
      </c>
      <c r="I73" s="106" t="str">
        <f>"COMPUTED_VALUE""),"Each night, a Photographer may watch up to two players. The Photographer learns who visits both players that night. This is a visiting role.</f>
        <v xml:space="preserve">Each night, a Photographer may watch up to two players. The Photographer learns who visits both players that night. This is a visiting role.</v>
      </c>
      <c r="J73" s="103" t="str">
        <f t="shared" si="12"/>
        <v xml:space="preserve">Hello and welcome to XXX Mafia # - 
Your role is[color=#00ff00]#NAME?[/color].
[color=#00ff00]#NAME?[/color] - Each night, a Photographer may watch up to two players. The Photographer learns who visits both players that night. This is a visiting role.
Feel free to ask any questions about your role or the game itself.
Good luck and have fun!</v>
      </c>
    </row>
    <row r="74">
      <c r="A74" s="119"/>
      <c r="B74" s="120"/>
      <c r="C74" s="120"/>
      <c r="D74" s="82" t="s">
        <v>589</v>
      </c>
      <c r="E74" s="99" t="s">
        <v>468</v>
      </c>
      <c r="F74" s="100" t="str">
        <f t="shared" si="10"/>
        <v xml:space="preserve">[color=#00ff00]#NAME?[/color] - A Priest chooses a player each night to protect from being recruited by The Fallen Angel. The Priest cannot choose to protect the same player three nights in a row. The Priest can protect itself. This is a visiting role.</v>
      </c>
      <c r="G74" s="116" t="str">
        <f t="shared" si="11"/>
        <v>[color=#00ff00]#NAME?[/color]</v>
      </c>
      <c r="H74" s="117" t="str">
        <f>split(substitute(E74," - ","~!@^&amp;*#",1),"~!@^&amp;*#",false)"),"Priest</f>
        <v>#NAME?</v>
      </c>
      <c r="I74" s="106" t="str">
        <f>"COMPUTED_VALUE""),"A Priest chooses a player each night to protect from being recruited by The Fallen Angel. The Priest cannot choose to protect the same player three nights in a row. The Priest can protect itself. This is a visiting role.</f>
        <v xml:space="preserve">A Priest chooses a player each night to protect from being recruited by The Fallen Angel. The Priest cannot choose to protect the same player three nights in a row. The Priest can protect itself. This is a visiting role.</v>
      </c>
      <c r="J74" s="103" t="str">
        <f t="shared" si="12"/>
        <v xml:space="preserve">Hello and welcome to XXX Mafia # - 
Your role is[color=#00ff00]#NAME?[/color].
[color=#00ff00]#NAME?[/color] - A Priest chooses a player each night to protect from being recruited by The Fallen Angel. The Priest cannot choose to protect the same player three nights in a row. The Priest can protect itself. This is a visiting role.
Feel free to ask any questions about your role or the game itself.
Good luck and have fun!</v>
      </c>
    </row>
    <row r="75">
      <c r="A75" s="119"/>
      <c r="B75" s="120"/>
      <c r="C75" s="120"/>
      <c r="D75" s="82" t="s">
        <v>589</v>
      </c>
      <c r="E75" s="99" t="s">
        <v>469</v>
      </c>
      <c r="F75" s="100" t="str">
        <f t="shared" si="10"/>
        <v xml:space="preserve">[color=#00ff00]#NAME?[/color] - Each night, a Private Eye may track up to two players. The Private Eye learns who those players visit that night. This is a visiting role.</v>
      </c>
      <c r="G75" s="116" t="str">
        <f t="shared" si="11"/>
        <v>[color=#00ff00]#NAME?[/color]</v>
      </c>
      <c r="H75" s="117" t="str">
        <f>split(substitute(E75," - ","~!@^&amp;*#",1),"~!@^&amp;*#",false)"),"Private Eye</f>
        <v>#NAME?</v>
      </c>
      <c r="I75" s="106" t="str">
        <f>"COMPUTED_VALUE""),"Each night, a Private Eye may track up to two players. The Private Eye learns who those players visit that night. This is a visiting role.</f>
        <v xml:space="preserve">Each night, a Private Eye may track up to two players. The Private Eye learns who those players visit that night. This is a visiting role.</v>
      </c>
      <c r="J75" s="103" t="str">
        <f t="shared" si="12"/>
        <v xml:space="preserve">Hello and welcome to XXX Mafia # - 
Your role is[color=#00ff00]#NAME?[/color].
[color=#00ff00]#NAME?[/color] - Each night, a Private Eye may track up to two players. The Private Eye learns who those players visit that night. This is a visiting role.
Feel free to ask any questions about your role or the game itself.
Good luck and have fun!</v>
      </c>
    </row>
    <row r="76">
      <c r="A76" s="119"/>
      <c r="B76" s="120"/>
      <c r="C76" s="120"/>
      <c r="D76" s="82" t="s">
        <v>589</v>
      </c>
      <c r="E76" s="99" t="s">
        <v>470</v>
      </c>
      <c r="F76" s="100" t="str">
        <f t="shared" si="10"/>
        <v xml:space="preserve">[color=#00ff00]#NAME?[/color] - A Reviver can revive one dead player immediately after death. That player will randomly be assigned a new role matching their original alignment. The revival will be announced in thread in the moment it happens, but the revived player’s new role won’t be revealed. The Reviver cannot target itself. This is not a visiting role.</v>
      </c>
      <c r="G76" s="116" t="str">
        <f t="shared" si="11"/>
        <v>[color=#00ff00]#NAME?[/color]</v>
      </c>
      <c r="H76" s="117" t="str">
        <f>split(substitute(E76," - ","~!@^&amp;*#",1),"~!@^&amp;*#",false)"),"Reviver</f>
        <v>#NAME?</v>
      </c>
      <c r="I76" s="106" t="str">
        <f>"COMPUTED_VALUE""),"A Reviver can revive one dead player immediately after death. That player will randomly be assigned a new role matching their original alignment. The revival will be announced in thread in the moment it happens, but the revived player’s new role won’t be "&amp;"revealed. The Reviver cannot target itself. This is not a visiting role.</f>
        <v xml:space="preserve">A Reviver can revive one dead player immediately after death. That player will randomly be assigned a new role matching their original alignment. The revival will be announced in thread in the moment it happens, but the revived player’s new role won’t be revealed. The Reviver cannot target itself. This is not a visiting role.</v>
      </c>
      <c r="J76" s="103" t="str">
        <f t="shared" si="12"/>
        <v xml:space="preserve">Hello and welcome to XXX Mafia # - 
Your role is[color=#00ff00]#NAME?[/color].
[color=#00ff00]#NAME?[/color] - A Reviver can revive one dead player immediately after death. That player will randomly be assigned a new role matching their original alignment. The revival will be announced in thread in the moment it happens, but the revived player’s new role won’t be revealed. The Reviver cannot target itself. This is not a visiting role.
Feel free to ask any questions about your role or the game itself.
Good luck and have fun!</v>
      </c>
    </row>
    <row r="77">
      <c r="A77" s="119"/>
      <c r="B77" s="120"/>
      <c r="C77" s="120"/>
      <c r="D77" s="82" t="s">
        <v>589</v>
      </c>
      <c r="E77" s="99" t="s">
        <v>471</v>
      </c>
      <c r="F77" s="100" t="str">
        <f t="shared" si="10"/>
        <v xml:space="preserve">[color=#00ff00]#NAME?[/color] - A Rookie Cop has no night actions until the Cop dies. After the Cop’s death, the Rookie Cop is promoted to Cop and may choose one target each night to determine if they are guilty or innocent. The promotion takes place instantly, which means the Rookie Cop can start sending actions immediately after the Cop’s death. The Rookie Cop will always become a Sane Cop. The Rookie Cop carries a gun. This is not a visiting role until they get promoted to Cop.</v>
      </c>
      <c r="G77" s="116" t="str">
        <f t="shared" si="11"/>
        <v>[color=#00ff00]#NAME?[/color]</v>
      </c>
      <c r="H77" s="117" t="str">
        <f>split(substitute(E77," - ","~!@^&amp;*#",1),"~!@^&amp;*#",false)"),"Rookie Cop</f>
        <v>#NAME?</v>
      </c>
      <c r="I77" s="106" t="str">
        <f>"COMPUTED_VALUE""),"A Rookie Cop has no night actions until the Cop dies. After the Cop’s death, the Rookie Cop is promoted to Cop and may choose one target each night to determine if they are guilty or innocent. The promotion takes place instantly, which means the Rookie Co"&amp;"p can start sending actions immediately after the Cop’s death. The Rookie Cop will always become a Sane Cop. The Rookie Cop carries a gun. This is not a visiting role until they get promoted to Cop.</f>
        <v xml:space="preserve">A Rookie Cop has no night actions until the Cop dies. After the Cop’s death, the Rookie Cop is promoted to Cop and may choose one target each night to determine if they are guilty or innocent. The promotion takes place instantly, which means the Rookie Cop can start sending actions immediately after the Cop’s death. The Rookie Cop will always become a Sane Cop. The Rookie Cop carries a gun. This is not a visiting role until they get promoted to Cop.</v>
      </c>
      <c r="J77" s="103" t="str">
        <f t="shared" si="12"/>
        <v xml:space="preserve">Hello and welcome to XXX Mafia # - 
Your role is[color=#00ff00]#NAME?[/color].
[color=#00ff00]#NAME?[/color] - A Rookie Cop has no night actions until the Cop dies. After the Cop’s death, the Rookie Cop is promoted to Cop and may choose one target each night to determine if they are guilty or innocent. The promotion takes place instantly, which means the Rookie Cop can start sending actions immediately after the Cop’s death. The Rookie Cop will always become a Sane Cop. The Rookie Cop carries a gun. This is not a visiting role until they get promoted to Cop.
Feel free to ask any questions about your role or the game itself.
Good luck and have fun!</v>
      </c>
    </row>
    <row r="78">
      <c r="A78" s="119"/>
      <c r="B78" s="120"/>
      <c r="C78" s="120"/>
      <c r="D78" s="82" t="s">
        <v>589</v>
      </c>
      <c r="E78" s="99" t="s">
        <v>472</v>
      </c>
      <c r="F78" s="100" t="str">
        <f t="shared" si="10"/>
        <v xml:space="preserve">[color=#00ff00]#NAME?[/color] - A Roleblocker chooses one player to block each night. The Roleblocker cannot block the same player 3 nights in a row. This is a visiting role.</v>
      </c>
      <c r="G78" s="116" t="str">
        <f t="shared" si="11"/>
        <v>[color=#00ff00]#NAME?[/color]</v>
      </c>
      <c r="H78" s="117" t="str">
        <f>split(substitute(E78," - ","~!@^&amp;*#",1),"~!@^&amp;*#",false)"),"Roleblocker</f>
        <v>#NAME?</v>
      </c>
      <c r="I78" s="106" t="str">
        <f>"COMPUTED_VALUE""),"A Roleblocker chooses one player to block each night. The Roleblocker cannot block the same player 3 nights in a row. This is a visiting role.</f>
        <v xml:space="preserve">A Roleblocker chooses one player to block each night. The Roleblocker cannot block the same player 3 nights in a row. This is a visiting role.</v>
      </c>
      <c r="J78" s="103" t="str">
        <f t="shared" si="12"/>
        <v xml:space="preserve">Hello and welcome to XXX Mafia # - 
Your role is[color=#00ff00]#NAME?[/color].
[color=#00ff00]#NAME?[/color] - A Roleblocker chooses one player to block each night. The Roleblocker cannot block the same player 3 nights in a row. This is a visiting role.
Feel free to ask any questions about your role or the game itself.
Good luck and have fun!</v>
      </c>
    </row>
    <row r="79">
      <c r="A79" s="119"/>
      <c r="B79" s="120"/>
      <c r="C79" s="120"/>
      <c r="D79" s="82" t="s">
        <v>589</v>
      </c>
      <c r="E79" s="99" t="s">
        <v>473</v>
      </c>
      <c r="F79" s="100" t="str">
        <f t="shared" si="10"/>
        <v xml:space="preserve">[color=#00ff00]#NAME?[/color] - A Rolestopper chooses one player to protect from all other night actions. The Rolestopper cannot target the same player two nights in a row. This is a visiting role.</v>
      </c>
      <c r="G79" s="116" t="str">
        <f t="shared" si="11"/>
        <v>[color=#00ff00]#NAME?[/color]</v>
      </c>
      <c r="H79" s="117" t="str">
        <f>split(substitute(E79," - ","~!@^&amp;*#",1),"~!@^&amp;*#",false)"),"Rolestopper</f>
        <v>#NAME?</v>
      </c>
      <c r="I79" s="106" t="str">
        <f>"COMPUTED_VALUE""),"A Rolestopper chooses one player to protect from all other night actions. The Rolestopper cannot target the same player two nights in a row. This is a visiting role.</f>
        <v xml:space="preserve">A Rolestopper chooses one player to protect from all other night actions. The Rolestopper cannot target the same player two nights in a row. This is a visiting role.</v>
      </c>
      <c r="J79" s="103" t="str">
        <f t="shared" si="12"/>
        <v xml:space="preserve">Hello and welcome to XXX Mafia # - 
Your role is[color=#00ff00]#NAME?[/color].
[color=#00ff00]#NAME?[/color] - A Rolestopper chooses one player to protect from all other night actions. The Rolestopper cannot target the same player two nights in a row. This is a visiting role.
Feel free to ask any questions about your role or the game itself.
Good luck and have fun!</v>
      </c>
    </row>
    <row r="80">
      <c r="A80" s="119"/>
      <c r="B80" s="120"/>
      <c r="C80" s="120"/>
      <c r="D80" s="82" t="s">
        <v>589</v>
      </c>
      <c r="E80" s="99" t="s">
        <v>474</v>
      </c>
      <c r="F80" s="100" t="str">
        <f t="shared" si="10"/>
        <v xml:space="preserve">[color=#00ff00]#NAME?[/color] - A Safety Expert may either gunsmith or roleblock a single target each night. The Safety Expert is one-shot Bulletproof. This is a visiting role.</v>
      </c>
      <c r="G80" s="116" t="str">
        <f t="shared" si="11"/>
        <v>[color=#00ff00]#NAME?[/color]</v>
      </c>
      <c r="H80" s="117" t="str">
        <f>split(substitute(E80," - ","~!@^&amp;*#",1),"~!@^&amp;*#",false)"),"Safety Expert</f>
        <v>#NAME?</v>
      </c>
      <c r="I80" s="106" t="str">
        <f>"COMPUTED_VALUE""),"A Safety Expert may either gunsmith or roleblock a single target each night. The Safety Expert is one-shot Bulletproof. This is a visiting role.</f>
        <v xml:space="preserve">A Safety Expert may either gunsmith or roleblock a single target each night. The Safety Expert is one-shot Bulletproof. This is a visiting role.</v>
      </c>
      <c r="J80" s="103" t="str">
        <f t="shared" si="12"/>
        <v xml:space="preserve">Hello and welcome to XXX Mafia # - 
Your role is[color=#00ff00]#NAME?[/color].
[color=#00ff00]#NAME?[/color] - A Safety Expert may either gunsmith or roleblock a single target each night. The Safety Expert is one-shot Bulletproof. This is a visiting role.
Feel free to ask any questions about your role or the game itself.
Good luck and have fun!</v>
      </c>
    </row>
    <row r="81">
      <c r="A81" s="119"/>
      <c r="B81" s="120"/>
      <c r="C81" s="120"/>
      <c r="D81" s="82" t="s">
        <v>589</v>
      </c>
      <c r="E81" s="99" t="s">
        <v>475</v>
      </c>
      <c r="F81" s="100" t="str">
        <f t="shared" si="10"/>
        <v xml:space="preserve">[color=#00ff00]#NAME?[/color] - A Schizophrenic has the ability to target one player per night, and does not know what action it takes until receiving its result PM the next morning. The action will be one of: watch, track, save (doctor), roleblock, jail, motivate, silence, detective or kill. The Schizophrenic does not carry a gun. This is a visiting role.</v>
      </c>
      <c r="G81" s="116" t="str">
        <f t="shared" si="11"/>
        <v>[color=#00ff00]#NAME?[/color]</v>
      </c>
      <c r="H81" s="117" t="str">
        <f>split(substitute(E81," - ","~!@^&amp;*#",1),"~!@^&amp;*#",false)"),"Schizophrenic</f>
        <v>#NAME?</v>
      </c>
      <c r="I81" s="106" t="str">
        <f>"COMPUTED_VALUE""),"A Schizophrenic has the ability to target one player per night, and does not know what action it takes until receiving its result PM the next morning. The action will be one of: watch, track, save (doctor), roleblock, jail, motivate, silence, detective or"&amp;" kill. The Schizophrenic does not carry a gun. This is a visiting role.</f>
        <v xml:space="preserve">A Schizophrenic has the ability to target one player per night, and does not know what action it takes until receiving its result PM the next morning. The action will be one of: watch, track, save (doctor), roleblock, jail, motivate, silence, detective or kill. The Schizophrenic does not carry a gun. This is a visiting role.</v>
      </c>
      <c r="J81" s="103" t="str">
        <f t="shared" si="12"/>
        <v xml:space="preserve">Hello and welcome to XXX Mafia # - 
Your role is[color=#00ff00]#NAME?[/color].
[color=#00ff00]#NAME?[/color] - A Schizophrenic has the ability to target one player per night, and does not know what action it takes until receiving its result PM the next morning. The action will be one of: watch, track, save (doctor), roleblock, jail, motivate, silence, detective or kill. The Schizophrenic does not carry a gun. This is a visiting role.
Feel free to ask any questions about your role or the game itself.
Good luck and have fun!</v>
      </c>
    </row>
    <row r="82">
      <c r="A82" s="119"/>
      <c r="B82" s="120"/>
      <c r="C82" s="120"/>
      <c r="D82" s="82" t="s">
        <v>589</v>
      </c>
      <c r="E82" s="99" t="s">
        <v>476</v>
      </c>
      <c r="F82" s="100" t="str">
        <f t="shared" si="10"/>
        <v xml:space="preserve">[color=#00ff00]#NAME?[/color] - A Sensor is told after each day how many scum faction members were on the lynching bandwagon. A total is given: If 2 mafia members and 1 yakuza member were on the bandwagon, the result would be "3 scum members were on the bandwagon." A Godfather does not appear in this total. This is not a visiting role and cannot be blocked.</v>
      </c>
      <c r="G82" s="116" t="str">
        <f t="shared" si="11"/>
        <v>[color=#00ff00]#NAME?[/color]</v>
      </c>
      <c r="H82" s="117" t="str">
        <f>split(substitute(E82," - ","~!@^&amp;*#",1),"~!@^&amp;*#",false)"),"Sensor</f>
        <v>#NAME?</v>
      </c>
      <c r="I82" s="106" t="str">
        <f>"COMPUTED_VALUE""),"A Sensor is told after each day how many scum faction members were on the lynching bandwagon. A total is given: If 2 mafia members and 1 yakuza member were on the bandwagon, the result would be "3 scum members were on the bandwagon." A Godfather does no"&amp;"t appear in this total. This is not a visiting role and cannot be blocked.</f>
        <v xml:space="preserve">A Sensor is told after each day how many scum faction members were on the lynching bandwagon. A total is given: If 2 mafia members and 1 yakuza member were on the bandwagon, the result would be "3 scum members were on the bandwagon." A Godfather does not appear in this total. This is not a visiting role and cannot be blocked.</v>
      </c>
      <c r="J82" s="103" t="str">
        <f t="shared" si="12"/>
        <v xml:space="preserve">Hello and welcome to XXX Mafia # - 
Your role is[color=#00ff00]#NAME?[/color].
[color=#00ff00]#NAME?[/color] - A Sensor is told after each day how many scum faction members were on the lynching bandwagon. A total is given: If 2 mafia members and 1 yakuza member were on the bandwagon, the result would be "3 scum members were on the bandwagon." A Godfather does not appear in this total. This is not a visiting role and cannot be blocked.
Feel free to ask any questions about your role or the game itself.
Good luck and have fun!</v>
      </c>
    </row>
    <row r="83">
      <c r="A83" s="119"/>
      <c r="B83" s="120"/>
      <c r="C83" s="120"/>
      <c r="D83" s="82" t="s">
        <v>589</v>
      </c>
      <c r="E83" s="99" t="s">
        <v>477</v>
      </c>
      <c r="F83" s="100" t="str">
        <f t="shared" si="10"/>
        <v xml:space="preserve">[color=#00ff00]#NAME?[/color] - Each night, a Sheriff may either perform a Detective or Sane Cop action. The Sheriff may only use each action 3 times. Failed attempts do not count against this limit. The Sheriff carries a gun. This is a visiting role.</v>
      </c>
      <c r="G83" s="116" t="str">
        <f t="shared" si="11"/>
        <v>[color=#00ff00]#NAME?[/color]</v>
      </c>
      <c r="H83" s="117" t="str">
        <f>split(substitute(E83," - ","~!@^&amp;*#",1),"~!@^&amp;*#",false)"),"Sheriff</f>
        <v>#NAME?</v>
      </c>
      <c r="I83" s="106" t="str">
        <f>"COMPUTED_VALUE""),"Each night, a Sheriff may either perform a Detective or Sane Cop action. The Sheriff may only use each action 3 times. Failed attempts do not count against this limit. The Sheriff carries a gun. This is a visiting role.</f>
        <v xml:space="preserve">Each night, a Sheriff may either perform a Detective or Sane Cop action. The Sheriff may only use each action 3 times. Failed attempts do not count against this limit. The Sheriff carries a gun. This is a visiting role.</v>
      </c>
      <c r="J83" s="103" t="str">
        <f t="shared" si="12"/>
        <v xml:space="preserve">Hello and welcome to XXX Mafia # - 
Your role is[color=#00ff00]#NAME?[/color].
[color=#00ff00]#NAME?[/color] - Each night, a Sheriff may either perform a Detective or Sane Cop action. The Sheriff may only use each action 3 times. Failed attempts do not count against this limit. The Sheriff carries a gun. This is a visiting role.
Feel free to ask any questions about your role or the game itself.
Good luck and have fun!</v>
      </c>
    </row>
    <row r="84">
      <c r="A84" s="119"/>
      <c r="B84" s="120"/>
      <c r="C84" s="120"/>
      <c r="D84" s="82" t="s">
        <v>589</v>
      </c>
      <c r="E84" s="99" t="s">
        <v>478</v>
      </c>
      <c r="F84" s="100" t="str">
        <f t="shared" ref="F84:F100" si="13">CONCATENATE(IF(D84="Town","[color=#00ff00]",IF(D84="Mafia","[color=red]",IF(D84="3rd party","[color=#8e7cc3]",IF(D84="Modifier","[color=ff9900]",IF(D84="Yakuza","[color=ffff00]",IF(D84="KGB","[color=cyan]","[color=magenta]")))))),H84,"[/color] - ",I84)</f>
        <v xml:space="preserve">[color=#00ff00]#NAME?[/color] - A Shrink chooses a player each night to protect from being converted by the Cult. The Shrink cannot choose to target the same player three nights in a row. It can target itself. This is a visiting role.</v>
      </c>
      <c r="G84" s="116" t="str">
        <f t="shared" ref="G84:G100" si="14">CONCATENATE(IF(D84="Town","[color=#00ff00]",IF(D84="Mafia","[color=red]",IF(D84="3rd party","[color=#8e7cc3]",IF(D84="Modifier","[color=ff9900]",IF(D84="Yakuza","[color=ffff00]",IF(D84="KGB","[color=cyan]","[color=magenta]")))))),H84,"[/color]")</f>
        <v>[color=#00ff00]#NAME?[/color]</v>
      </c>
      <c r="H84" s="117" t="str">
        <f>split(substitute(E84," - ","~!@^&amp;*#",1),"~!@^&amp;*#",false)"),"Shrink</f>
        <v>#NAME?</v>
      </c>
      <c r="I84" s="106" t="str">
        <f>"COMPUTED_VALUE""),"A Shrink chooses a player each night to protect from being converted by the Cult. The Shrink cannot choose to target the same player three nights in a row. It can target itself. This is a visiting role.</f>
        <v xml:space="preserve">A Shrink chooses a player each night to protect from being converted by the Cult. The Shrink cannot choose to target the same player three nights in a row. It can target itself. This is a visiting role.</v>
      </c>
      <c r="J84" s="103" t="str">
        <f t="shared" ref="J84:J100" si="15">CONCATENATE($A$9,G84,$B$9,F84,$C$9)</f>
        <v xml:space="preserve">Hello and welcome to XXX Mafia # - 
Your role is[color=#00ff00]#NAME?[/color].
[color=#00ff00]#NAME?[/color] - A Shrink chooses a player each night to protect from being converted by the Cult. The Shrink cannot choose to target the same player three nights in a row. It can target itself. This is a visiting role.
Feel free to ask any questions about your role or the game itself.
Good luck and have fun!</v>
      </c>
    </row>
    <row r="85">
      <c r="A85" s="119"/>
      <c r="B85" s="120"/>
      <c r="C85" s="120"/>
      <c r="D85" s="82" t="s">
        <v>589</v>
      </c>
      <c r="E85" s="99" t="s">
        <v>479</v>
      </c>
      <c r="F85" s="100" t="str">
        <f t="shared" si="13"/>
        <v xml:space="preserve">[color=#00ff00]#NAME?[/color] - A Spy targets a player at night to track AND watch. The Spy will learn who visited that player, and who that player visited, but not what they did. The spy itself cannot be tracked or watched. This is a visiting role.</v>
      </c>
      <c r="G85" s="116" t="str">
        <f t="shared" si="14"/>
        <v>[color=#00ff00]#NAME?[/color]</v>
      </c>
      <c r="H85" s="117" t="str">
        <f>split(substitute(E85," - ","~!@^&amp;*#",1),"~!@^&amp;*#",false)"),"Spy</f>
        <v>#NAME?</v>
      </c>
      <c r="I85" s="106" t="str">
        <f>"COMPUTED_VALUE""),"A Spy targets a player at night to track AND watch. The Spy will learn who visited that player, and who that player visited, but not what they did. The spy itself cannot be tracked or watched. This is a visiting role.</f>
        <v xml:space="preserve">A Spy targets a player at night to track AND watch. The Spy will learn who visited that player, and who that player visited, but not what they did. The spy itself cannot be tracked or watched. This is a visiting role.</v>
      </c>
      <c r="J85" s="103" t="str">
        <f t="shared" si="15"/>
        <v xml:space="preserve">Hello and welcome to XXX Mafia # - 
Your role is[color=#00ff00]#NAME?[/color].
[color=#00ff00]#NAME?[/color] - A Spy targets a player at night to track AND watch. The Spy will learn who visited that player, and who that player visited, but not what they did. The spy itself cannot be tracked or watched. This is a visiting role.
Feel free to ask any questions about your role or the game itself.
Good luck and have fun!</v>
      </c>
    </row>
    <row r="86">
      <c r="A86" s="119"/>
      <c r="B86" s="120"/>
      <c r="C86" s="120"/>
      <c r="D86" s="82" t="s">
        <v>589</v>
      </c>
      <c r="E86" s="99" t="s">
        <v>480</v>
      </c>
      <c r="F86" s="100" t="str">
        <f t="shared" si="13"/>
        <v xml:space="preserve">[color=#00ff00]#NAME?[/color] - A Stump has no night actions. Direct kills targeting the Stump will fail, but it can be targeted normally otherwise. The Stump is not recruitable [Any type of recruitment, including Mason and the Godfather (variation)]. The Stump cannot vote and cannot be lynched. (An attempt to lynch the Stump will end in a No Lynch.)</v>
      </c>
      <c r="G86" s="116" t="str">
        <f t="shared" si="14"/>
        <v>[color=#00ff00]#NAME?[/color]</v>
      </c>
      <c r="H86" s="117" t="str">
        <f>split(substitute(E86," - ","~!@^&amp;*#",1),"~!@^&amp;*#",false)"),"Stump</f>
        <v>#NAME?</v>
      </c>
      <c r="I86" s="106" t="str">
        <f>"COMPUTED_VALUE""),"A Stump has no night actions. Direct kills targeting the Stump will fail, but it can be targeted normally otherwise. The Stump is not recruitable [Any type of recruitment, including Mason and the Godfather (variation)]. The Stump cannot vote and cannot be"&amp;" lynched. (An attempt to lynch the Stump will end in a No Lynch.)</f>
        <v xml:space="preserve">A Stump has no night actions. Direct kills targeting the Stump will fail, but it can be targeted normally otherwise. The Stump is not recruitable [Any type of recruitment, including Mason and the Godfather (variation)]. The Stump cannot vote and cannot be lynched. (An attempt to lynch the Stump will end in a No Lynch.)</v>
      </c>
      <c r="J86" s="103" t="str">
        <f t="shared" si="15"/>
        <v xml:space="preserve">Hello and welcome to XXX Mafia # - 
Your role is[color=#00ff00]#NAME?[/color].
[color=#00ff00]#NAME?[/color] - A Stump has no night actions. Direct kills targeting the Stump will fail, but it can be targeted normally otherwise. The Stump is not recruitable [Any type of recruitment, including Mason and the Godfather (variation)]. The Stump cannot vote and cannot be lynched. (An attempt to lynch the Stump will end in a No Lynch.)
Feel free to ask any questions about your role or the game itself.
Good luck and have fun!</v>
      </c>
    </row>
    <row r="87">
      <c r="A87" s="119"/>
      <c r="B87" s="120"/>
      <c r="C87" s="120"/>
      <c r="D87" s="82" t="s">
        <v>589</v>
      </c>
      <c r="E87" s="99" t="s">
        <v>481</v>
      </c>
      <c r="F87" s="100" t="str">
        <f t="shared" si="13"/>
        <v xml:space="preserve">[color=#00ff00]#NAME?[/color] - A Tracker targets one player each night to learn who that player visited. The Tracker does not know the nature of the visits. This is a visiting role.</v>
      </c>
      <c r="G87" s="116" t="str">
        <f t="shared" si="14"/>
        <v>[color=#00ff00]#NAME?[/color]</v>
      </c>
      <c r="H87" s="117" t="str">
        <f>split(substitute(E87," - ","~!@^&amp;*#",1),"~!@^&amp;*#",false)"),"Tracker</f>
        <v>#NAME?</v>
      </c>
      <c r="I87" s="106" t="str">
        <f>"COMPUTED_VALUE""),"A Tracker targets one player each night to learn who that player visited. The Tracker does not know the nature of the visits. This is a visiting role.</f>
        <v xml:space="preserve">A Tracker targets one player each night to learn who that player visited. The Tracker does not know the nature of the visits. This is a visiting role.</v>
      </c>
      <c r="J87" s="103" t="str">
        <f t="shared" si="15"/>
        <v xml:space="preserve">Hello and welcome to XXX Mafia # - 
Your role is[color=#00ff00]#NAME?[/color].
[color=#00ff00]#NAME?[/color] - A Tracker targets one player each night to learn who that player visited. The Tracker does not know the nature of the visits. This is a visiting role.
Feel free to ask any questions about your role or the game itself.
Good luck and have fun!</v>
      </c>
    </row>
    <row r="88">
      <c r="A88" s="119"/>
      <c r="B88" s="120"/>
      <c r="C88" s="120"/>
      <c r="D88" s="82" t="s">
        <v>589</v>
      </c>
      <c r="E88" s="99" t="s">
        <v>482</v>
      </c>
      <c r="F88" s="100" t="str">
        <f t="shared" si="13"/>
        <v xml:space="preserve">[color=#00ff00]#NAME?[/color] - A Vanilla Townie is not special at all. This is not even a visiting role. Poor Vanilla Townie.</v>
      </c>
      <c r="G88" s="116" t="str">
        <f t="shared" si="14"/>
        <v>[color=#00ff00]#NAME?[/color]</v>
      </c>
      <c r="H88" s="117" t="str">
        <f>split(substitute(E88," - ","~!@^&amp;*#",1),"~!@^&amp;*#",false)"),"Vanilla Townie</f>
        <v>#NAME?</v>
      </c>
      <c r="I88" s="106" t="str">
        <f>"COMPUTED_VALUE""),"A Vanilla Townie is not special at all. This is not even a visiting role. Poor Vanilla Townie.</f>
        <v xml:space="preserve">A Vanilla Townie is not special at all. This is not even a visiting role. Poor Vanilla Townie.</v>
      </c>
      <c r="J88" s="103" t="str">
        <f t="shared" si="15"/>
        <v xml:space="preserve">Hello and welcome to XXX Mafia # - 
Your role is[color=#00ff00]#NAME?[/color].
[color=#00ff00]#NAME?[/color] - A Vanilla Townie is not special at all. This is not even a visiting role. Poor Vanilla Townie.
Feel free to ask any questions about your role or the game itself.
Good luck and have fun!</v>
      </c>
    </row>
    <row r="89">
      <c r="A89" s="119"/>
      <c r="B89" s="120"/>
      <c r="C89" s="120"/>
      <c r="D89" s="82" t="s">
        <v>589</v>
      </c>
      <c r="E89" s="99" t="s">
        <v>483</v>
      </c>
      <c r="F89" s="100" t="str">
        <f t="shared" si="13"/>
        <v xml:space="preserve">[color=#00ff00]#NAME?[/color] - If the Vengeful Townsperson gets lynched, it may choose one player (by posting their name in the thread) who will then die at the same time.</v>
      </c>
      <c r="G89" s="116" t="str">
        <f t="shared" si="14"/>
        <v>[color=#00ff00]#NAME?[/color]</v>
      </c>
      <c r="H89" s="117" t="str">
        <f>split(substitute(E89," - ","~!@^&amp;*#",1),"~!@^&amp;*#",false)"),"Vengeful Townsperson</f>
        <v>#NAME?</v>
      </c>
      <c r="I89" s="106" t="str">
        <f>"COMPUTED_VALUE""),"If the Vengeful Townsperson gets lynched, it may choose one player (by posting their name in the thread) who will then die at the same time.</f>
        <v xml:space="preserve">If the Vengeful Townsperson gets lynched, it may choose one player (by posting their name in the thread) who will then die at the same time.</v>
      </c>
      <c r="J89" s="103" t="str">
        <f t="shared" si="15"/>
        <v xml:space="preserve">Hello and welcome to XXX Mafia # - 
Your role is[color=#00ff00]#NAME?[/color].
[color=#00ff00]#NAME?[/color] - If the Vengeful Townsperson gets lynched, it may choose one player (by posting their name in the thread) who will then die at the same time.
Feel free to ask any questions about your role or the game itself.
Good luck and have fun!</v>
      </c>
    </row>
    <row r="90">
      <c r="A90" s="119"/>
      <c r="B90" s="120"/>
      <c r="C90" s="120"/>
      <c r="D90" s="82" t="s">
        <v>589</v>
      </c>
      <c r="E90" s="99" t="s">
        <v>484</v>
      </c>
      <c r="F90" s="100" t="str">
        <f t="shared" si="13"/>
        <v xml:space="preserve">[color=#00ff00]#NAME?[/color] - A Veteran may choose to stay on alert during the night. Any night the Veteran is on alert, it will kill anyone that visits it. The visiting player is killed instantly and its action fails, not affecting the Veteran, no matter what action it is or if the player is cloaked. The Veteran can stay on alert three nights during the game and cannot be on alert on N0. On the nights it is not on alert, it can be targeted normally. The Veteran carries a gun. This is not a visiting role.</v>
      </c>
      <c r="G90" s="116" t="str">
        <f t="shared" si="14"/>
        <v>[color=#00ff00]#NAME?[/color]</v>
      </c>
      <c r="H90" s="117" t="str">
        <f>split(substitute(E90," - ","~!@^&amp;*#",1),"~!@^&amp;*#",false)"),"Veteran</f>
        <v>#NAME?</v>
      </c>
      <c r="I90" s="106" t="str">
        <f>"COMPUTED_VALUE""),"A Veteran may choose to stay on alert during the night. Any night the Veteran is on alert, it will kill anyone that visits it. The visiting player is killed instantly and its action fails, not affecting the Veteran, no matter what action it is or if the p"&amp;"layer is cloaked. The Veteran can stay on alert three nights during the game and cannot be on alert on N0. On the nights it is not on alert, it can be targeted normally. The Veteran carries a gun. This is not a visiting role.</f>
        <v xml:space="preserve">A Veteran may choose to stay on alert during the night. Any night the Veteran is on alert, it will kill anyone that visits it. The visiting player is killed instantly and its action fails, not affecting the Veteran, no matter what action it is or if the player is cloaked. The Veteran can stay on alert three nights during the game and cannot be on alert on N0. On the nights it is not on alert, it can be targeted normally. The Veteran carries a gun. This is not a visiting role.</v>
      </c>
      <c r="J90" s="103" t="str">
        <f t="shared" si="15"/>
        <v xml:space="preserve">Hello and welcome to XXX Mafia # - 
Your role is[color=#00ff00]#NAME?[/color].
[color=#00ff00]#NAME?[/color] - A Veteran may choose to stay on alert during the night. Any night the Veteran is on alert, it will kill anyone that visits it. The visiting player is killed instantly and its action fails, not affecting the Veteran, no matter what action it is or if the player is cloaked. The Veteran can stay on alert three nights during the game and cannot be on alert on N0. On the nights it is not on alert, it can be targeted normally. The Veteran carries a gun. This is not a visiting role.
Feel free to ask any questions about your role or the game itself.
Good luck and have fun!</v>
      </c>
    </row>
    <row r="91">
      <c r="A91" s="119"/>
      <c r="B91" s="120"/>
      <c r="C91" s="120"/>
      <c r="D91" s="82" t="s">
        <v>589</v>
      </c>
      <c r="E91" s="99" t="s">
        <v>485</v>
      </c>
      <c r="F91" s="100" t="str">
        <f t="shared" si="13"/>
        <v xml:space="preserve">[color=#00ff00]#NAME?[/color] - A Vigilante chooses one player to kill at night This kill is not compulsory unless that modifier is applied to the role. The Vigilante carries a gun. This is a visiting role.</v>
      </c>
      <c r="G91" s="116" t="str">
        <f t="shared" si="14"/>
        <v>[color=#00ff00]#NAME?[/color]</v>
      </c>
      <c r="H91" s="117" t="str">
        <f>split(substitute(E91," - ","~!@^&amp;*#",1),"~!@^&amp;*#",false)"),"Vigilante</f>
        <v>#NAME?</v>
      </c>
      <c r="I91" s="106" t="str">
        <f>"COMPUTED_VALUE""),"A Vigilante chooses one player to kill at night This kill is not compulsory unless that modifier is applied to the role. The Vigilante carries a gun. This is a visiting role.</f>
        <v xml:space="preserve">A Vigilante chooses one player to kill at night This kill is not compulsory unless that modifier is applied to the role. The Vigilante carries a gun. This is a visiting role.</v>
      </c>
      <c r="J91" s="103" t="str">
        <f t="shared" si="15"/>
        <v xml:space="preserve">Hello and welcome to XXX Mafia # - 
Your role is[color=#00ff00]#NAME?[/color].
[color=#00ff00]#NAME?[/color] - A Vigilante chooses one player to kill at night This kill is not compulsory unless that modifier is applied to the role. The Vigilante carries a gun. This is a visiting role.
Feel free to ask any questions about your role or the game itself.
Good luck and have fun!</v>
      </c>
    </row>
    <row r="92">
      <c r="A92" s="119"/>
      <c r="B92" s="120"/>
      <c r="C92" s="120"/>
      <c r="H92" s="121"/>
      <c r="I92" s="82" t="s">
        <v>486</v>
      </c>
      <c r="J92" s="110"/>
    </row>
    <row r="93">
      <c r="A93" s="119"/>
      <c r="B93" s="120"/>
      <c r="C93" s="120"/>
      <c r="D93" s="82" t="s">
        <v>589</v>
      </c>
      <c r="E93" s="99" t="s">
        <v>487</v>
      </c>
      <c r="F93" s="100" t="str">
        <f t="shared" si="13"/>
        <v xml:space="preserve">[color=#00ff00]#NAME?[/color] - A Voyeur chooses a target, and learns what was done to them that night, but not who did it. The Voyeur can target itself. This is a visiting role.</v>
      </c>
      <c r="G93" s="116" t="str">
        <f t="shared" si="14"/>
        <v>[color=#00ff00]#NAME?[/color]</v>
      </c>
      <c r="H93" s="117" t="str">
        <f>split(substitute(E93," - ","~!@^&amp;*#",1),"~!@^&amp;*#",false)"),"Voyeur</f>
        <v>#NAME?</v>
      </c>
      <c r="I93" s="106" t="str">
        <f>"COMPUTED_VALUE""),"A Voyeur chooses a target, and learns what was done to them that night, but not who did it. The Voyeur can target itself. This is a visiting role.</f>
        <v xml:space="preserve">A Voyeur chooses a target, and learns what was done to them that night, but not who did it. The Voyeur can target itself. This is a visiting role.</v>
      </c>
      <c r="J93" s="103" t="str">
        <f t="shared" si="15"/>
        <v xml:space="preserve">Hello and welcome to XXX Mafia # - 
Your role is[color=#00ff00]#NAME?[/color].
[color=#00ff00]#NAME?[/color] - A Voyeur chooses a target, and learns what was done to them that night, but not who did it. The Voyeur can target itself. This is a visiting role.
Feel free to ask any questions about your role or the game itself.
Good luck and have fun!</v>
      </c>
    </row>
    <row r="94">
      <c r="A94" s="119"/>
      <c r="B94" s="120"/>
      <c r="C94" s="120"/>
      <c r="D94" s="82" t="s">
        <v>589</v>
      </c>
      <c r="E94" s="99" t="s">
        <v>488</v>
      </c>
      <c r="F94" s="100" t="str">
        <f t="shared" si="13"/>
        <v xml:space="preserve">[color=#00ff00]#NAME?[/color] - A Watcher watches one player each night to learn who visited that player. The Watcher does not know the nature of the visits. The Watcher is allowed to watch itself. This is a visiting role.</v>
      </c>
      <c r="G94" s="116" t="str">
        <f t="shared" si="14"/>
        <v>[color=#00ff00]#NAME?[/color]</v>
      </c>
      <c r="H94" s="117" t="str">
        <f>split(substitute(E94," - ","~!@^&amp;*#",1),"~!@^&amp;*#",false)"),"Watcher</f>
        <v>#NAME?</v>
      </c>
      <c r="I94" s="106" t="str">
        <f>"COMPUTED_VALUE""),"A Watcher watches one player each night to learn who visited that player. The Watcher does not know the nature of the visits. The Watcher is allowed to watch itself. This is a visiting role.</f>
        <v xml:space="preserve">A Watcher watches one player each night to learn who visited that player. The Watcher does not know the nature of the visits. The Watcher is allowed to watch itself. This is a visiting role.</v>
      </c>
      <c r="J94" s="103" t="str">
        <f t="shared" si="15"/>
        <v xml:space="preserve">Hello and welcome to XXX Mafia # - 
Your role is[color=#00ff00]#NAME?[/color].
[color=#00ff00]#NAME?[/color] - A Watcher watches one player each night to learn who visited that player. The Watcher does not know the nature of the visits. The Watcher is allowed to watch itself. This is a visiting role.
Feel free to ask any questions about your role or the game itself.
Good luck and have fun!</v>
      </c>
    </row>
    <row r="95">
      <c r="A95" s="119"/>
      <c r="B95" s="120"/>
      <c r="C95" s="120"/>
      <c r="D95" s="82" t="s">
        <v>589</v>
      </c>
      <c r="E95" s="99" t="s">
        <v>489</v>
      </c>
      <c r="F95" s="100" t="str">
        <f t="shared" si="13"/>
        <v xml:space="preserve">[color=#00ff00]#NAME?[/color] - Each night, a Watchful Detective may either Detective or Watch a target. The Watchful Detective carries a gun. This is a visiting role.</v>
      </c>
      <c r="G95" s="116" t="str">
        <f t="shared" si="14"/>
        <v>[color=#00ff00]#NAME?[/color]</v>
      </c>
      <c r="H95" s="117" t="str">
        <f>split(substitute(E95," - ","~!@^&amp;*#",1),"~!@^&amp;*#",false)"),"Watchful Detective</f>
        <v>#NAME?</v>
      </c>
      <c r="I95" s="106" t="str">
        <f>"COMPUTED_VALUE""),"Each night, a Watchful Detective may either Detective or Watch a target. The Watchful Detective carries a gun. This is a visiting role.</f>
        <v xml:space="preserve">Each night, a Watchful Detective may either Detective or Watch a target. The Watchful Detective carries a gun. This is a visiting role.</v>
      </c>
      <c r="J95" s="103" t="str">
        <f t="shared" si="15"/>
        <v xml:space="preserve">Hello and welcome to XXX Mafia # - 
Your role is[color=#00ff00]#NAME?[/color].
[color=#00ff00]#NAME?[/color] - Each night, a Watchful Detective may either Detective or Watch a target. The Watchful Detective carries a gun. This is a visiting role.
Feel free to ask any questions about your role or the game itself.
Good luck and have fun!</v>
      </c>
    </row>
    <row r="96">
      <c r="A96" s="119"/>
      <c r="B96" s="122"/>
      <c r="C96" s="122"/>
      <c r="D96" s="20"/>
      <c r="E96" s="123"/>
      <c r="F96" s="100"/>
      <c r="G96" s="116"/>
      <c r="I96" s="20"/>
      <c r="J96" s="124"/>
    </row>
    <row r="97">
      <c r="A97" s="119"/>
      <c r="B97" s="120"/>
      <c r="C97" s="120"/>
      <c r="D97" s="82" t="s">
        <v>590</v>
      </c>
      <c r="E97" s="99" t="s">
        <v>490</v>
      </c>
      <c r="F97" s="100" t="str">
        <f t="shared" si="13"/>
        <v xml:space="preserve">[color=red]#NAME?[/color] - A Mafia Absorber passively and reflexively copies all active abilities that target them. The Mafia Absorber can then use the "absorbed" abilities on subsequent nights (but only one ability per night). Absorbers cannot copy their own team's factional abilities (like the Mafia kill), but can absorb any kills sent their way by other teams and can be targeted by their teammates. If the absorber is targeted by a JoAT or similar, it will only absorb the ability actively in use that night, not all the possible abilities. Each ability learned by the Absorber will be a one-shot action (and a failed attempt does not count against this limit). The Absorber is affected normally by the actions that target it.</v>
      </c>
      <c r="G97" s="116" t="str">
        <f t="shared" si="14"/>
        <v>[color=red]#NAME?[/color]</v>
      </c>
      <c r="H97" s="125" t="str">
        <f>split(substitute(E97," - ","~!@^&amp;*#",1),"~!@^&amp;*#",false)"),"Mafia Absorber</f>
        <v>#NAME?</v>
      </c>
      <c r="I97" s="106" t="str">
        <f>"COMPUTED_VALUE""),"A Mafia Absorber passively and reflexively copies all active abilities that target them. The Mafia Absorber can then use the "absorbed" abilities on subsequent nights (but only one ability per night). Absorbers cannot copy their own team's factional abi"&amp;"lities (like the Mafia kill), but can absorb any kills sent their way by other teams and can be targeted by their teammates. If the absorber is targeted by a JoAT or similar, it will only absorb the ability actively in use that night, not all the possible"&amp;" abilities. Each ability learned by the Absorber will be a one-shot action (and a failed attempt does not count against this limit). The Absorber is affected normally by the actions that target it.</f>
        <v xml:space="preserve">A Mafia Absorber passively and reflexively copies all active abilities that target them. The Mafia Absorber can then use the "absorbed" abilities on subsequent nights (but only one ability per night). Absorbers cannot copy their own team's factional abilities (like the Mafia kill), but can absorb any kills sent their way by other teams and can be targeted by their teammates. If the absorber is targeted by a JoAT or similar, it will only absorb the ability actively in use that night, not all the possible abilities. Each ability learned by the Absorber will be a one-shot action (and a failed attempt does not count against this limit). The Absorber is affected normally by the actions that target it.</v>
      </c>
      <c r="J97" s="103" t="str">
        <f t="shared" si="15"/>
        <v xml:space="preserve">Hello and welcome to XXX Mafia # - 
Your role is[color=red]#NAME?[/color].
[color=red]#NAME?[/color] - A Mafia Absorber passively and reflexively copies all active abilities that target them. The Mafia Absorber can then use the "absorbed" abilities on subsequent nights (but only one ability per night). Absorbers cannot copy their own team's factional abilities (like the Mafia kill), but can absorb any kills sent their way by other teams and can be targeted by their teammates. If the absorber is targeted by a JoAT or similar, it will only absorb the ability actively in use that night, not all the possible abilities. Each ability learned by the Absorber will be a one-shot action (and a failed attempt does not count against this limit). The Absorber is affected normally by the actions that target it.
Feel free to ask any questions about your role or the game itself.
Good luck and have fun!</v>
      </c>
    </row>
    <row r="98">
      <c r="A98" s="119"/>
      <c r="B98" s="120"/>
      <c r="C98" s="120"/>
      <c r="D98" s="82" t="s">
        <v>590</v>
      </c>
      <c r="E98" s="99" t="s">
        <v>491</v>
      </c>
      <c r="F98" s="100" t="str">
        <f t="shared" si="13"/>
        <v xml:space="preserve">[color=red]#NAME?[/color] - The Mafia Amnesiac can take over the role of any dead Mafia member. This ability can only be used once. This is not a visiting role, unless the Amnesiac performs the factional kill.</v>
      </c>
      <c r="G98" s="116" t="str">
        <f t="shared" si="14"/>
        <v>[color=red]#NAME?[/color]</v>
      </c>
      <c r="H98" s="125" t="str">
        <f>split(substitute(E98," - ","~!@^&amp;*#",1),"~!@^&amp;*#",false)"),"Mafia Amnesiac</f>
        <v>#NAME?</v>
      </c>
      <c r="I98" s="106" t="str">
        <f>"COMPUTED_VALUE""),"The Mafia Amnesiac can take over the role of any dead Mafia member. This ability can only be used once. This is not a visiting role, unless the Amnesiac performs the factional kill.</f>
        <v xml:space="preserve">The Mafia Amnesiac can take over the role of any dead Mafia member. This ability can only be used once. This is not a visiting role, unless the Amnesiac performs the factional kill.</v>
      </c>
      <c r="J98" s="103" t="str">
        <f t="shared" si="15"/>
        <v xml:space="preserve">Hello and welcome to XXX Mafia # - 
Your role is[color=red]#NAME?[/color].
[color=red]#NAME?[/color] - The Mafia Amnesiac can take over the role of any dead Mafia member. This ability can only be used once. This is not a visiting role, unless the Amnesiac performs the factional kill.
Feel free to ask any questions about your role or the game itself.
Good luck and have fun!</v>
      </c>
    </row>
    <row r="99">
      <c r="A99" s="119"/>
      <c r="B99" s="120"/>
      <c r="C99" s="120"/>
      <c r="D99" s="82" t="s">
        <v>590</v>
      </c>
      <c r="E99" s="99" t="s">
        <v>492</v>
      </c>
      <c r="F99" s="100" t="str">
        <f t="shared" si="13"/>
        <v xml:space="preserve">[color=red]#NAME?[/color] - The Mafia Apprentice targets one player each night and learns that player's ability. The Mafia Apprentice then can use its learned ability on subsequent nights, but only one ability per night. When using the ability, the Apprentice will NOT learn a new one. The Apprentice can only learn active abilities and the learned ability will be a one-shot action (where a failed attempt does not count against this limit). If the Apprentice targets a player that has more than one action, such as a JoAT, it will only learn the action that player is actively using that night. The Mafia Apprentice cannot learn kill actions from their teammates, but can target them otherwise. This is a visiting role.</v>
      </c>
      <c r="G99" s="116" t="str">
        <f t="shared" si="14"/>
        <v>[color=red]#NAME?[/color]</v>
      </c>
      <c r="H99" s="125" t="str">
        <f>split(substitute(E99," - ","~!@^&amp;*#",1),"~!@^&amp;*#",false)"),"Mafia Apprentice</f>
        <v>#NAME?</v>
      </c>
      <c r="I99" s="106" t="str">
        <f>"COMPUTED_VALUE""),"The Mafia Apprentice targets one player each night and learns that player's ability. The Mafia Apprentice then can use its learned ability on subsequent nights, but only one ability per night. When using the ability, the Apprentice will NOT learn a new on"&amp;"e. The Apprentice can only learn active abilities and the learned ability will be a one-shot action (where a failed attempt does not count against this limit). If the Apprentice targets a player that has more than one action, such as a JoAT, it will only "&amp;"learn the action that player is actively using that night. The Mafia Apprentice cannot learn kill actions from their teammates, but can target them otherwise. This is a visiting role.</f>
        <v xml:space="preserve">The Mafia Apprentice targets one player each night and learns that player's ability. The Mafia Apprentice then can use its learned ability on subsequent nights, but only one ability per night. When using the ability, the Apprentice will NOT learn a new one. The Apprentice can only learn active abilities and the learned ability will be a one-shot action (where a failed attempt does not count against this limit). If the Apprentice targets a player that has more than one action, such as a JoAT, it will only learn the action that player is actively using that night. The Mafia Apprentice cannot learn kill actions from their teammates, but can target them otherwise. This is a visiting role.</v>
      </c>
      <c r="J99" s="103" t="str">
        <f t="shared" si="15"/>
        <v xml:space="preserve">Hello and welcome to XXX Mafia # - 
Your role is[color=red]#NAME?[/color].
[color=red]#NAME?[/color] - The Mafia Apprentice targets one player each night and learns that player's ability. The Mafia Apprentice then can use its learned ability on subsequent nights, but only one ability per night. When using the ability, the Apprentice will NOT learn a new one. The Apprentice can only learn active abilities and the learned ability will be a one-shot action (where a failed attempt does not count against this limit). If the Apprentice targets a player that has more than one action, such as a JoAT, it will only learn the action that player is actively using that night. The Mafia Apprentice cannot learn kill actions from their teammates, but can target them otherwise. This is a visiting role.
Feel free to ask any questions about your role or the game itself.
Good luck and have fun!</v>
      </c>
    </row>
    <row r="100">
      <c r="A100" s="119"/>
      <c r="B100" s="120"/>
      <c r="C100" s="120"/>
      <c r="D100" s="82" t="s">
        <v>590</v>
      </c>
      <c r="E100" s="99" t="s">
        <v>493</v>
      </c>
      <c r="F100" s="100" t="str">
        <f t="shared" si="13"/>
        <v xml:space="preserve">[color=red]#NAME?[/color] - Each night, the Bomber can choose to plant a bomb on a player or detonate. Detonating kills all players who have had bombs planted on them. The Mafia Bomber cannot be doctored two nights in a row. The Mafia Bomber carries a gun. This is a visiting role.</v>
      </c>
      <c r="G100" s="116" t="str">
        <f t="shared" si="14"/>
        <v>[color=red]#NAME?[/color]</v>
      </c>
      <c r="H100" s="125" t="str">
        <f>split(substitute(E100," - ","~!@^&amp;*#",1),"~!@^&amp;*#",false)"),"Mafia Bomber</f>
        <v>#NAME?</v>
      </c>
      <c r="I100" s="106" t="str">
        <f>"COMPUTED_VALUE""),"Each night, the Bomber can choose to plant a bomb on a player or detonate. Detonating kills all players who have had bombs planted on them. The Mafia Bomber cannot be doctored two nights in a row. The Mafia Bomber carries a gun. This is a visiting role.</f>
        <v xml:space="preserve">Each night, the Bomber can choose to plant a bomb on a player or detonate. Detonating kills all players who have had bombs planted on them. The Mafia Bomber cannot be doctored two nights in a row. The Mafia Bomber carries a gun. This is a visiting role.</v>
      </c>
      <c r="J100" s="103" t="str">
        <f t="shared" si="15"/>
        <v xml:space="preserve">Hello and welcome to XXX Mafia # - 
Your role is[color=red]#NAME?[/color].
[color=red]#NAME?[/color] - Each night, the Bomber can choose to plant a bomb on a player or detonate. Detonating kills all players who have had bombs planted on them. The Mafia Bomber cannot be doctored two nights in a row. The Mafia Bomber carries a gun. This is a visiting role.
Feel free to ask any questions about your role or the game itself.
Good luck and have fun!</v>
      </c>
    </row>
    <row r="101">
      <c r="A101" s="119"/>
      <c r="B101" s="120"/>
      <c r="C101" s="120"/>
      <c r="H101" s="121"/>
      <c r="I101" s="82" t="s">
        <v>494</v>
      </c>
      <c r="J101" s="110"/>
    </row>
    <row r="102">
      <c r="A102" s="119"/>
      <c r="B102" s="120"/>
      <c r="C102" s="120"/>
      <c r="D102" s="82" t="s">
        <v>590</v>
      </c>
      <c r="E102" s="99" t="s">
        <v>495</v>
      </c>
      <c r="F102" s="100" t="str">
        <f t="shared" ref="F102:F165" si="16">concatenate(IF(D102="Town","[color=#00ff00]",if(D102="Mafia","[color=red]",if(D102="3rd party","[color=#8e7cc3]",if(D102="Modifier","[color=ff9900]",if(D102="Yakuza","[color=ffff00]",if(D102="KGB","[color=cyan]","[color=magenta]")))))),H102,"[/color] - ",I102)</f>
        <v xml:space="preserve">[color=red]#NAME?[/color] - A Mafia Bus Driver selects two targets at night to drive around. Actions directed at one of the targets will go to the other instead and vice versa. Targets will know they were transported, but not who they were swapped with. The Mafia Bus Driver carries a gun. This is not a visiting role.</v>
      </c>
      <c r="G102" s="116" t="str">
        <f t="shared" ref="G102:G165" si="17">concatenate(IF(D102="Town","[color=#00ff00]",if(D102="Mafia","[color=red]",if(D102="3rd party","[color=#8e7cc3]",if(D102="Modifier","[color=ff9900]",if(D102="Yakuza","[color=ffff00]",if(D102="KGB","[color=cyan]","[color=magenta]")))))),H102,"[/color]")</f>
        <v>[color=red]#NAME?[/color]</v>
      </c>
      <c r="H102" s="125" t="str">
        <f>split(substitute(E102," - ","~!@^&amp;*#",1),"~!@^&amp;*#",false)"),"Mafia Bus Driver</f>
        <v>#NAME?</v>
      </c>
      <c r="I102" s="106" t="str">
        <f>"COMPUTED_VALUE""),"A Mafia Bus Driver selects two targets at night to drive around. Actions directed at one of the targets will go to the other instead and vice versa. Targets will know they were transported, but not who they were swapped with. The Mafia Bus Driver carries "&amp;"a gun. This is not a visiting role.</f>
        <v xml:space="preserve">A Mafia Bus Driver selects two targets at night to drive around. Actions directed at one of the targets will go to the other instead and vice versa. Targets will know they were transported, but not who they were swapped with. The Mafia Bus Driver carries a gun. This is not a visiting role.</v>
      </c>
      <c r="J102" s="103" t="str">
        <f t="shared" ref="J102:J163" si="18">CONCATENATE($A$9,G102,$B$9,F102,$C$9)</f>
        <v xml:space="preserve">Hello and welcome to XXX Mafia # - 
Your role is[color=red]#NAME?[/color].
[color=red]#NAME?[/color] - A Mafia Bus Driver selects two targets at night to drive around. Actions directed at one of the targets will go to the other instead and vice versa. Targets will know they were transported, but not who they were swapped with. The Mafia Bus Driver carries a gun. This is not a visiting role.
Feel free to ask any questions about your role or the game itself.
Good luck and have fun!</v>
      </c>
    </row>
    <row r="103">
      <c r="A103" s="119"/>
      <c r="B103" s="120"/>
      <c r="C103" s="120"/>
      <c r="D103" s="82" t="s">
        <v>590</v>
      </c>
      <c r="E103" s="99" t="s">
        <v>496</v>
      </c>
      <c r="F103" s="100" t="str">
        <f t="shared" si="16"/>
        <v xml:space="preserve">[color=red]#NAME?[/color] - A Mafia Cloak chooses one player at night to cloak. Anybody they cloak is unblockable and invisible to tracking/watching/following/voyeuring (i.e. those actions simply do not detect the cloaked player and its actions). This is NOT a visiting role.</v>
      </c>
      <c r="G103" s="116" t="str">
        <f t="shared" si="17"/>
        <v>[color=red]#NAME?[/color]</v>
      </c>
      <c r="H103" s="125" t="str">
        <f>split(substitute(E103," - ","~!@^&amp;*#",1),"~!@^&amp;*#",false)"),"Mafia Cloak</f>
        <v>#NAME?</v>
      </c>
      <c r="I103" s="106" t="str">
        <f>"COMPUTED_VALUE""),"A Mafia Cloak chooses one player at night to cloak. Anybody they cloak is unblockable and invisible to tracking/watching/following/voyeuring (i.e. those actions simply do not detect the cloaked player and its actions). This is NOT a visiting role.</f>
        <v xml:space="preserve">A Mafia Cloak chooses one player at night to cloak. Anybody they cloak is unblockable and invisible to tracking/watching/following/voyeuring (i.e. those actions simply do not detect the cloaked player and its actions). This is NOT a visiting role.</v>
      </c>
      <c r="J103" s="103" t="str">
        <f t="shared" si="18"/>
        <v xml:space="preserve">Hello and welcome to XXX Mafia # - 
Your role is[color=red]#NAME?[/color].
[color=red]#NAME?[/color] - A Mafia Cloak chooses one player at night to cloak. Anybody they cloak is unblockable and invisible to tracking/watching/following/voyeuring (i.e. those actions simply do not detect the cloaked player and its actions). This is NOT a visiting role.
Feel free to ask any questions about your role or the game itself.
Good luck and have fun!</v>
      </c>
    </row>
    <row r="104">
      <c r="A104" s="119"/>
      <c r="B104" s="120"/>
      <c r="C104" s="120"/>
      <c r="D104" s="82" t="s">
        <v>590</v>
      </c>
      <c r="E104" s="99" t="s">
        <v>497</v>
      </c>
      <c r="F104" s="100" t="str">
        <f t="shared" si="16"/>
        <v xml:space="preserve">[color=red]#NAME?[/color] - A Mafia Corrupt Postal Worker can send two messages per night. This is done by sending the host the target's names and the messages. The host will then send the messages on to the targets. These messages can be responded to. The Mafia Corrupt Postal Worker carries a gun. This is not a visiting role.</v>
      </c>
      <c r="G104" s="116" t="str">
        <f t="shared" si="17"/>
        <v>[color=red]#NAME?[/color]</v>
      </c>
      <c r="H104" s="125" t="str">
        <f>split(substitute(E104," - ","~!@^&amp;*#",1),"~!@^&amp;*#",false)"),"Mafia Corrupt Postal Worker</f>
        <v>#NAME?</v>
      </c>
      <c r="I104" s="106" t="str">
        <f>"COMPUTED_VALUE""),"A Mafia Corrupt Postal Worker can send two messages per night. This is done by sending the host the target's names and the messages. The host will then send the messages on to the targets. These messages can be responded to. The Mafia Corrupt Postal Worke"&amp;"r carries a gun. This is not a visiting role.</f>
        <v xml:space="preserve">A Mafia Corrupt Postal Worker can send two messages per night. This is done by sending the host the target's names and the messages. The host will then send the messages on to the targets. These messages can be responded to. The Mafia Corrupt Postal Worker carries a gun. This is not a visiting role.</v>
      </c>
      <c r="J104" s="103" t="str">
        <f t="shared" si="18"/>
        <v xml:space="preserve">Hello and welcome to XXX Mafia # - 
Your role is[color=red]#NAME?[/color].
[color=red]#NAME?[/color] - A Mafia Corrupt Postal Worker can send two messages per night. This is done by sending the host the target's names and the messages. The host will then send the messages on to the targets. These messages can be responded to. The Mafia Corrupt Postal Worker carries a gun. This is not a visiting role.
Feel free to ask any questions about your role or the game itself.
Good luck and have fun!</v>
      </c>
    </row>
    <row r="105">
      <c r="A105" s="119"/>
      <c r="B105" s="120"/>
      <c r="C105" s="120"/>
      <c r="D105" s="82" t="s">
        <v>590</v>
      </c>
      <c r="E105" s="99" t="s">
        <v>498</v>
      </c>
      <c r="F105" s="100" t="str">
        <f t="shared" si="16"/>
        <v xml:space="preserve">[color=red]#NAME?[/color] - A Mafia Dentist chooses one player at night to silence. The silenced player cannot post in the thread for one game day. The Dentist cannot target the same player twice in a row. This is a visiting role.</v>
      </c>
      <c r="G105" s="116" t="str">
        <f t="shared" si="17"/>
        <v>[color=red]#NAME?[/color]</v>
      </c>
      <c r="H105" s="125" t="str">
        <f>split(substitute(E105," - ","~!@^&amp;*#",1),"~!@^&amp;*#",false)"),"Mafia Dentist</f>
        <v>#NAME?</v>
      </c>
      <c r="I105" s="106" t="str">
        <f>"COMPUTED_VALUE""),"A Mafia Dentist chooses one player at night to silence. The silenced player cannot post in the thread for one game day. The Dentist cannot target the same player twice in a row. This is a visiting role.</f>
        <v xml:space="preserve">A Mafia Dentist chooses one player at night to silence. The silenced player cannot post in the thread for one game day. The Dentist cannot target the same player twice in a row. This is a visiting role.</v>
      </c>
      <c r="J105" s="103" t="str">
        <f t="shared" si="18"/>
        <v xml:space="preserve">Hello and welcome to XXX Mafia # - 
Your role is[color=red]#NAME?[/color].
[color=red]#NAME?[/color] - A Mafia Dentist chooses one player at night to silence. The silenced player cannot post in the thread for one game day. The Dentist cannot target the same player twice in a row. This is a visiting role.
Feel free to ask any questions about your role or the game itself.
Good luck and have fun!</v>
      </c>
    </row>
    <row r="106">
      <c r="A106" s="119"/>
      <c r="B106" s="120"/>
      <c r="C106" s="120"/>
      <c r="D106" s="82" t="s">
        <v>590</v>
      </c>
      <c r="E106" s="99" t="s">
        <v>499</v>
      </c>
      <c r="F106" s="100" t="str">
        <f t="shared" si="16"/>
        <v xml:space="preserve">[color=red]#NAME?[/color] - A Mafia Detective Investigates one player each night to determine their role. This is a visiting role.</v>
      </c>
      <c r="G106" s="116" t="str">
        <f t="shared" si="17"/>
        <v>[color=red]#NAME?[/color]</v>
      </c>
      <c r="H106" s="125" t="str">
        <f>split(substitute(E106," - ","~!@^&amp;*#",1),"~!@^&amp;*#",false)"),"Mafia Detective</f>
        <v>#NAME?</v>
      </c>
      <c r="I106" s="106" t="str">
        <f>"COMPUTED_VALUE""),"A Mafia Detective Investigates one player each night to determine their role. This is a visiting role.</f>
        <v xml:space="preserve">A Mafia Detective Investigates one player each night to determine their role. This is a visiting role.</v>
      </c>
      <c r="J106" s="103" t="str">
        <f t="shared" si="18"/>
        <v xml:space="preserve">Hello and welcome to XXX Mafia # - 
Your role is[color=red]#NAME?[/color].
[color=red]#NAME?[/color] - A Mafia Detective Investigates one player each night to determine their role. This is a visiting role.
Feel free to ask any questions about your role or the game itself.
Good luck and have fun!</v>
      </c>
    </row>
    <row r="107">
      <c r="A107" s="119"/>
      <c r="B107" s="120"/>
      <c r="C107" s="120"/>
      <c r="D107" s="82" t="s">
        <v>590</v>
      </c>
      <c r="E107" s="99" t="s">
        <v>500</v>
      </c>
      <c r="F107" s="100" t="str">
        <f t="shared" si="16"/>
        <v xml:space="preserve">[color=red]#NAME?[/color] - A Mafia Doctor chooses one player at night to save. This is a visiting role.</v>
      </c>
      <c r="G107" s="116" t="str">
        <f t="shared" si="17"/>
        <v>[color=red]#NAME?[/color]</v>
      </c>
      <c r="H107" s="125" t="str">
        <f>split(substitute(E107," - ","~!@^&amp;*#",1),"~!@^&amp;*#",false)"),"Mafia Doctor</f>
        <v>#NAME?</v>
      </c>
      <c r="I107" s="106" t="str">
        <f>"COMPUTED_VALUE""),"A Mafia Doctor chooses one player at night to save. This is a visiting role.</f>
        <v xml:space="preserve">A Mafia Doctor chooses one player at night to save. This is a visiting role.</v>
      </c>
      <c r="J107" s="103" t="str">
        <f t="shared" si="18"/>
        <v xml:space="preserve">Hello and welcome to XXX Mafia # - 
Your role is[color=red]#NAME?[/color].
[color=red]#NAME?[/color] - A Mafia Doctor chooses one player at night to save. This is a visiting role.
Feel free to ask any questions about your role or the game itself.
Good luck and have fun!</v>
      </c>
    </row>
    <row r="108">
      <c r="A108" s="119"/>
      <c r="B108" s="120"/>
      <c r="C108" s="120"/>
      <c r="H108" s="121"/>
      <c r="I108" s="82" t="s">
        <v>501</v>
      </c>
      <c r="J108" s="110"/>
    </row>
    <row r="109">
      <c r="A109" s="119"/>
      <c r="B109" s="120"/>
      <c r="C109" s="120"/>
      <c r="D109" s="82" t="s">
        <v>590</v>
      </c>
      <c r="E109" s="99" t="s">
        <v>502</v>
      </c>
      <c r="F109" s="100" t="str">
        <f t="shared" si="16"/>
        <v xml:space="preserve">[color=red]#NAME?[/color] - A Mafia Fabricator can visit one player each night. That player will receive an item of the Fabricator's choice. A Fake vest will not protect. A Fake gun Fails on use. A fake Shield Fails on use. A limit of 3 of each Item may be given during a game. This is a visiting role.</v>
      </c>
      <c r="G109" s="116" t="str">
        <f t="shared" si="17"/>
        <v>[color=red]#NAME?[/color]</v>
      </c>
      <c r="H109" s="125" t="str">
        <f>split(substitute(E109," - ","~!@^&amp;*#",1),"~!@^&amp;*#",false)"),"Mafia Fabricator</f>
        <v>#NAME?</v>
      </c>
      <c r="I109" s="106" t="str">
        <f>"COMPUTED_VALUE""),"A Mafia Fabricator can visit one player each night. That player will receive an item of the Fabricator's choice. A Fake vest will not protect. A Fake gun Fails on use. A fake Shield Fails on use. A limit of 3 of each Item may be given during a game. This "&amp;"is a visiting role.</f>
        <v xml:space="preserve">A Mafia Fabricator can visit one player each night. That player will receive an item of the Fabricator's choice. A Fake vest will not protect. A Fake gun Fails on use. A fake Shield Fails on use. A limit of 3 of each Item may be given during a game. This is a visiting role.</v>
      </c>
      <c r="J109" s="103" t="str">
        <f t="shared" si="18"/>
        <v xml:space="preserve">Hello and welcome to XXX Mafia # - 
Your role is[color=red]#NAME?[/color].
[color=red]#NAME?[/color] - A Mafia Fabricator can visit one player each night. That player will receive an item of the Fabricator's choice. A Fake vest will not protect. A Fake gun Fails on use. A fake Shield Fails on use. A limit of 3 of each Item may be given during a game. This is a visiting role.
Feel free to ask any questions about your role or the game itself.
Good luck and have fun!</v>
      </c>
    </row>
    <row r="110">
      <c r="A110" s="119"/>
      <c r="B110" s="120"/>
      <c r="C110" s="120"/>
      <c r="D110" s="82" t="s">
        <v>590</v>
      </c>
      <c r="E110" s="99" t="s">
        <v>503</v>
      </c>
      <c r="F110" s="100" t="str">
        <f t="shared" si="16"/>
        <v xml:space="preserve">[color=red]#NAME?[/color] - A Mafia Framer can make a target appear guilty to Cops and a gun owner to Gunsmiths for that night. This is a visiting role.</v>
      </c>
      <c r="G110" s="116" t="str">
        <f t="shared" si="17"/>
        <v>[color=red]#NAME?[/color]</v>
      </c>
      <c r="H110" s="125" t="str">
        <f>split(substitute(E110," - ","~!@^&amp;*#",1),"~!@^&amp;*#",false)"),"Mafia Framer</f>
        <v>#NAME?</v>
      </c>
      <c r="I110" s="106" t="str">
        <f>"COMPUTED_VALUE""),"A Mafia Framer can make a target appear guilty to Cops and a gun owner to Gunsmiths for that night. This is a visiting role.</f>
        <v xml:space="preserve">A Mafia Framer can make a target appear guilty to Cops and a gun owner to Gunsmiths for that night. This is a visiting role.</v>
      </c>
      <c r="J110" s="103" t="str">
        <f t="shared" si="18"/>
        <v xml:space="preserve">Hello and welcome to XXX Mafia # - 
Your role is[color=red]#NAME?[/color].
[color=red]#NAME?[/color] - A Mafia Framer can make a target appear guilty to Cops and a gun owner to Gunsmiths for that night. This is a visiting role.
Feel free to ask any questions about your role or the game itself.
Good luck and have fun!</v>
      </c>
    </row>
    <row r="111">
      <c r="A111" s="119"/>
      <c r="B111" s="120"/>
      <c r="C111" s="120"/>
      <c r="D111" s="82" t="s">
        <v>590</v>
      </c>
      <c r="E111" s="99" t="s">
        <v>504</v>
      </c>
      <c r="F111" s="100" t="str">
        <f t="shared" si="16"/>
        <v xml:space="preserve">[color=red]#NAME?[/color] - A Godfather is the head of the Mafia. The Godfather appears innocent to Cops. Detective investigations will fail. The Godfather does not carry a gun. This is a visiting role if they perform the factional kill.</v>
      </c>
      <c r="G111" s="116" t="str">
        <f t="shared" si="17"/>
        <v>[color=red]#NAME?[/color]</v>
      </c>
      <c r="H111" s="125" t="str">
        <f>split(substitute(E111," - ","~!@^&amp;*#",1),"~!@^&amp;*#",false)"),"Mafia Godfather</f>
        <v>#NAME?</v>
      </c>
      <c r="I111" s="106" t="str">
        <f>"COMPUTED_VALUE""),"A Godfather is the head of the Mafia. The Godfather appears innocent to Cops. Detective investigations will fail. The Godfather does not carry a gun. This is a visiting role if they perform the factional kill.</f>
        <v xml:space="preserve">A Godfather is the head of the Mafia. The Godfather appears innocent to Cops. Detective investigations will fail. The Godfather does not carry a gun. This is a visiting role if they perform the factional kill.</v>
      </c>
      <c r="J111" s="103" t="str">
        <f t="shared" si="18"/>
        <v xml:space="preserve">Hello and welcome to XXX Mafia # - 
Your role is[color=red]#NAME?[/color].
[color=red]#NAME?[/color] - A Godfather is the head of the Mafia. The Godfather appears innocent to Cops. Detective investigations will fail. The Godfather does not carry a gun. This is a visiting role if they perform the factional kill.
Feel free to ask any questions about your role or the game itself.
Good luck and have fun!</v>
      </c>
    </row>
    <row r="112">
      <c r="A112" s="119"/>
      <c r="B112" s="120"/>
      <c r="C112" s="120"/>
      <c r="H112" s="121"/>
      <c r="I112" s="82" t="s">
        <v>505</v>
      </c>
      <c r="J112" s="110"/>
    </row>
    <row r="113">
      <c r="A113" s="119"/>
      <c r="B113" s="120"/>
      <c r="C113" s="120"/>
      <c r="D113" s="82" t="s">
        <v>590</v>
      </c>
      <c r="E113" s="99" t="s">
        <v>506</v>
      </c>
      <c r="F113" s="100" t="str">
        <f t="shared" si="16"/>
        <v xml:space="preserve">[color=red]#NAME?[/color] - A Mafia Goon is nothing more than cannon fodder. This is not a visiting role, unless they perform the factional kill.</v>
      </c>
      <c r="G113" s="116" t="str">
        <f t="shared" si="17"/>
        <v>[color=red]#NAME?[/color]</v>
      </c>
      <c r="H113" s="125" t="str">
        <f>split(substitute(E113," - ","~!@^&amp;*#",1),"~!@^&amp;*#",false)"),"Mafia Goon</f>
        <v>#NAME?</v>
      </c>
      <c r="I113" s="106" t="str">
        <f>"COMPUTED_VALUE""),"A Mafia Goon is nothing more than cannon fodder. This is not a visiting role, unless they perform the factional kill.</f>
        <v xml:space="preserve">A Mafia Goon is nothing more than cannon fodder. This is not a visiting role, unless they perform the factional kill.</v>
      </c>
      <c r="J113" s="103" t="s">
        <v>591</v>
      </c>
    </row>
    <row r="114">
      <c r="A114" s="119"/>
      <c r="B114" s="120"/>
      <c r="C114" s="120"/>
      <c r="D114" s="82" t="s">
        <v>590</v>
      </c>
      <c r="E114" s="99" t="s">
        <v>507</v>
      </c>
      <c r="F114" s="100" t="str">
        <f t="shared" si="16"/>
        <v xml:space="preserve">[color=red]#NAME?[/color] - A Mafia Gunman can kill one player on odd nights, but only 3 times. Failure does not count against this limit. This is a visiting role.</v>
      </c>
      <c r="G114" s="116" t="str">
        <f t="shared" si="17"/>
        <v>[color=red]#NAME?[/color]</v>
      </c>
      <c r="H114" s="125" t="str">
        <f>split(substitute(E114," - ","~!@^&amp;*#",1),"~!@^&amp;*#",false)"),"Mafia Gunman</f>
        <v>#NAME?</v>
      </c>
      <c r="I114" s="106" t="str">
        <f>"COMPUTED_VALUE""),"A Mafia Gunman can kill one player on odd nights, but only 3 times. Failure does not count against this limit. This is a visiting role.</f>
        <v xml:space="preserve">A Mafia Gunman can kill one player on odd nights, but only 3 times. Failure does not count against this limit. This is a visiting role.</v>
      </c>
      <c r="J114" s="103" t="s">
        <v>591</v>
      </c>
    </row>
    <row r="115">
      <c r="A115" s="119"/>
      <c r="B115" s="120"/>
      <c r="C115" s="120"/>
      <c r="D115" s="82" t="s">
        <v>590</v>
      </c>
      <c r="E115" s="99" t="s">
        <v>508</v>
      </c>
      <c r="F115" s="100" t="str">
        <f t="shared" si="16"/>
        <v xml:space="preserve">[color=red]#NAME?[/color] - A Mafia Gunsmith investigates one player each night to determine if they have a gun. These common roles will carry guns: scum faction members, Detectives, Cops, Jacks of All Trades, FBI Agents, and Vigilantes (Note: this is a general guide. For information on whether or not a specific, less common role carries a gun, check that role's description). Third party killers and Godfathers do not carry guns. This is a visiting role.</v>
      </c>
      <c r="G115" s="116" t="str">
        <f t="shared" si="17"/>
        <v>[color=red]#NAME?[/color]</v>
      </c>
      <c r="H115" s="125" t="str">
        <f>split(substitute(E115," - ","~!@^&amp;*#",1),"~!@^&amp;*#",false)"),"Mafia Gunsmith</f>
        <v>#NAME?</v>
      </c>
      <c r="I115" s="106" t="str">
        <f>"COMPUTED_VALUE""),"A Mafia Gunsmith investigates one player each night to determine if they have a gun. These common roles will carry guns: scum faction members, Detectives, Cops, Jacks of All Trades, FBI Agents, and Vigilantes (Note: this is a general guide. For informatio"&amp;"n on whether or not a specific, less common role carries a gun, check that role's description). Third party killers and Godfathers do not carry guns. This is a visiting role.</f>
        <v xml:space="preserve">A Mafia Gunsmith investigates one player each night to determine if they have a gun. These common roles will carry guns: scum faction members, Detectives, Cops, Jacks of All Trades, FBI Agents, and Vigilantes (Note: this is a general guide. For information on whether or not a specific, less common role carries a gun, check that role's description). Third party killers and Godfathers do not carry guns. This is a visiting role.</v>
      </c>
      <c r="J115" s="103" t="s">
        <v>591</v>
      </c>
    </row>
    <row r="116">
      <c r="A116" s="119"/>
      <c r="B116" s="120"/>
      <c r="C116" s="120"/>
      <c r="D116" s="82" t="s">
        <v>590</v>
      </c>
      <c r="E116" s="99" t="s">
        <v>509</v>
      </c>
      <c r="F116" s="100" t="str">
        <f t="shared" si="16"/>
        <v xml:space="preserve">[color=red]#NAME?[/color] - A Mafia Intimidator may choose a player to intimidate each night. Intimidated players’ actions fail and they are silenced for one day and cannot post in thread during that period. The Intimidator cannot target the same player two nights in a row. The Intimidator carries a gun. This is a visiting role.</v>
      </c>
      <c r="G116" s="116" t="str">
        <f t="shared" si="17"/>
        <v>[color=red]#NAME?[/color]</v>
      </c>
      <c r="H116" s="125" t="str">
        <f>split(substitute(E116," - ","~!@^&amp;*#",1),"~!@^&amp;*#",false)"),"Mafia Intimidator</f>
        <v>#NAME?</v>
      </c>
      <c r="I116" s="106" t="str">
        <f>"COMPUTED_VALUE""),"A Mafia Intimidator may choose a player to intimidate each night. Intimidated players’ actions fail and they are silenced for one day and cannot post in thread during that period. The Intimidator cannot target the same player two nights in a row. The Inti"&amp;"midator carries a gun. This is a visiting role.</f>
        <v xml:space="preserve">A Mafia Intimidator may choose a player to intimidate each night. Intimidated players’ actions fail and they are silenced for one day and cannot post in thread during that period. The Intimidator cannot target the same player two nights in a row. The Intimidator carries a gun. This is a visiting role.</v>
      </c>
      <c r="J116" s="103" t="s">
        <v>591</v>
      </c>
    </row>
    <row r="117">
      <c r="A117" s="119"/>
      <c r="B117" s="120"/>
      <c r="C117" s="120"/>
      <c r="D117" s="82" t="s">
        <v>590</v>
      </c>
      <c r="E117" s="99" t="s">
        <v>510</v>
      </c>
      <c r="F117" s="100" t="str">
        <f t="shared" si="16"/>
        <v xml:space="preserve">[color=red]#NAME?[/color] - A Mafia Jack of All Trades (JoAT) has the ability to perform one of these actions each night: detective, sane cop, roleblock, watch, track, gunsmith, cloak and jail. The JoAT can only use each action once (but a failed attempt doesn't count against this limit). This is a visiting role.</v>
      </c>
      <c r="G117" s="116" t="str">
        <f t="shared" si="17"/>
        <v>[color=red]#NAME?[/color]</v>
      </c>
      <c r="H117" s="125" t="str">
        <f>split(substitute(E117," - ","~!@^&amp;*#",1),"~!@^&amp;*#",false)"),"Mafia Jack of All Trades</f>
        <v>#NAME?</v>
      </c>
      <c r="I117" s="106" t="str">
        <f>"COMPUTED_VALUE""),"A Mafia Jack of All Trades (JoAT) has the ability to perform one of these actions each night: detective, sane cop, roleblock, watch, track, gunsmith, cloak and jail. The JoAT can only use each action once (but a failed attempt doesn't count against this l"&amp;"imit). This is a visiting role.</f>
        <v xml:space="preserve">A Mafia Jack of All Trades (JoAT) has the ability to perform one of these actions each night: detective, sane cop, roleblock, watch, track, gunsmith, cloak and jail. The JoAT can only use each action once (but a failed attempt doesn't count against this limit). This is a visiting role.</v>
      </c>
      <c r="J117" s="103" t="s">
        <v>591</v>
      </c>
    </row>
    <row r="118">
      <c r="A118" s="119"/>
      <c r="B118" s="120"/>
      <c r="C118" s="120"/>
      <c r="D118" s="82" t="s">
        <v>590</v>
      </c>
      <c r="E118" s="99" t="s">
        <v>511</v>
      </c>
      <c r="F118" s="100" t="str">
        <f t="shared" si="16"/>
        <v xml:space="preserve">[color=red]#NAME?[/color] - A Mafia Janitor can choose a target at night. If that target dies that night, the role and alignment of that target is concealed from the rest of the players upon death, but the Janitor will learn the player's role and alignment. The Janitor can use its ability 3 times. A failed attempt does not count against this limit. This is a visiting role.</v>
      </c>
      <c r="G118" s="116" t="str">
        <f t="shared" si="17"/>
        <v>[color=red]#NAME?[/color]</v>
      </c>
      <c r="H118" s="125" t="str">
        <f>split(substitute(E118," - ","~!@^&amp;*#",1),"~!@^&amp;*#",false)"),"Mafia Janitor</f>
        <v>#NAME?</v>
      </c>
      <c r="I118" s="106" t="str">
        <f>"COMPUTED_VALUE""),"A Mafia Janitor can choose a target at night. If that target dies that night, the role and alignment of that target is concealed from the rest of the players upon death, but the Janitor will learn the player's role and alignment. The Janitor can use its a"&amp;"bility 3 times. A failed attempt does not count against this limit. This is a visiting role.</f>
        <v xml:space="preserve">A Mafia Janitor can choose a target at night. If that target dies that night, the role and alignment of that target is concealed from the rest of the players upon death, but the Janitor will learn the player's role and alignment. The Janitor can use its ability 3 times. A failed attempt does not count against this limit. This is a visiting role.</v>
      </c>
      <c r="J118" s="103" t="s">
        <v>591</v>
      </c>
    </row>
    <row r="119">
      <c r="A119" s="119"/>
      <c r="B119" s="120"/>
      <c r="C119" s="120"/>
      <c r="D119" s="82" t="s">
        <v>590</v>
      </c>
      <c r="E119" s="99" t="s">
        <v>512</v>
      </c>
      <c r="F119" s="100" t="str">
        <f t="shared" si="16"/>
        <v xml:space="preserve">[color=red]#NAME?[/color] - A Mafia Lawyer visits one player each night. That player appears innocent to Cops, Detective investigations fail, and that player does not appear to carry a gun. The Lawyer cannot target themselves. This is a visiting role.</v>
      </c>
      <c r="G119" s="116" t="str">
        <f t="shared" si="17"/>
        <v>[color=red]#NAME?[/color]</v>
      </c>
      <c r="H119" s="125" t="str">
        <f>split(substitute(E119," - ","~!@^&amp;*#",1),"~!@^&amp;*#",false)"),"Mafia Lawyer</f>
        <v>#NAME?</v>
      </c>
      <c r="I119" s="106" t="str">
        <f>"COMPUTED_VALUE""),"A Mafia Lawyer visits one player each night. That player appears innocent to Cops, Detective investigations fail, and that player does not appear to carry a gun. The Lawyer cannot target themselves. This is a visiting role.</f>
        <v xml:space="preserve">A Mafia Lawyer visits one player each night. That player appears innocent to Cops, Detective investigations fail, and that player does not appear to carry a gun. The Lawyer cannot target themselves. This is a visiting role.</v>
      </c>
      <c r="J119" s="103" t="s">
        <v>591</v>
      </c>
    </row>
    <row r="120">
      <c r="A120" s="119"/>
      <c r="B120" s="120"/>
      <c r="C120" s="120"/>
      <c r="D120" s="82" t="s">
        <v>590</v>
      </c>
      <c r="E120" s="99" t="s">
        <v>513</v>
      </c>
      <c r="F120" s="100" t="str">
        <f t="shared" si="16"/>
        <v xml:space="preserve">[color=red]#NAME?[/color] - A Mafia Mailman can send one anonymous message to another player of their choice at night. This is done by sending the host the target's name and the message. The host will then send the message on to the target. The recipient can send a message in reply. The Mafia Mailman carries a gun. This is not a visiting role.</v>
      </c>
      <c r="G120" s="116" t="str">
        <f t="shared" si="17"/>
        <v>[color=red]#NAME?[/color]</v>
      </c>
      <c r="H120" s="125" t="str">
        <f>split(substitute(E120," - ","~!@^&amp;*#",1),"~!@^&amp;*#",false)"),"Mafia Mailman</f>
        <v>#NAME?</v>
      </c>
      <c r="I120" s="106" t="str">
        <f>"COMPUTED_VALUE""),"A Mafia Mailman can send one anonymous message to another player of their choice at night. This is done by sending the host the target's name and the message. The host will then send the message on to the target. The recipient can send a message in reply."&amp;" The Mafia Mailman carries a gun. This is not a visiting role.</f>
        <v xml:space="preserve">A Mafia Mailman can send one anonymous message to another player of their choice at night. This is done by sending the host the target's name and the message. The host will then send the message on to the target. The recipient can send a message in reply. The Mafia Mailman carries a gun. This is not a visiting role.</v>
      </c>
      <c r="J120" s="103" t="s">
        <v>591</v>
      </c>
    </row>
    <row r="121">
      <c r="A121" s="119"/>
      <c r="B121" s="120"/>
      <c r="C121" s="120"/>
      <c r="D121" s="82" t="s">
        <v>590</v>
      </c>
      <c r="E121" s="99" t="s">
        <v>514</v>
      </c>
      <c r="F121" s="100" t="str">
        <f t="shared" si="16"/>
        <v xml:space="preserve">[color=red]#NAME?[/color] - Each night, a Mafia Private Eye may track up to two players. The Private Eye learns who those players visit that night. This is a visiting role.</v>
      </c>
      <c r="G121" s="116" t="str">
        <f t="shared" si="17"/>
        <v>[color=red]#NAME?[/color]</v>
      </c>
      <c r="H121" s="125" t="str">
        <f>split(substitute(E121," - ","~!@^&amp;*#",1),"~!@^&amp;*#",false)"),"Mafia Private Eye</f>
        <v>#NAME?</v>
      </c>
      <c r="I121" s="106" t="str">
        <f>"COMPUTED_VALUE""),"Each night, a Mafia Private Eye may track up to two players. The Private Eye learns who those players visit that night. This is a visiting role.</f>
        <v xml:space="preserve">Each night, a Mafia Private Eye may track up to two players. The Private Eye learns who those players visit that night. This is a visiting role.</v>
      </c>
      <c r="J121" s="103" t="s">
        <v>591</v>
      </c>
    </row>
    <row r="122">
      <c r="A122" s="119"/>
      <c r="B122" s="120"/>
      <c r="C122" s="120"/>
      <c r="D122" s="82" t="s">
        <v>590</v>
      </c>
      <c r="E122" s="99" t="s">
        <v>515</v>
      </c>
      <c r="F122" s="100" t="str">
        <f t="shared" si="16"/>
        <v xml:space="preserve">[color=red]#NAME?[/color] - A Mafia Roleblocker chooses one player to block each night. The roleblocker cannot block the same player 3 nights in a row. This is a visiting role.</v>
      </c>
      <c r="G122" s="116" t="str">
        <f t="shared" si="17"/>
        <v>[color=red]#NAME?[/color]</v>
      </c>
      <c r="H122" s="125" t="str">
        <f>split(substitute(E122," - ","~!@^&amp;*#",1),"~!@^&amp;*#",false)"),"Mafia Roleblocker</f>
        <v>#NAME?</v>
      </c>
      <c r="I122" s="106" t="str">
        <f>"COMPUTED_VALUE""),"A Mafia Roleblocker chooses one player to block each night. The roleblocker cannot block the same player 3 nights in a row. This is a visiting role.</f>
        <v xml:space="preserve">A Mafia Roleblocker chooses one player to block each night. The roleblocker cannot block the same player 3 nights in a row. This is a visiting role.</v>
      </c>
      <c r="J122" s="103" t="s">
        <v>591</v>
      </c>
    </row>
    <row r="123">
      <c r="A123" s="119"/>
      <c r="B123" s="120"/>
      <c r="C123" s="120"/>
      <c r="D123" s="82" t="s">
        <v>590</v>
      </c>
      <c r="E123" s="99" t="s">
        <v>516</v>
      </c>
      <c r="F123" s="100" t="str">
        <f t="shared" si="16"/>
        <v xml:space="preserve">[color=red]#NAME?[/color] - A Mafia Safety Expert may either gunsmith or roleblock a single target each night. The Safety Expert is one-shot Bulletproof. This is a visiting role.</v>
      </c>
      <c r="G123" s="116" t="str">
        <f t="shared" si="17"/>
        <v>[color=red]#NAME?[/color]</v>
      </c>
      <c r="H123" s="125" t="str">
        <f>split(substitute(E123," - ","~!@^&amp;*#",1),"~!@^&amp;*#",false)"),"Mafia Safety Expert</f>
        <v>#NAME?</v>
      </c>
      <c r="I123" s="106" t="str">
        <f>"COMPUTED_VALUE""),"A Mafia Safety Expert may either gunsmith or roleblock a single target each night. The Safety Expert is one-shot Bulletproof. This is a visiting role.</f>
        <v xml:space="preserve">A Mafia Safety Expert may either gunsmith or roleblock a single target each night. The Safety Expert is one-shot Bulletproof. This is a visiting role.</v>
      </c>
      <c r="J123" s="103" t="s">
        <v>591</v>
      </c>
    </row>
    <row r="124">
      <c r="A124" s="119"/>
      <c r="B124" s="120"/>
      <c r="C124" s="120"/>
      <c r="D124" s="82" t="s">
        <v>590</v>
      </c>
      <c r="E124" s="99" t="s">
        <v>517</v>
      </c>
      <c r="F124" s="100" t="str">
        <f t="shared" si="16"/>
        <v xml:space="preserve">[color=red]#NAME?[/color] - Similarly to a Tailor, the Mafia Seamstress can give a gown to a player each night, regardless of alignment. If that target dies or is investigated, that player will appear as the role of the gown. The player who receives the gown will get a message informing them they have received a gown, but it will not tell them the role of the gown. The gown lasts the entire game and can be replaced by another gown. The Seamstress only affects the Detective’s results. This is a visiting role.</v>
      </c>
      <c r="G124" s="116" t="str">
        <f t="shared" si="17"/>
        <v>[color=red]#NAME?[/color]</v>
      </c>
      <c r="H124" s="125" t="str">
        <f>split(substitute(E124," - ","~!@^&amp;*#",1),"~!@^&amp;*#",false)"),"Mafia Seamstress</f>
        <v>#NAME?</v>
      </c>
      <c r="I124" s="106" t="str">
        <f>"COMPUTED_VALUE""),"Similarly to a Tailor, the Mafia Seamstress can give a gown to a player each night, regardless of alignment. If that target dies or is investigated, that player will appear as the role of the gown. The player who receives the gown will get a message infor"&amp;"ming them they have received a gown, but it will not tell them the role of the gown. The gown lasts the entire game and can be replaced by another gown. The Seamstress only affects the Detective’s results. This is a visiting role.</f>
        <v xml:space="preserve">Similarly to a Tailor, the Mafia Seamstress can give a gown to a player each night, regardless of alignment. If that target dies or is investigated, that player will appear as the role of the gown. The player who receives the gown will get a message informing them they have received a gown, but it will not tell them the role of the gown. The gown lasts the entire game and can be replaced by another gown. The Seamstress only affects the Detective’s results. This is a visiting role.</v>
      </c>
      <c r="J124" s="103" t="s">
        <v>591</v>
      </c>
    </row>
    <row r="125">
      <c r="A125" s="119"/>
      <c r="B125" s="120"/>
      <c r="C125" s="120"/>
      <c r="D125" s="82" t="s">
        <v>590</v>
      </c>
      <c r="E125" s="99" t="s">
        <v>518</v>
      </c>
      <c r="F125" s="100" t="str">
        <f t="shared" si="16"/>
        <v xml:space="preserve">[color=red]#NAME?[/color] - The Mafia Tailor can give a suit to a player each night, regardless of alignment. If that target dies or is investigated, that player will appear as the role of the suit. The player who receives the suit will get a message the next day informing them that they have received a suit, but it will not tell them the role of the suit. The suit lasts the entire game, and can be replaced by another suit. The Tailor only influences the Detective’s, Cop’s, and Gunsmith's results. This is a visiting role.</v>
      </c>
      <c r="G125" s="116" t="str">
        <f t="shared" si="17"/>
        <v>[color=red]#NAME?[/color]</v>
      </c>
      <c r="H125" s="125" t="str">
        <f>split(substitute(E125," - ","~!@^&amp;*#",1),"~!@^&amp;*#",false)"),"Mafia Tailor</f>
        <v>#NAME?</v>
      </c>
      <c r="I125" s="106" t="str">
        <f>"COMPUTED_VALUE""),"The Mafia Tailor can give a suit to a player each night, regardless of alignment. If that target dies or is investigated, that player will appear as the role of the suit. The player who receives the suit will get a message the next day informing them that"&amp;" they have received a suit, but it will not tell them the role of the suit. The suit lasts the entire game, and can be replaced by another suit. The Tailor only influences the Detective’s, Cop’s, and Gunsmith's results. This is a visiting role.</f>
        <v xml:space="preserve">The Mafia Tailor can give a suit to a player each night, regardless of alignment. If that target dies or is investigated, that player will appear as the role of the suit. The player who receives the suit will get a message the next day informing them that they have received a suit, but it will not tell them the role of the suit. The suit lasts the entire game, and can be replaced by another suit. The Tailor only influences the Detective’s, Cop’s, and Gunsmith's results. This is a visiting role.</v>
      </c>
      <c r="J125" s="103" t="s">
        <v>591</v>
      </c>
    </row>
    <row r="126">
      <c r="A126" s="119"/>
      <c r="B126" s="120"/>
      <c r="C126" s="120"/>
      <c r="D126" s="82" t="s">
        <v>590</v>
      </c>
      <c r="E126" s="99" t="s">
        <v>519</v>
      </c>
      <c r="F126" s="100" t="str">
        <f t="shared" si="16"/>
        <v xml:space="preserve">[color=red]#NAME?[/color] - A Mafia Mole learns the identity of each Cop/Detective that investigates another Mafia member, but only receives this information two nights after the investigation (For Example, Learning of a Night 0 investigations on Night 2). The Mole does not know if they are investigated. This is not a visiting role.</v>
      </c>
      <c r="G126" s="116" t="str">
        <f t="shared" si="17"/>
        <v>[color=red]#NAME?[/color]</v>
      </c>
      <c r="H126" s="125" t="str">
        <f>split(substitute(E126," - ","~!@^&amp;*#",1),"~!@^&amp;*#",false)"),"Mafia Mole</f>
        <v>#NAME?</v>
      </c>
      <c r="I126" s="106" t="str">
        <f>"COMPUTED_VALUE""),"A Mafia Mole learns the identity of each Cop/Detective that investigates another Mafia member, but only receives this information two nights after the investigation (For Example, Learning of a Night 0 investigations on Night 2). The Mole does not know if "&amp;"they are investigated. This is not a visiting role.</f>
        <v xml:space="preserve">A Mafia Mole learns the identity of each Cop/Detective that investigates another Mafia member, but only receives this information two nights after the investigation (For Example, Learning of a Night 0 investigations on Night 2). The Mole does not know if they are investigated. This is not a visiting role.</v>
      </c>
      <c r="J126" s="103" t="s">
        <v>591</v>
      </c>
    </row>
    <row r="127">
      <c r="A127" s="119"/>
      <c r="B127" s="120"/>
      <c r="C127" s="120"/>
      <c r="D127" s="82" t="s">
        <v>590</v>
      </c>
      <c r="E127" s="99" t="s">
        <v>520</v>
      </c>
      <c r="F127" s="100" t="str">
        <f t="shared" si="16"/>
        <v xml:space="preserve">[color=red]#NAME?[/color] - A Mafia Thief targets one player each night to steal an item from. The Thief is told what they stole, and the item will be related to that player's role. This is a visiting role.</v>
      </c>
      <c r="G127" s="116" t="str">
        <f t="shared" si="17"/>
        <v>[color=red]#NAME?[/color]</v>
      </c>
      <c r="H127" s="125" t="str">
        <f>split(substitute(E127," - ","~!@^&amp;*#",1),"~!@^&amp;*#",false)"),"Mafia Thief</f>
        <v>#NAME?</v>
      </c>
      <c r="I127" s="106" t="str">
        <f>"COMPUTED_VALUE""),"A Mafia Thief targets one player each night to steal an item from. The Thief is told what they stole, and the item will be related to that player's role. This is a visiting role.</f>
        <v xml:space="preserve">A Mafia Thief targets one player each night to steal an item from. The Thief is told what they stole, and the item will be related to that player's role. This is a visiting role.</v>
      </c>
      <c r="J127" s="103" t="s">
        <v>591</v>
      </c>
    </row>
    <row r="128">
      <c r="A128" s="119"/>
      <c r="B128" s="120"/>
      <c r="C128" s="120"/>
      <c r="D128" s="82" t="s">
        <v>590</v>
      </c>
      <c r="E128" s="99" t="s">
        <v>521</v>
      </c>
      <c r="F128" s="100" t="str">
        <f t="shared" si="16"/>
        <v xml:space="preserve">[color=red]#NAME?[/color] - A Mafia Torturer learns the night actions and results of everyone they kill.</v>
      </c>
      <c r="G128" s="116" t="str">
        <f t="shared" si="17"/>
        <v>[color=red]#NAME?[/color]</v>
      </c>
      <c r="H128" s="125" t="str">
        <f>split(substitute(E128," - ","~!@^&amp;*#",1),"~!@^&amp;*#",false)"),"Mafia Torturer</f>
        <v>#NAME?</v>
      </c>
      <c r="I128" s="106" t="str">
        <f>"COMPUTED_VALUE""),"A Mafia Torturer learns the night actions and results of everyone they kill.</f>
        <v xml:space="preserve">A Mafia Torturer learns the night actions and results of everyone they kill.</v>
      </c>
      <c r="J128" s="103" t="s">
        <v>591</v>
      </c>
    </row>
    <row r="129">
      <c r="A129" s="119"/>
      <c r="B129" s="120"/>
      <c r="C129" s="120"/>
      <c r="D129" s="82" t="s">
        <v>590</v>
      </c>
      <c r="E129" s="99" t="s">
        <v>522</v>
      </c>
      <c r="F129" s="100" t="str">
        <f t="shared" si="16"/>
        <v xml:space="preserve">[color=red]#NAME?[/color] - Direct kills on a Mafia Tough Guy will fail. The Tough Guy can be lynched normally.</v>
      </c>
      <c r="G129" s="116" t="str">
        <f t="shared" si="17"/>
        <v>[color=red]#NAME?[/color]</v>
      </c>
      <c r="H129" s="125" t="str">
        <f>split(substitute(E129," - ","~!@^&amp;*#",1),"~!@^&amp;*#",false)"),"Mafia Tough Guy</f>
        <v>#NAME?</v>
      </c>
      <c r="I129" s="106" t="str">
        <f>"COMPUTED_VALUE""),"Direct kills on a Mafia Tough Guy will fail. The Tough Guy can be lynched normally.</f>
        <v xml:space="preserve">Direct kills on a Mafia Tough Guy will fail. The Tough Guy can be lynched normally.</v>
      </c>
      <c r="J129" s="103" t="s">
        <v>591</v>
      </c>
    </row>
    <row r="130">
      <c r="A130" s="119"/>
      <c r="B130" s="120"/>
      <c r="C130" s="120"/>
      <c r="D130" s="82" t="s">
        <v>590</v>
      </c>
      <c r="E130" s="99" t="s">
        <v>523</v>
      </c>
      <c r="F130" s="100" t="str">
        <f t="shared" si="16"/>
        <v xml:space="preserve">[color=red]#NAME?[/color] - A Mafia Traitor is aligned with the Mafia but is not part of the team chat. The Mafia team will know if a Traitor exists in the game, and if they target the Traitor with their factional Kill, the Traitor will join the team chat instead of dying. The Traitor knows who is on the Mafia team, but the rest of the team does not know who the Traitor is. The Traitor will show as guilty to Cops, but does not carry a gun until he is brought into chat communication with the rest of his team. If this role is combined with another role, the other role will be what is revealed to Detectives. If all the other Mafia team members die, the unrecruited Traitor can inherit the factional Kill.</v>
      </c>
      <c r="G130" s="116" t="str">
        <f t="shared" si="17"/>
        <v>[color=red]#NAME?[/color]</v>
      </c>
      <c r="H130" s="125" t="str">
        <f>split(substitute(E130," - ","~!@^&amp;*#",1),"~!@^&amp;*#",false)"),"Mafia Traitor</f>
        <v>#NAME?</v>
      </c>
      <c r="I130" s="106" t="str">
        <f>"COMPUTED_VALUE""),"A Mafia Traitor is aligned with the Mafia but is not part of the team chat. The Mafia team will know if a Traitor exists in the game, and if they target the Traitor with their factional Kill, the Traitor will join the team chat instead of dying. The Trait"&amp;"or knows who is on the Mafia team, but the rest of the team does not know who the Traitor is. The Traitor will show as guilty to Cops, but does not carry a gun until he is brought into chat communication with the rest of his team. If this role is combined"&amp;" with another role, the other role will be what is revealed to Detectives. If all the other Mafia team members die, the unrecruited Traitor can inherit the factional Kill.</f>
        <v xml:space="preserve">A Mafia Traitor is aligned with the Mafia but is not part of the team chat. The Mafia team will know if a Traitor exists in the game, and if they target the Traitor with their factional Kill, the Traitor will join the team chat instead of dying. The Traitor knows who is on the Mafia team, but the rest of the team does not know who the Traitor is. The Traitor will show as guilty to Cops, but does not carry a gun until he is brought into chat communication with the rest of his team. If this role is combined with another role, the other role will be what is revealed to Detectives. If all the other Mafia team members die, the unrecruited Traitor can inherit the factional Kill.</v>
      </c>
      <c r="J130" s="103" t="s">
        <v>591</v>
      </c>
    </row>
    <row r="131">
      <c r="A131" s="119"/>
      <c r="B131" s="120"/>
      <c r="C131" s="120"/>
      <c r="D131" s="82" t="s">
        <v>590</v>
      </c>
      <c r="E131" s="99" t="s">
        <v>524</v>
      </c>
      <c r="F131" s="100" t="str">
        <f t="shared" si="16"/>
        <v xml:space="preserve">[color=red]#NAME?[/color] - Each night, a Mafia Watchful Detective may either Detective or Watch a target. The Watchful Detective carries a gun. This is a visiting role.</v>
      </c>
      <c r="G131" s="116" t="str">
        <f t="shared" si="17"/>
        <v>[color=red]#NAME?[/color]</v>
      </c>
      <c r="H131" s="125" t="str">
        <f>split(substitute(E131," - ","~!@^&amp;*#",1),"~!@^&amp;*#",false)"),"Mafia Watchful Detective</f>
        <v>#NAME?</v>
      </c>
      <c r="I131" s="106" t="str">
        <f>"COMPUTED_VALUE""),"Each night, a Mafia Watchful Detective may either Detective or Watch a target. The Watchful Detective carries a gun. This is a visiting role.</f>
        <v xml:space="preserve">Each night, a Mafia Watchful Detective may either Detective or Watch a target. The Watchful Detective carries a gun. This is a visiting role.</v>
      </c>
      <c r="J131" s="103" t="s">
        <v>591</v>
      </c>
    </row>
    <row r="132">
      <c r="A132" s="119"/>
      <c r="B132" s="120"/>
      <c r="C132" s="120"/>
      <c r="D132" s="106"/>
      <c r="E132" s="107"/>
      <c r="F132" s="100" t="str">
        <f t="shared" si="16"/>
        <v xml:space="preserve">[color=magenta][/color] - </v>
      </c>
      <c r="G132" s="116" t="str">
        <f t="shared" si="17"/>
        <v>[color=magenta][/color]</v>
      </c>
      <c r="H132" s="106"/>
      <c r="I132" s="106"/>
      <c r="J132" s="110"/>
    </row>
    <row r="133">
      <c r="A133" s="119"/>
      <c r="B133" s="120"/>
      <c r="C133" s="120"/>
      <c r="D133" s="82" t="s">
        <v>592</v>
      </c>
      <c r="E133" s="99" t="s">
        <v>525</v>
      </c>
      <c r="F133" s="100" t="str">
        <f t="shared" si="16"/>
        <v xml:space="preserve">[color=#8e7cc3]#NAME?[/color] - An Alien visits one human each night to probe them. The human's night action will fail, and they will be notified of an eerie but still hazy memory of what happened to them the following night (i. e. if they are probed N1, they will be notified N2). The Alien wins if all living humans have been probed and the Alien is also still alive. If there is more than one Alien, they will be given a chat room to plot their world domination. The Alien is permanently cloaked, which means they are invisible to watch/track/follow/voyeur and are unblockable.</v>
      </c>
      <c r="G133" s="116" t="str">
        <f t="shared" si="17"/>
        <v>[color=#8e7cc3]#NAME?[/color]</v>
      </c>
      <c r="H133" s="126" t="str">
        <f>split(substitute(E133," - ","~!@^&amp;*#",1),"~!@^&amp;*#",false)"),"Alien</f>
        <v>#NAME?</v>
      </c>
      <c r="I133" s="106" t="str">
        <f>"COMPUTED_VALUE""),"An Alien visits one human each night to probe them. The human's night action will fail, and they will be notified of an eerie but still hazy memory of what happened to them the following night (i. e. if they are probed N1, they will be notified N2). The A"&amp;"lien wins if all living humans have been probed and the Alien is also still alive. If there is more than one Alien, they will be given a chat room to plot their world domination. The Alien is permanently cloaked, which means they are invisible to watch/tr"&amp;"ack/follow/voyeur and are unblockable.</f>
        <v xml:space="preserve">An Alien visits one human each night to probe them. The human's night action will fail, and they will be notified of an eerie but still hazy memory of what happened to them the following night (i. e. if they are probed N1, they will be notified N2). The Alien wins if all living humans have been probed and the Alien is also still alive. If there is more than one Alien, they will be given a chat room to plot their world domination. The Alien is permanently cloaked, which means they are invisible to watch/track/follow/voyeur and are unblockable.</v>
      </c>
      <c r="J133" s="103" t="str">
        <f t="shared" si="18"/>
        <v xml:space="preserve">Hello and welcome to XXX Mafia # - 
Your role is[color=#8e7cc3]#NAME?[/color].
[color=#8e7cc3]#NAME?[/color] - An Alien visits one human each night to probe them. The human's night action will fail, and they will be notified of an eerie but still hazy memory of what happened to them the following night (i. e. if they are probed N1, they will be notified N2). The Alien wins if all living humans have been probed and the Alien is also still alive. If there is more than one Alien, they will be given a chat room to plot their world domination. The Alien is permanently cloaked, which means they are invisible to watch/track/follow/voyeur and are unblockable.
Feel free to ask any questions about your role or the game itself.
Good luck and have fun!</v>
      </c>
    </row>
    <row r="134">
      <c r="A134" s="119"/>
      <c r="B134" s="120"/>
      <c r="C134" s="120"/>
      <c r="D134" s="82" t="s">
        <v>592</v>
      </c>
      <c r="E134" s="99" t="s">
        <v>526</v>
      </c>
      <c r="F134" s="100" t="str">
        <f t="shared" si="16"/>
        <v xml:space="preserve">[color=#8e7cc3]#NAME?[/color] - An Amnesiac can take over the role of any dead player on any team. The Amnesiac can only use this action once. However, they CAN take over the role of a dead scum Amnesiac or a dead Town Amnesiac and have that role’s power to take on another role again. If the third party Amnesiac becomes a scum team member, they CANNOT switch teams (i.e. to the other killing party or to town). This is not a visiting role.</v>
      </c>
      <c r="G134" s="116" t="str">
        <f t="shared" si="17"/>
        <v>[color=#8e7cc3]#NAME?[/color]</v>
      </c>
      <c r="H134" s="126" t="str">
        <f>split(substitute(E134," - ","~!@^&amp;*#",1),"~!@^&amp;*#",false)"),"Amnesiac</f>
        <v>#NAME?</v>
      </c>
      <c r="I134" s="106" t="str">
        <f>"COMPUTED_VALUE""),"An Amnesiac can take over the role of any dead player on any team. The Amnesiac can only use this action once. However, they CAN take over the role of a dead scum Amnesiac or a dead Town Amnesiac and have that role’s power to take on another role again. I"&amp;"f the third party Amnesiac becomes a scum team member, they CANNOT switch teams (i.e. to the other killing party or to town). This is not a visiting role.</f>
        <v xml:space="preserve">An Amnesiac can take over the role of any dead player on any team. The Amnesiac can only use this action once. However, they CAN take over the role of a dead scum Amnesiac or a dead Town Amnesiac and have that role’s power to take on another role again. If the third party Amnesiac becomes a scum team member, they CANNOT switch teams (i.e. to the other killing party or to town). This is not a visiting role.</v>
      </c>
      <c r="J134" s="103" t="str">
        <f t="shared" si="18"/>
        <v xml:space="preserve">Hello and welcome to XXX Mafia # - 
Your role is[color=#8e7cc3]#NAME?[/color].
[color=#8e7cc3]#NAME?[/color] - An Amnesiac can take over the role of any dead player on any team. The Amnesiac can only use this action once. However, they CAN take over the role of a dead scum Amnesiac or a dead Town Amnesiac and have that role’s power to take on another role again. If the third party Amnesiac becomes a scum team member, they CANNOT switch teams (i.e. to the other killing party or to town). This is not a visiting role.
Feel free to ask any questions about your role or the game itself.
Good luck and have fun!</v>
      </c>
    </row>
    <row r="135">
      <c r="A135" s="119"/>
      <c r="B135" s="120"/>
      <c r="C135" s="120"/>
      <c r="D135" s="82" t="s">
        <v>592</v>
      </c>
      <c r="E135" s="99" t="s">
        <v>527</v>
      </c>
      <c r="F135" s="100" t="str">
        <f t="shared" si="16"/>
        <v xml:space="preserve">[color=#8e7cc3]#NAME?[/color] - An Anarchist has the ability to perform one of these actions each night: detective and kill. The Anarchist wins if it kills the Governor and the Godfather. A vote to lynch players with those roles also counts for this win condition (if the lynching is successful). The Anarchist does not carry a gun. This is a visiting role.</v>
      </c>
      <c r="G135" s="116" t="str">
        <f t="shared" si="17"/>
        <v>[color=#8e7cc3]#NAME?[/color]</v>
      </c>
      <c r="H135" s="126" t="str">
        <f>split(substitute(E135," - ","~!@^&amp;*#",1),"~!@^&amp;*#",false)"),"Anarchist</f>
        <v>#NAME?</v>
      </c>
      <c r="I135" s="106" t="str">
        <f>"COMPUTED_VALUE""),"An Anarchist has the ability to perform one of these actions each night: detective and kill. The Anarchist wins if it kills the Governor and the Godfather. A vote to lynch players with those roles also counts for this win condition (if the lynching is suc"&amp;"cessful). The Anarchist does not carry a gun. This is a visiting role.</f>
        <v xml:space="preserve">An Anarchist has the ability to perform one of these actions each night: detective and kill. The Anarchist wins if it kills the Governor and the Godfather. A vote to lynch players with those roles also counts for this win condition (if the lynching is successful). The Anarchist does not carry a gun. This is a visiting role.</v>
      </c>
      <c r="J135" s="103" t="str">
        <f t="shared" si="18"/>
        <v xml:space="preserve">Hello and welcome to XXX Mafia # - 
Your role is[color=#8e7cc3]#NAME?[/color].
[color=#8e7cc3]#NAME?[/color] - An Anarchist has the ability to perform one of these actions each night: detective and kill. The Anarchist wins if it kills the Governor and the Godfather. A vote to lynch players with those roles also counts for this win condition (if the lynching is successful). The Anarchist does not carry a gun. This is a visiting role.
Feel free to ask any questions about your role or the game itself.
Good luck and have fun!</v>
      </c>
    </row>
    <row r="136">
      <c r="A136" s="119"/>
      <c r="B136" s="120"/>
      <c r="C136" s="120"/>
      <c r="D136" s="82" t="s">
        <v>592</v>
      </c>
      <c r="E136" s="99" t="s">
        <v>528</v>
      </c>
      <c r="F136" s="100" t="str">
        <f t="shared" si="16"/>
        <v xml:space="preserve">[color=#8e7cc3]#NAME?[/color] - A Barman may choose one player each night to serve drinks to. The player’s night action will fail and they will have to use a Drunk Translator to translate any post they make during the following day. The Barman cannot target the same player three nights in a row. If the Barman is targeted for a kill, they will join their killer’s Team instead and will be able to communicate with the Team/killer through a provided chat room. After they are recruited, they will keep their abilities and can be killed normally. If recruited by a scum team, will appear guilty to sane Cops and will have a gun from that point on. This is a visiting role.</v>
      </c>
      <c r="G136" s="116" t="str">
        <f t="shared" si="17"/>
        <v>[color=#8e7cc3]#NAME?[/color]</v>
      </c>
      <c r="H136" s="126" t="str">
        <f>split(substitute(E136," - ","~!@^&amp;*#",1),"~!@^&amp;*#",false)"),"Barman</f>
        <v>#NAME?</v>
      </c>
      <c r="I136" s="106" t="str">
        <f>"COMPUTED_VALUE""),"A Barman may choose one player each night to serve drinks to. The player’s night action will fail and they will have to use a Drunk Translator to translate any post they make during the following day. The Barman cannot target the same player three nights "&amp;"in a row. If the Barman is targeted for a kill, they will join their killer’s Team instead and will be able to communicate with the Team/killer through a provided chat room. After they are recruited, they will keep their abilities and can be killed normal"&amp;"ly. If recruited by a scum team, will appear guilty to sane Cops and will have a gun from that point on. This is a visiting role.</f>
        <v xml:space="preserve">A Barman may choose one player each night to serve drinks to. The player’s night action will fail and they will have to use a Drunk Translator to translate any post they make during the following day. The Barman cannot target the same player three nights in a row. If the Barman is targeted for a kill, they will join their killer’s Team instead and will be able to communicate with the Team/killer through a provided chat room. After they are recruited, they will keep their abilities and can be killed normally. If recruited by a scum team, will appear guilty to sane Cops and will have a gun from that point on. This is a visiting role.</v>
      </c>
      <c r="J136" s="103" t="str">
        <f t="shared" si="18"/>
        <v xml:space="preserve">Hello and welcome to XXX Mafia # - 
Your role is[color=#8e7cc3]#NAME?[/color].
[color=#8e7cc3]#NAME?[/color] - A Barman may choose one player each night to serve drinks to. The player’s night action will fail and they will have to use a Drunk Translator to translate any post they make during the following day. The Barman cannot target the same player three nights in a row. If the Barman is targeted for a kill, they will join their killer’s Team instead and will be able to communicate with the Team/killer through a provided chat room. After they are recruited, they will keep their abilities and can be killed normally. If recruited by a scum team, will appear guilty to sane Cops and will have a gun from that point on. This is a visiting role.
Feel free to ask any questions about your role or the game itself.
Good luck and have fun!</v>
      </c>
    </row>
    <row r="137">
      <c r="A137" s="119"/>
      <c r="B137" s="120"/>
      <c r="C137" s="120"/>
      <c r="H137" s="127"/>
      <c r="I137" s="82" t="s">
        <v>529</v>
      </c>
      <c r="J137" s="110"/>
    </row>
    <row r="138">
      <c r="A138" s="119"/>
      <c r="B138" s="120"/>
      <c r="C138" s="120"/>
      <c r="D138" s="82" t="s">
        <v>592</v>
      </c>
      <c r="E138" s="99" t="s">
        <v>530</v>
      </c>
      <c r="F138" s="100" t="str">
        <f t="shared" si="16"/>
        <v xml:space="preserve">[color=#8e7cc3]#NAME?[/color] - A Bloody Mary has no night actions until she is summoned during the day in the game thread. When a player mentions Bloody Mary’s player’s name three or more times in the thread, she will visit that player the next night and that player will die. If more than one player summons her, she will appear to all of them. The only way to prevent the killings is by roleblocking Bloody Mary - no type of protection works against her, including jailing, snuggling by a Cat, or being locked in by an Engineer. Voting for Bloody Mary or quoting her or other players’ quotes naming her do not count as part of the summoning, but misspellings of her name do count. Detective investigations on Bloody Mary fail. This is not a visiting role.</v>
      </c>
      <c r="G138" s="116" t="str">
        <f t="shared" si="17"/>
        <v>[color=#8e7cc3]#NAME?[/color]</v>
      </c>
      <c r="H138" s="126" t="str">
        <f>split(substitute(E138," - ","~!@^&amp;*#",1),"~!@^&amp;*#",false)"),"Bloody Mary</f>
        <v>#NAME?</v>
      </c>
      <c r="I138" s="106" t="str">
        <f>"COMPUTED_VALUE""),"A Bloody Mary has no night actions until she is summoned during the day in the game thread. When a player mentions Bloody Mary’s player’s name three or more times in the thread, she will visit that player the next night and that player will die. If more t"&amp;"han one player summons her, she will appear to all of them. The only way to prevent the killings is by roleblocking Bloody Mary - no type of protection works against her, including jailing, snuggling by a Cat, or being locked in by an Engineer. Voting for"&amp;" Bloody Mary or quoting her or other players’ quotes naming her do not count as part of the summoning, but misspellings of her name do count. Detective investigations on Bloody Mary fail. This is not a visiting role.</f>
        <v xml:space="preserve">A Bloody Mary has no night actions until she is summoned during the day in the game thread. When a player mentions Bloody Mary’s player’s name three or more times in the thread, she will visit that player the next night and that player will die. If more than one player summons her, she will appear to all of them. The only way to prevent the killings is by roleblocking Bloody Mary - no type of protection works against her, including jailing, snuggling by a Cat, or being locked in by an Engineer. Voting for Bloody Mary or quoting her or other players’ quotes naming her do not count as part of the summoning, but misspellings of her name do count. Detective investigations on Bloody Mary fail. This is not a visiting role.</v>
      </c>
      <c r="J138" s="103" t="str">
        <f t="shared" si="18"/>
        <v xml:space="preserve">Hello and welcome to XXX Mafia # - 
Your role is[color=#8e7cc3]#NAME?[/color].
[color=#8e7cc3]#NAME?[/color] - A Bloody Mary has no night actions until she is summoned during the day in the game thread. When a player mentions Bloody Mary’s player’s name three or more times in the thread, she will visit that player the next night and that player will die. If more than one player summons her, she will appear to all of them. The only way to prevent the killings is by roleblocking Bloody Mary - no type of protection works against her, including jailing, snuggling by a Cat, or being locked in by an Engineer. Voting for Bloody Mary or quoting her or other players’ quotes naming her do not count as part of the summoning, but misspellings of her name do count. Detective investigations on Bloody Mary fail. This is not a visiting role.
Feel free to ask any questions about your role or the game itself.
Good luck and have fun!</v>
      </c>
    </row>
    <row r="139">
      <c r="A139" s="119"/>
      <c r="B139" s="120"/>
      <c r="C139" s="120"/>
      <c r="D139" s="82" t="s">
        <v>592</v>
      </c>
      <c r="E139" s="99" t="s">
        <v>531</v>
      </c>
      <c r="F139" s="100" t="str">
        <f t="shared" si="16"/>
        <v xml:space="preserve">[color=#8e7cc3]#NAME?[/color] - Each night, a Bomber can choose to plant a bomb on a player or detonate. Detonating kills all players who have had bombs planted on them, unless they are doctored. The Bomber wins when all other players have been reduced to chunky salsa. The Bomber chooses one of the following variants on Night 0: Tough (Takes 2 night kill attempts to die.) or[/u] Unsuspecting. (Detective investigations fail). The Bomber does not carry a gun. This is a visiting role.</v>
      </c>
      <c r="G139" s="116" t="str">
        <f t="shared" si="17"/>
        <v>[color=#8e7cc3]#NAME?[/color]</v>
      </c>
      <c r="H139" s="126" t="str">
        <f>split(substitute(E139," - ","~!@^&amp;*#",1),"~!@^&amp;*#",false)"),"Bomber</f>
        <v>#NAME?</v>
      </c>
      <c r="I139" s="106" t="str">
        <f>"COMPUTED_VALUE""),"Each night, a Bomber can choose to plant a bomb on a player or detonate. Detonating kills all players who have had bombs planted on them, unless they are doctored. The Bomber wins when all other players have been reduced to chunky salsa. The Bomber choose"&amp;"s one of the following variants on Night 0: Tough (Takes 2 night kill attempts to die.) or[/u] Unsuspecting. (Detective investigations fail). The Bomber does not carry a gun. This is a visiting role.</f>
        <v xml:space="preserve">Each night, a Bomber can choose to plant a bomb on a player or detonate. Detonating kills all players who have had bombs planted on them, unless they are doctored. The Bomber wins when all other players have been reduced to chunky salsa. The Bomber chooses one of the following variants on Night 0: Tough (Takes 2 night kill attempts to die.) or[/u] Unsuspecting. (Detective investigations fail). The Bomber does not carry a gun. This is a visiting role.</v>
      </c>
      <c r="J139" s="103" t="str">
        <f t="shared" si="18"/>
        <v xml:space="preserve">Hello and welcome to XXX Mafia # - 
Your role is[color=#8e7cc3]#NAME?[/color].
[color=#8e7cc3]#NAME?[/color] - Each night, a Bomber can choose to plant a bomb on a player or detonate. Detonating kills all players who have had bombs planted on them, unless they are doctored. The Bomber wins when all other players have been reduced to chunky salsa. The Bomber chooses one of the following variants on Night 0: Tough (Takes 2 night kill attempts to die.) or[/u] Unsuspecting. (Detective investigations fail). The Bomber does not carry a gun. This is a visiting role.
Feel free to ask any questions about your role or the game itself.
Good luck and have fun!</v>
      </c>
    </row>
    <row r="140">
      <c r="A140" s="119"/>
      <c r="B140" s="120"/>
      <c r="C140" s="120"/>
      <c r="H140" s="127"/>
      <c r="I140" s="82" t="s">
        <v>532</v>
      </c>
      <c r="J140" s="110"/>
    </row>
    <row r="141">
      <c r="A141" s="119"/>
      <c r="B141" s="120"/>
      <c r="C141" s="120"/>
      <c r="H141" s="127"/>
      <c r="I141" s="82" t="s">
        <v>533</v>
      </c>
      <c r="J141" s="110"/>
    </row>
    <row r="142">
      <c r="A142" s="119"/>
      <c r="B142" s="120"/>
      <c r="C142" s="120"/>
      <c r="D142" s="82" t="s">
        <v>592</v>
      </c>
      <c r="E142" s="99" t="s">
        <v>534</v>
      </c>
      <c r="F142" s="100" t="str">
        <f t="shared" si="16"/>
        <v xml:space="preserve">[color=#8e7cc3]#NAME?[/color] - A Cat snuggles with one player each night. That player's night action fails, and every action directed at that player will each be randomly redirected to someone else. Players that had their action redirected will be notified about it, but won’t know their new target. If a scum team successfully "kills" the Cat, it will instead become the scum team’s Cat and is able to join that team's chat room. If a Townie/3rd party killer successfully "kills" the Cat, it instead becomes the Townie's/killer's pet and is able to talk with the Townie/killer who targeted them (through a provided chat room). Once recruited, the Cat will keep its abilities and, if recruited by a scum faction, will appear guilty to sane cops and will carry a gun from that point on. The Cat cannot snuggle with the same player 3 nights in a row. This is a visiting role.</v>
      </c>
      <c r="G142" s="116" t="str">
        <f t="shared" si="17"/>
        <v>[color=#8e7cc3]#NAME?[/color]</v>
      </c>
      <c r="H142" s="126" t="str">
        <f>split(substitute(E142," - ","~!@^&amp;*#",1),"~!@^&amp;*#",false)"),"Cat</f>
        <v>#NAME?</v>
      </c>
      <c r="I142" s="106" t="str">
        <f>"COMPUTED_VALUE""),"A Cat snuggles with one player each night. That player's night action fails, and every action directed at that player will each be randomly redirected to someone else. Players that had their action redirected will be notified about it, but won’t know thei"&amp;"r new target. If a scum team successfully "kills" the Cat, it will instead become the scum team’s Cat and is able to join that team's chat room. If a Townie/3rd party killer successfully "kills" the Cat, it instead becomes the Townie's/killer's pet an"&amp;"d is able to talk with the Townie/killer who targeted them (through a provided chat room). Once recruited, the Cat will keep its abilities and, if recruited by a scum faction, will appear guilty to sane cops and will carry a gun from that point on. The Ca"&amp;"t cannot snuggle with the same player 3 nights in a row. This is a visiting role.</f>
        <v xml:space="preserve">A Cat snuggles with one player each night. That player's night action fails, and every action directed at that player will each be randomly redirected to someone else. Players that had their action redirected will be notified about it, but won’t know their new target. If a scum team successfully "kills" the Cat, it will instead become the scum team’s Cat and is able to join that team's chat room. If a Townie/3rd party killer successfully "kills" the Cat, it instead becomes the Townie's/killer's pet and is able to talk with the Townie/killer who targeted them (through a provided chat room). Once recruited, the Cat will keep its abilities and, if recruited by a scum faction, will appear guilty to sane cops and will carry a gun from that point on. The Cat cannot snuggle with the same player 3 nights in a row. This is a visiting role.</v>
      </c>
      <c r="J142" s="103" t="str">
        <f t="shared" si="18"/>
        <v xml:space="preserve">Hello and welcome to XXX Mafia # - 
Your role is[color=#8e7cc3]#NAME?[/color].
[color=#8e7cc3]#NAME?[/color] - A Cat snuggles with one player each night. That player's night action fails, and every action directed at that player will each be randomly redirected to someone else. Players that had their action redirected will be notified about it, but won’t know their new target. If a scum team successfully "kills" the Cat, it will instead become the scum team’s Cat and is able to join that team's chat room. If a Townie/3rd party killer successfully "kills" the Cat, it instead becomes the Townie's/killer's pet and is able to talk with the Townie/killer who targeted them (through a provided chat room). Once recruited, the Cat will keep its abilities and, if recruited by a scum faction, will appear guilty to sane cops and will carry a gun from that point on. The Cat cannot snuggle with the same player 3 nights in a row. This is a visiting role.
Feel free to ask any questions about your role or the game itself.
Good luck and have fun!</v>
      </c>
    </row>
    <row r="143">
      <c r="A143" s="119"/>
      <c r="B143" s="120"/>
      <c r="C143" s="120"/>
      <c r="D143" s="82" t="s">
        <v>592</v>
      </c>
      <c r="E143" s="99" t="s">
        <v>535</v>
      </c>
      <c r="F143" s="100" t="str">
        <f t="shared" si="16"/>
        <v xml:space="preserve">[color=#8e7cc3]#NAME?[/color] - Each night, a Courier may send up to 3 anonymous messages to other players, which can be replied to. After 5 players have died, or on night 3, the Courier must choose to commit to either the Town or the Mafia, and wins when its chosen faction does. The Courier does not gain access to the Mafia chat if it commits to their faction. The Courier will keep its abilities after committing to one faction. This is not a visiting role.</v>
      </c>
      <c r="G143" s="116" t="str">
        <f t="shared" si="17"/>
        <v>[color=#8e7cc3]#NAME?[/color]</v>
      </c>
      <c r="H143" s="126" t="str">
        <f>split(substitute(E143," - ","~!@^&amp;*#",1),"~!@^&amp;*#",false)"),"Courier</f>
        <v>#NAME?</v>
      </c>
      <c r="I143" s="106" t="str">
        <f>"COMPUTED_VALUE""),"Each night, a Courier may send up to 3 anonymous messages to other players, which can be replied to. After 5 players have died, or on night 3, the Courier must choose to commit to either the Town or the Mafia, and wins when its chosen faction does. The Co"&amp;"urier does not gain access to the Mafia chat if it commits to their faction. The Courier will keep its abilities after committing to one faction. This is not a visiting role.</f>
        <v xml:space="preserve">Each night, a Courier may send up to 3 anonymous messages to other players, which can be replied to. After 5 players have died, or on night 3, the Courier must choose to commit to either the Town or the Mafia, and wins when its chosen faction does. The Courier does not gain access to the Mafia chat if it commits to their faction. The Courier will keep its abilities after committing to one faction. This is not a visiting role.</v>
      </c>
      <c r="J143" s="103" t="str">
        <f t="shared" si="18"/>
        <v xml:space="preserve">Hello and welcome to XXX Mafia # - 
Your role is[color=#8e7cc3]#NAME?[/color].
[color=#8e7cc3]#NAME?[/color] - Each night, a Courier may send up to 3 anonymous messages to other players, which can be replied to. After 5 players have died, or on night 3, the Courier must choose to commit to either the Town or the Mafia, and wins when its chosen faction does. The Courier does not gain access to the Mafia chat if it commits to their faction. The Courier will keep its abilities after committing to one faction. This is not a visiting role.
Feel free to ask any questions about your role or the game itself.
Good luck and have fun!</v>
      </c>
    </row>
    <row r="144">
      <c r="A144" s="119"/>
      <c r="B144" s="120"/>
      <c r="C144" s="120"/>
      <c r="D144" s="82" t="s">
        <v>592</v>
      </c>
      <c r="E144" s="99" t="s">
        <v>536</v>
      </c>
      <c r="F144" s="100" t="str">
        <f t="shared" si="16"/>
        <v xml:space="preserve">[color=#8e7cc3]#NAME?[/color] - The Cult Amnesiac is the first player recruited to join the Cult. A Cult Amnesiac can become the Cult Leader if the Cult Leader dies.</v>
      </c>
      <c r="G144" s="116" t="str">
        <f t="shared" si="17"/>
        <v>[color=#8e7cc3]#NAME?[/color]</v>
      </c>
      <c r="H144" s="126" t="str">
        <f>split(substitute(E144," - ","~!@^&amp;*#",1),"~!@^&amp;*#",false)"),"Cult Amnesiac</f>
        <v>#NAME?</v>
      </c>
      <c r="I144" s="106" t="str">
        <f>"COMPUTED_VALUE""),"The Cult Amnesiac is the first player recruited to join the Cult. A Cult Amnesiac can become the Cult Leader if the Cult Leader dies.</f>
        <v xml:space="preserve">The Cult Amnesiac is the first player recruited to join the Cult. A Cult Amnesiac can become the Cult Leader if the Cult Leader dies.</v>
      </c>
      <c r="J144" s="103" t="str">
        <f t="shared" si="18"/>
        <v xml:space="preserve">Hello and welcome to XXX Mafia # - 
Your role is[color=#8e7cc3]#NAME?[/color].
[color=#8e7cc3]#NAME?[/color] - The Cult Amnesiac is the first player recruited to join the Cult. A Cult Amnesiac can become the Cult Leader if the Cult Leader dies.
Feel free to ask any questions about your role or the game itself.
Good luck and have fun!</v>
      </c>
    </row>
    <row r="145">
      <c r="A145" s="119"/>
      <c r="B145" s="120"/>
      <c r="C145" s="120"/>
      <c r="D145" s="82" t="s">
        <v>592</v>
      </c>
      <c r="E145" s="99" t="s">
        <v>537</v>
      </c>
      <c r="F145" s="100" t="str">
        <f t="shared" si="16"/>
        <v xml:space="preserve">[color=#8e7cc3]#NAME?[/color] - Each night, a Cult Leader selects one player to recruit to join the Cult. Attempting to recruit a member of a scum faction or other faction that offer communication kills the Cult Leader, so it must recruit carefully! The Cult Leader wins when the majority of living players are part of the Cult.</v>
      </c>
      <c r="G145" s="116" t="str">
        <f t="shared" si="17"/>
        <v>[color=#8e7cc3]#NAME?[/color]</v>
      </c>
      <c r="H145" s="126" t="str">
        <f>split(substitute(E145," - ","~!@^&amp;*#",1),"~!@^&amp;*#",false)"),"Cult Leader</f>
        <v>#NAME?</v>
      </c>
      <c r="I145" s="106" t="str">
        <f>"COMPUTED_VALUE""),"Each night, a Cult Leader selects one player to recruit to join the Cult. Attempting to recruit a member of a scum faction or other faction that offer communication kills the Cult Leader, so it must recruit carefully! The Cult Leader wins when the majorit"&amp;"y of living players are part of the Cult.</f>
        <v xml:space="preserve">Each night, a Cult Leader selects one player to recruit to join the Cult. Attempting to recruit a member of a scum faction or other faction that offer communication kills the Cult Leader, so it must recruit carefully! The Cult Leader wins when the majority of living players are part of the Cult.</v>
      </c>
      <c r="J145" s="103" t="str">
        <f t="shared" si="18"/>
        <v xml:space="preserve">Hello and welcome to XXX Mafia # - 
Your role is[color=#8e7cc3]#NAME?[/color].
[color=#8e7cc3]#NAME?[/color] - Each night, a Cult Leader selects one player to recruit to join the Cult. Attempting to recruit a member of a scum faction or other faction that offer communication kills the Cult Leader, so it must recruit carefully! The Cult Leader wins when the majority of living players are part of the Cult.
Feel free to ask any questions about your role or the game itself.
Good luck and have fun!</v>
      </c>
    </row>
    <row r="146">
      <c r="A146" s="119"/>
      <c r="B146" s="120"/>
      <c r="C146" s="120"/>
      <c r="D146" s="82" t="s">
        <v>592</v>
      </c>
      <c r="E146" s="99" t="s">
        <v>538</v>
      </c>
      <c r="F146" s="100" t="str">
        <f t="shared" si="16"/>
        <v xml:space="preserve">[color=#8e7cc3]#NAME?[/color] - A Cult Member is any player recruited to the Cult after the Cult Amnesiac has already been recruited. Cult Members have no night actions.</v>
      </c>
      <c r="G146" s="116" t="str">
        <f t="shared" si="17"/>
        <v>[color=#8e7cc3]#NAME?[/color]</v>
      </c>
      <c r="H146" s="126" t="str">
        <f>split(substitute(E146," - ","~!@^&amp;*#",1),"~!@^&amp;*#",false)"),"Cult Member</f>
        <v>#NAME?</v>
      </c>
      <c r="I146" s="106" t="str">
        <f>"COMPUTED_VALUE""),"A Cult Member is any player recruited to the Cult after the Cult Amnesiac has already been recruited. Cult Members have no night actions.</f>
        <v xml:space="preserve">A Cult Member is any player recruited to the Cult after the Cult Amnesiac has already been recruited. Cult Members have no night actions.</v>
      </c>
      <c r="J146" s="103" t="str">
        <f t="shared" si="18"/>
        <v xml:space="preserve">Hello and welcome to XXX Mafia # - 
Your role is[color=#8e7cc3]#NAME?[/color].
[color=#8e7cc3]#NAME?[/color] - A Cult Member is any player recruited to the Cult after the Cult Amnesiac has already been recruited. Cult Members have no night actions.
Feel free to ask any questions about your role or the game itself.
Good luck and have fun!</v>
      </c>
    </row>
    <row r="147">
      <c r="A147" s="119"/>
      <c r="B147" s="120"/>
      <c r="C147" s="120"/>
      <c r="D147" s="82" t="s">
        <v>592</v>
      </c>
      <c r="E147" s="99" t="s">
        <v>539</v>
      </c>
      <c r="F147" s="100" t="str">
        <f t="shared" si="16"/>
        <v xml:space="preserve">[color=#8e7cc3]#NAME?[/color] - A Fallen Angel has the ability to perform one of these actions each night: recruit OR kill OR investigate and roleblock (a single target). The Fallen Anger does not carry a gun and appears innocent to cops. Detective investigations will fail. Attempting to recruit a scum team member kills the Fallen Angel. The Fallen Anger wins when the majority of living players are part of the Satanic Cult or if it is the last player alive.</v>
      </c>
      <c r="G147" s="116" t="str">
        <f t="shared" si="17"/>
        <v>[color=#8e7cc3]#NAME?[/color]</v>
      </c>
      <c r="H147" s="126" t="str">
        <f>split(substitute(E147," - ","~!@^&amp;*#",1),"~!@^&amp;*#",false)"),"Fallen Angel</f>
        <v>#NAME?</v>
      </c>
      <c r="I147" s="106" t="str">
        <f>"COMPUTED_VALUE""),"A Fallen Angel has the ability to perform one of these actions each night: recruit OR kill OR investigate and roleblock (a single target). The Fallen Anger does not carry a gun and appears innocent to cops. Detective investigations will fail. Attempting t"&amp;"o recruit a scum team member kills the Fallen Angel. The Fallen Anger wins when the majority of living players are part of the Satanic Cult or if it is the last player alive.</f>
        <v xml:space="preserve">A Fallen Angel has the ability to perform one of these actions each night: recruit OR kill OR investigate and roleblock (a single target). The Fallen Anger does not carry a gun and appears innocent to cops. Detective investigations will fail. Attempting to recruit a scum team member kills the Fallen Angel. The Fallen Anger wins when the majority of living players are part of the Satanic Cult or if it is the last player alive.</v>
      </c>
      <c r="J147" s="103" t="str">
        <f t="shared" si="18"/>
        <v xml:space="preserve">Hello and welcome to XXX Mafia # - 
Your role is[color=#8e7cc3]#NAME?[/color].
[color=#8e7cc3]#NAME?[/color] - A Fallen Angel has the ability to perform one of these actions each night: recruit OR kill OR investigate and roleblock (a single target). The Fallen Anger does not carry a gun and appears innocent to cops. Detective investigations will fail. Attempting to recruit a scum team member kills the Fallen Angel. The Fallen Anger wins when the majority of living players are part of the Satanic Cult or if it is the last player alive.
Feel free to ask any questions about your role or the game itself.
Good luck and have fun!</v>
      </c>
    </row>
    <row r="148">
      <c r="A148" s="119"/>
      <c r="B148" s="120"/>
      <c r="C148" s="120"/>
      <c r="D148" s="82" t="s">
        <v>592</v>
      </c>
      <c r="E148" s="99" t="s">
        <v>540</v>
      </c>
      <c r="F148" s="100" t="str">
        <f t="shared" si="16"/>
        <v xml:space="preserve">[color=#8e7cc3]#NAME?[/color] - The Insane Amnesiac takes over anyone's role... on the same night that it murders them! After that, it can revert back to Insane Amnesiac 3 times, a process which takes one night. If the Insane Amnesiac takes over a role that is part of a scum faction, it does not join that team’s chat room and it does not receive the name of faction members, just the faction’s name. This is a visiting role.</v>
      </c>
      <c r="G148" s="116" t="str">
        <f t="shared" si="17"/>
        <v>[color=#8e7cc3]#NAME?[/color]</v>
      </c>
      <c r="H148" s="126" t="str">
        <f>split(substitute(E148," - ","~!@^&amp;*#",1),"~!@^&amp;*#",false)"),"Insane Amnesiac</f>
        <v>#NAME?</v>
      </c>
      <c r="I148" s="106" t="str">
        <f>"COMPUTED_VALUE""),"The Insane Amnesiac takes over anyone's role... on the same night that it murders them! After that, it can revert back to Insane Amnesiac 3 times, a process which takes one night. If the Insane Amnesiac takes over a role that is part of a scum faction, it"&amp;" does not join that team’s chat room and it does not receive the name of faction members, just the faction’s name. This is a visiting role.</f>
        <v xml:space="preserve">The Insane Amnesiac takes over anyone's role... on the same night that it murders them! After that, it can revert back to Insane Amnesiac 3 times, a process which takes one night. If the Insane Amnesiac takes over a role that is part of a scum faction, it does not join that team’s chat room and it does not receive the name of faction members, just the faction’s name. This is a visiting role.</v>
      </c>
      <c r="J148" s="103" t="str">
        <f t="shared" si="18"/>
        <v xml:space="preserve">Hello and welcome to XXX Mafia # - 
Your role is[color=#8e7cc3]#NAME?[/color].
[color=#8e7cc3]#NAME?[/color] - The Insane Amnesiac takes over anyone's role... on the same night that it murders them! After that, it can revert back to Insane Amnesiac 3 times, a process which takes one night. If the Insane Amnesiac takes over a role that is part of a scum faction, it does not join that team’s chat room and it does not receive the name of faction members, just the faction’s name. This is a visiting role.
Feel free to ask any questions about your role or the game itself.
Good luck and have fun!</v>
      </c>
    </row>
    <row r="149">
      <c r="A149" s="119"/>
      <c r="B149" s="120"/>
      <c r="C149" s="120"/>
      <c r="D149" s="82" t="s">
        <v>592</v>
      </c>
      <c r="E149" s="99" t="s">
        <v>541</v>
      </c>
      <c r="F149" s="100" t="str">
        <f t="shared" si="16"/>
        <v xml:space="preserve">[color=#8e7cc3]#NAME?[/color] - A Lover visits one player on either N0 or N1 (if by N2 you haven't picked your target yet, the host will randomly assign one for you). The target falls madly in love with this player and they will get a bedroom chat room to talk to each other. If one dies, so does the other. They are not allowed to reveal they are lovers to anyone else or to reveal teammates to each other (if applicable). The Lover wins if both it and its target are alive when the game ends.</v>
      </c>
      <c r="G149" s="116" t="str">
        <f t="shared" si="17"/>
        <v>[color=#8e7cc3]#NAME?[/color]</v>
      </c>
      <c r="H149" s="126" t="str">
        <f>split(substitute(E149," - ","~!@^&amp;*#",1),"~!@^&amp;*#",false)"),"Lover</f>
        <v>#NAME?</v>
      </c>
      <c r="I149" s="106" t="str">
        <f>"COMPUTED_VALUE""),"A Lover visits one player on either N0 or N1 (if by N2 you haven't picked your target yet, the host will randomly assign one for you). The target falls madly in love with this player and they will get a bedroom chat room to talk to each other. If one dies"&amp;", so does the other. They are not allowed to reveal they are lovers to anyone else or to reveal teammates to each other (if applicable). The Lover wins if both it and its target are alive when the game ends.</f>
        <v xml:space="preserve">A Lover visits one player on either N0 or N1 (if by N2 you haven't picked your target yet, the host will randomly assign one for you). The target falls madly in love with this player and they will get a bedroom chat room to talk to each other. If one dies, so does the other. They are not allowed to reveal they are lovers to anyone else or to reveal teammates to each other (if applicable). The Lover wins if both it and its target are alive when the game ends.</v>
      </c>
      <c r="J149" s="103" t="str">
        <f t="shared" si="18"/>
        <v xml:space="preserve">Hello and welcome to XXX Mafia # - 
Your role is[color=#8e7cc3]#NAME?[/color].
[color=#8e7cc3]#NAME?[/color] - A Lover visits one player on either N0 or N1 (if by N2 you haven't picked your target yet, the host will randomly assign one for you). The target falls madly in love with this player and they will get a bedroom chat room to talk to each other. If one dies, so does the other. They are not allowed to reveal they are lovers to anyone else or to reveal teammates to each other (if applicable). The Lover wins if both it and its target are alive when the game ends.
Feel free to ask any questions about your role or the game itself.
Good luck and have fun!</v>
      </c>
    </row>
    <row r="150">
      <c r="A150" s="119"/>
      <c r="B150" s="120"/>
      <c r="C150" s="120"/>
      <c r="D150" s="82" t="s">
        <v>592</v>
      </c>
      <c r="E150" s="99" t="s">
        <v>542</v>
      </c>
      <c r="F150" s="100" t="str">
        <f t="shared" si="16"/>
        <v xml:space="preserve">[color=#8e7cc3]#NAME?[/color] - A Piper targets one player each night to charm. Charmed players will know the names of all other charmed players, but not who the Piper is. The Piper wins when all other living players are charmed. This is a visiting role.</v>
      </c>
      <c r="G150" s="116" t="str">
        <f t="shared" si="17"/>
        <v>[color=#8e7cc3]#NAME?[/color]</v>
      </c>
      <c r="H150" s="126" t="str">
        <f>split(substitute(E150," - ","~!@^&amp;*#",1),"~!@^&amp;*#",false)"),"Piper</f>
        <v>#NAME?</v>
      </c>
      <c r="I150" s="106" t="str">
        <f>"COMPUTED_VALUE""),"A Piper targets one player each night to charm. Charmed players will know the names of all other charmed players, but not who the Piper is. The Piper wins when all other living players are charmed. This is a visiting role.</f>
        <v xml:space="preserve">A Piper targets one player each night to charm. Charmed players will know the names of all other charmed players, but not who the Piper is. The Piper wins when all other living players are charmed. This is a visiting role.</v>
      </c>
      <c r="J150" s="103" t="str">
        <f t="shared" si="18"/>
        <v xml:space="preserve">Hello and welcome to XXX Mafia # - 
Your role is[color=#8e7cc3]#NAME?[/color].
[color=#8e7cc3]#NAME?[/color] - A Piper targets one player each night to charm. Charmed players will know the names of all other charmed players, but not who the Piper is. The Piper wins when all other living players are charmed. This is a visiting role.
Feel free to ask any questions about your role or the game itself.
Good luck and have fun!</v>
      </c>
    </row>
    <row r="151">
      <c r="A151" s="119"/>
      <c r="B151" s="120"/>
      <c r="C151" s="120"/>
      <c r="D151" s="82" t="s">
        <v>592</v>
      </c>
      <c r="E151" s="99" t="s">
        <v>543</v>
      </c>
      <c r="F151" s="100" t="str">
        <f t="shared" si="16"/>
        <v xml:space="preserve">[color=#8e7cc3]#NAME?[/color] - A Psycho will be told they are a town visiting role. The Psycho may soon start to notice, however, that everyone it visits winds up dead. A Psycho will get fake results, made up by the host. When investigated, the Psycho will deliver the results of the town role it has been told it is. If visited by a Town Shrink, the Psycho will be cured and join Town as the role it was originally told it was. If there are no Shrinks, it just goes on killing until everyone dies. It does not carry a gun. This is a visiting role.</v>
      </c>
      <c r="G151" s="116" t="str">
        <f t="shared" si="17"/>
        <v>[color=#8e7cc3]#NAME?[/color]</v>
      </c>
      <c r="H151" s="126" t="str">
        <f>split(substitute(E151," - ","~!@^&amp;*#",1),"~!@^&amp;*#",false)"),"Pyscho</f>
        <v>#NAME?</v>
      </c>
      <c r="I151" s="106" t="str">
        <f>"COMPUTED_VALUE""),"A Psycho will be told they are a town visiting role. The Psycho may soon start to notice, however, that everyone it visits winds up dead. A Psycho will get fake results, made up by the host. When investigated, the Psycho will deliver the results of the to"&amp;"wn role it has been told it is. If visited by a Town Shrink, the Psycho will be cured and join Town as the role it was originally told it was. If there are no Shrinks, it just goes on killing until everyone dies. It does not carry a gun. This is a visitin"&amp;"g role.</f>
        <v xml:space="preserve">A Psycho will be told they are a town visiting role. The Psycho may soon start to notice, however, that everyone it visits winds up dead. A Psycho will get fake results, made up by the host. When investigated, the Psycho will deliver the results of the town role it has been told it is. If visited by a Town Shrink, the Psycho will be cured and join Town as the role it was originally told it was. If there are no Shrinks, it just goes on killing until everyone dies. It does not carry a gun. This is a visiting role.</v>
      </c>
      <c r="J151" s="103" t="str">
        <f t="shared" si="18"/>
        <v xml:space="preserve">Hello and welcome to XXX Mafia # - 
Your role is[color=#8e7cc3]#NAME?[/color].
[color=#8e7cc3]#NAME?[/color] - A Psycho will be told they are a town visiting role. The Psycho may soon start to notice, however, that everyone it visits winds up dead. A Psycho will get fake results, made up by the host. When investigated, the Psycho will deliver the results of the town role it has been told it is. If visited by a Town Shrink, the Psycho will be cured and join Town as the role it was originally told it was. If there are no Shrinks, it just goes on killing until everyone dies. It does not carry a gun. This is a visiting role.
Feel free to ask any questions about your role or the game itself.
Good luck and have fun!</v>
      </c>
    </row>
    <row r="152">
      <c r="A152" s="119"/>
      <c r="B152" s="120"/>
      <c r="C152" s="120"/>
      <c r="D152" s="82" t="s">
        <v>592</v>
      </c>
      <c r="E152" s="99" t="s">
        <v>544</v>
      </c>
      <c r="F152" s="100" t="str">
        <f t="shared" si="16"/>
        <v xml:space="preserve">[color=#8e7cc3]#NAME?[/color] - Rambo gets one kill each night. Rambo also can track OR watch one player each night. Rambo is one-shot bulletproof and appears innocent to Cops. At the start of the game (N0), Rambo chooses an "identity," which is what is revealed to Detectives. Rambo does not carry a gun. This is a visiting role.</v>
      </c>
      <c r="G152" s="116" t="str">
        <f t="shared" si="17"/>
        <v>[color=#8e7cc3]#NAME?[/color]</v>
      </c>
      <c r="H152" s="126" t="str">
        <f>split(substitute(E152," - ","~!@^&amp;*#",1),"~!@^&amp;*#",false)"),"Rambo</f>
        <v>#NAME?</v>
      </c>
      <c r="I152" s="106" t="str">
        <f>"COMPUTED_VALUE""),"Rambo gets one kill each night. Rambo also can track OR watch one player each night. Rambo is one-shot bulletproof and appears innocent to Cops. At the start of the game (N0), Rambo chooses an "identity," which is what is revealed to Detectives. Rambo d"&amp;"oes not carry a gun. This is a visiting role.</f>
        <v xml:space="preserve">Rambo gets one kill each night. Rambo also can track OR watch one player each night. Rambo is one-shot bulletproof and appears innocent to Cops. At the start of the game (N0), Rambo chooses an "identity," which is what is revealed to Detectives. Rambo does not carry a gun. This is a visiting role.</v>
      </c>
      <c r="J152" s="103" t="str">
        <f t="shared" si="18"/>
        <v xml:space="preserve">Hello and welcome to XXX Mafia # - 
Your role is[color=#8e7cc3]#NAME?[/color].
[color=#8e7cc3]#NAME?[/color] - Rambo gets one kill each night. Rambo also can track OR watch one player each night. Rambo is one-shot bulletproof and appears innocent to Cops. At the start of the game (N0), Rambo chooses an "identity," which is what is revealed to Detectives. Rambo does not carry a gun. This is a visiting role.
Feel free to ask any questions about your role or the game itself.
Good luck and have fun!</v>
      </c>
    </row>
    <row r="153">
      <c r="A153" s="119"/>
      <c r="B153" s="120"/>
      <c r="C153" s="120"/>
      <c r="D153" s="82" t="s">
        <v>592</v>
      </c>
      <c r="E153" s="99" t="s">
        <v>545</v>
      </c>
      <c r="F153" s="100" t="str">
        <f t="shared" si="16"/>
        <v xml:space="preserve">[color=#8e7cc3]#NAME?[/color] - A Satanic Cult Amnesiac is the first player recruited by the Fallen Angel. The Satanic Cult Amnesiac can become the Fallen Angel if the Fallen Angel dies.</v>
      </c>
      <c r="G153" s="116" t="str">
        <f t="shared" si="17"/>
        <v>[color=#8e7cc3]#NAME?[/color]</v>
      </c>
      <c r="H153" s="126" t="str">
        <f>split(substitute(E153," - ","~!@^&amp;*#",1),"~!@^&amp;*#",false)"),"Satanic Cult Amnesiac</f>
        <v>#NAME?</v>
      </c>
      <c r="I153" s="106" t="str">
        <f>"COMPUTED_VALUE""),"A Satanic Cult Amnesiac is the first player recruited by the Fallen Angel. The Satanic Cult Amnesiac can become the Fallen Angel if the Fallen Angel dies.</f>
        <v xml:space="preserve">A Satanic Cult Amnesiac is the first player recruited by the Fallen Angel. The Satanic Cult Amnesiac can become the Fallen Angel if the Fallen Angel dies.</v>
      </c>
      <c r="J153" s="103" t="str">
        <f t="shared" si="18"/>
        <v xml:space="preserve">Hello and welcome to XXX Mafia # - 
Your role is[color=#8e7cc3]#NAME?[/color].
[color=#8e7cc3]#NAME?[/color] - A Satanic Cult Amnesiac is the first player recruited by the Fallen Angel. The Satanic Cult Amnesiac can become the Fallen Angel if the Fallen Angel dies.
Feel free to ask any questions about your role or the game itself.
Good luck and have fun!</v>
      </c>
    </row>
    <row r="154">
      <c r="A154" s="119"/>
      <c r="B154" s="120"/>
      <c r="C154" s="120"/>
      <c r="D154" s="82" t="s">
        <v>592</v>
      </c>
      <c r="E154" s="99" t="s">
        <v>546</v>
      </c>
      <c r="F154" s="100" t="str">
        <f t="shared" si="16"/>
        <v xml:space="preserve">[color=#8e7cc3]#NAME?[/color] - A Satanic Cult Member is any player recruited by the Fallen Angel after the Satanic Cult Amnesiac has already been recruited. Satanic Cult Members have no night actions.</v>
      </c>
      <c r="G154" s="116" t="str">
        <f t="shared" si="17"/>
        <v>[color=#8e7cc3]#NAME?[/color]</v>
      </c>
      <c r="H154" s="126" t="str">
        <f>split(substitute(E154," - ","~!@^&amp;*#",1),"~!@^&amp;*#",false)"),"Satanic Cult Member</f>
        <v>#NAME?</v>
      </c>
      <c r="I154" s="106" t="str">
        <f>"COMPUTED_VALUE""),"A Satanic Cult Member is any player recruited by the Fallen Angel after the Satanic Cult Amnesiac has already been recruited. Satanic Cult Members have no night actions.</f>
        <v xml:space="preserve">A Satanic Cult Member is any player recruited by the Fallen Angel after the Satanic Cult Amnesiac has already been recruited. Satanic Cult Members have no night actions.</v>
      </c>
      <c r="J154" s="103" t="str">
        <f t="shared" si="18"/>
        <v xml:space="preserve">Hello and welcome to XXX Mafia # - 
Your role is[color=#8e7cc3]#NAME?[/color].
[color=#8e7cc3]#NAME?[/color] - A Satanic Cult Member is any player recruited by the Fallen Angel after the Satanic Cult Amnesiac has already been recruited. Satanic Cult Members have no night actions.
Feel free to ask any questions about your role or the game itself.
Good luck and have fun!</v>
      </c>
    </row>
    <row r="155">
      <c r="A155" s="119"/>
      <c r="B155" s="120"/>
      <c r="C155" s="120"/>
      <c r="D155" s="82" t="s">
        <v>592</v>
      </c>
      <c r="E155" s="99" t="s">
        <v>547</v>
      </c>
      <c r="F155" s="100" t="str">
        <f t="shared" si="16"/>
        <v xml:space="preserve">[color=#8e7cc3]#NAME?[/color] - A Serial Killer can kill one player each night. The Serial Killer is one-shot Bulletproof. This is a visiting role.</v>
      </c>
      <c r="G155" s="116" t="str">
        <f t="shared" si="17"/>
        <v>[color=#8e7cc3]#NAME?[/color]</v>
      </c>
      <c r="H155" s="126" t="str">
        <f>split(substitute(E155," - ","~!@^&amp;*#",1),"~!@^&amp;*#",false)"),"Serial Killer</f>
        <v>#NAME?</v>
      </c>
      <c r="I155" s="106" t="str">
        <f>"COMPUTED_VALUE""),"A Serial Killer can kill one player each night. The Serial Killer is one-shot Bulletproof. This is a visiting role.</f>
        <v xml:space="preserve">A Serial Killer can kill one player each night. The Serial Killer is one-shot Bulletproof. This is a visiting role.</v>
      </c>
      <c r="J155" s="103" t="str">
        <f t="shared" si="18"/>
        <v xml:space="preserve">Hello and welcome to XXX Mafia # - 
Your role is[color=#8e7cc3]#NAME?[/color].
[color=#8e7cc3]#NAME?[/color] - A Serial Killer can kill one player each night. The Serial Killer is one-shot Bulletproof. This is a visiting role.
Feel free to ask any questions about your role or the game itself.
Good luck and have fun!</v>
      </c>
    </row>
    <row r="156">
      <c r="A156" s="119"/>
      <c r="B156" s="120"/>
      <c r="C156" s="120"/>
      <c r="D156" s="82" t="s">
        <v>592</v>
      </c>
      <c r="E156" s="99" t="s">
        <v>548</v>
      </c>
      <c r="F156" s="100" t="str">
        <f t="shared" si="16"/>
        <v xml:space="preserve">[color=#8e7cc3]#NAME?[/color] - If targeted for a night kill, a Sidekick does not die. Instead, the Sidekick joins the team of the player who tried to kill them and can speak with them in a chat room. After recruitment, the Sidekick can be killed like anyone else. If recruited by another 3rd party, the Sidekick gains Detective abilities.</v>
      </c>
      <c r="G156" s="116" t="str">
        <f t="shared" si="17"/>
        <v>[color=#8e7cc3]#NAME?[/color]</v>
      </c>
      <c r="H156" s="126" t="str">
        <f>split(substitute(E156," - ","~!@^&amp;*#",1),"~!@^&amp;*#",false)"),"Sidekick</f>
        <v>#NAME?</v>
      </c>
      <c r="I156" s="106" t="str">
        <f>"COMPUTED_VALUE""),"If targeted for a night kill, a Sidekick does not die. Instead, the Sidekick joins the team of the player who tried to kill them and can speak with them in a chat room. After recruitment, the Sidekick can be killed like anyone else. If recruited by anothe"&amp;"r 3rd party, the Sidekick gains Detective abilities.</f>
        <v xml:space="preserve">If targeted for a night kill, a Sidekick does not die. Instead, the Sidekick joins the team of the player who tried to kill them and can speak with them in a chat room. After recruitment, the Sidekick can be killed like anyone else. If recruited by another 3rd party, the Sidekick gains Detective abilities.</v>
      </c>
      <c r="J156" s="103" t="str">
        <f t="shared" si="18"/>
        <v xml:space="preserve">Hello and welcome to XXX Mafia # - 
Your role is[color=#8e7cc3]#NAME?[/color].
[color=#8e7cc3]#NAME?[/color] - If targeted for a night kill, a Sidekick does not die. Instead, the Sidekick joins the team of the player who tried to kill them and can speak with them in a chat room. After recruitment, the Sidekick can be killed like anyone else. If recruited by another 3rd party, the Sidekick gains Detective abilities.
Feel free to ask any questions about your role or the game itself.
Good luck and have fun!</v>
      </c>
    </row>
    <row r="157">
      <c r="A157" s="119"/>
      <c r="B157" s="120"/>
      <c r="C157" s="120"/>
      <c r="D157" s="82" t="s">
        <v>592</v>
      </c>
      <c r="E157" s="99" t="s">
        <v>549</v>
      </c>
      <c r="F157" s="100" t="str">
        <f t="shared" si="16"/>
        <v xml:space="preserve">[color=#8e7cc3]#NAME?[/color] - A Slut targets one player each night. The target is roleblocked and infected with an STD. This STD is highly contagious and anyone they visit over the next 2 nights will be infected as well. The target will know they are sick the night after the infection, when they will be notified of a weird itching in their private area. If not cured, the target dies during the 3rd night after the infection. A regular doctor can cure the infected player. The Slut wins when all players are infected or when it is the last player alive. The Slut appears innocent to Cops. Detective investigations fail. This is a visiting role.</v>
      </c>
      <c r="G157" s="116" t="str">
        <f t="shared" si="17"/>
        <v>[color=#8e7cc3]#NAME?[/color]</v>
      </c>
      <c r="H157" s="126" t="str">
        <f>split(substitute(E157," - ","~!@^&amp;*#",1),"~!@^&amp;*#",false)"),"Slut</f>
        <v>#NAME?</v>
      </c>
      <c r="I157" s="106" t="str">
        <f>"COMPUTED_VALUE""),"A Slut targets one player each night. The target is roleblocked and infected with an STD. This STD is highly contagious and anyone they visit over the next 2 nights will be infected as well. The target will know they are sick the night after the infection"&amp;", when they will be notified of a weird itching in their private area. If not cured, the target dies during the 3rd night after the infection. A regular doctor can cure the infected player. The Slut wins when all players are infected or when it is the las"&amp;"t player alive. The Slut appears innocent to Cops. Detective investigations fail. This is a visiting role.</f>
        <v xml:space="preserve">A Slut targets one player each night. The target is roleblocked and infected with an STD. This STD is highly contagious and anyone they visit over the next 2 nights will be infected as well. The target will know they are sick the night after the infection, when they will be notified of a weird itching in their private area. If not cured, the target dies during the 3rd night after the infection. A regular doctor can cure the infected player. The Slut wins when all players are infected or when it is the last player alive. The Slut appears innocent to Cops. Detective investigations fail. This is a visiting role.</v>
      </c>
      <c r="J157" s="103" t="str">
        <f t="shared" si="18"/>
        <v xml:space="preserve">Hello and welcome to XXX Mafia # - 
Your role is[color=#8e7cc3]#NAME?[/color].
[color=#8e7cc3]#NAME?[/color] - A Slut targets one player each night. The target is roleblocked and infected with an STD. This STD is highly contagious and anyone they visit over the next 2 nights will be infected as well. The target will know they are sick the night after the infection, when they will be notified of a weird itching in their private area. If not cured, the target dies during the 3rd night after the infection. A regular doctor can cure the infected player. The Slut wins when all players are infected or when it is the last player alive. The Slut appears innocent to Cops. Detective investigations fail. This is a visiting role.
Feel free to ask any questions about your role or the game itself.
Good luck and have fun!</v>
      </c>
    </row>
    <row r="158">
      <c r="A158" s="119"/>
      <c r="B158" s="120"/>
      <c r="C158" s="120"/>
      <c r="D158" s="82" t="s">
        <v>592</v>
      </c>
      <c r="E158" s="99" t="s">
        <v>550</v>
      </c>
      <c r="F158" s="100" t="str">
        <f t="shared" si="16"/>
        <v xml:space="preserve">[color=#8e7cc3]#NAME?[/color] - A Sneaky Pete chooses one player to kill each night. The Sneaky Pete cannot be tracked, watched or blocked. Sneaky Pete does not carry a gun.</v>
      </c>
      <c r="G158" s="116" t="str">
        <f t="shared" si="17"/>
        <v>[color=#8e7cc3]#NAME?[/color]</v>
      </c>
      <c r="H158" s="126" t="str">
        <f>split(substitute(E158," - ","~!@^&amp;*#",1),"~!@^&amp;*#",false)"),"Sneaky Pete</f>
        <v>#NAME?</v>
      </c>
      <c r="I158" s="106" t="str">
        <f>"COMPUTED_VALUE""),"A Sneaky Pete chooses one player to kill each night. The Sneaky Pete cannot be tracked, watched or blocked. Sneaky Pete does not carry a gun.</f>
        <v xml:space="preserve">A Sneaky Pete chooses one player to kill each night. The Sneaky Pete cannot be tracked, watched or blocked. Sneaky Pete does not carry a gun.</v>
      </c>
      <c r="J158" s="103" t="str">
        <f t="shared" si="18"/>
        <v xml:space="preserve">Hello and welcome to XXX Mafia # - 
Your role is[color=#8e7cc3]#NAME?[/color].
[color=#8e7cc3]#NAME?[/color] - A Sneaky Pete chooses one player to kill each night. The Sneaky Pete cannot be tracked, watched or blocked. Sneaky Pete does not carry a gun.
Feel free to ask any questions about your role or the game itself.
Good luck and have fun!</v>
      </c>
    </row>
    <row r="159">
      <c r="A159" s="119"/>
      <c r="B159" s="120"/>
      <c r="C159" s="120"/>
      <c r="D159" s="82" t="s">
        <v>592</v>
      </c>
      <c r="E159" s="99" t="s">
        <v>551</v>
      </c>
      <c r="F159" s="100" t="str">
        <f t="shared" si="16"/>
        <v xml:space="preserve">[color=#8e7cc3]#NAME?[/color] - Instead of killing right away, a Spree Killer targets a player each night to go onto its kill list. When there are names of 3 living players on this list, it goes on a killing spree and kills them all in one night. The last name is added the same night of the killings. (Ex: N0: Add Player X; N1: Add Player Y; N2: Add Player Z and kill all players on the list - X, Y, Z). On the night of the kills, the Spree Killer appears guilty to Cops and as Spree Killer to detectives. On the other nights, the Spree Killer appears innocent to Cops and Detectives will see a town role that has been randomly assigned by the host. This is a visiting role when performing the kill and can be blocked normally.</v>
      </c>
      <c r="G159" s="116" t="str">
        <f t="shared" si="17"/>
        <v>[color=#8e7cc3]#NAME?[/color]</v>
      </c>
      <c r="H159" s="126" t="str">
        <f>split(substitute(E159," - ","~!@^&amp;*#",1),"~!@^&amp;*#",false)"),"Spree Killer</f>
        <v>#NAME?</v>
      </c>
      <c r="I159" s="106" t="str">
        <f>"COMPUTED_VALUE""),"Instead of killing right away, a Spree Killer targets a player each night to go onto its kill list. When there are names of 3 living players on this list, it goes on a killing spree and kills them all in one night. The last name is added the same night of"&amp;" the killings. (Ex: N0: Add Player X; N1: Add Player Y; N2: Add Player Z and kill all players on the list - X, Y, Z). On the night of the kills, the Spree Killer appears guilty to Cops and as Spree Killer to detectives. On the other nights, the Spree Kill"&amp;"er appears innocent to Cops and Detectives will see a town role that has been randomly assigned by the host. This is a visiting role when performing the kill and can be blocked normally.</f>
        <v xml:space="preserve">Instead of killing right away, a Spree Killer targets a player each night to go onto its kill list. When there are names of 3 living players on this list, it goes on a killing spree and kills them all in one night. The last name is added the same night of the killings. (Ex: N0: Add Player X; N1: Add Player Y; N2: Add Player Z and kill all players on the list - X, Y, Z). On the night of the kills, the Spree Killer appears guilty to Cops and as Spree Killer to detectives. On the other nights, the Spree Killer appears innocent to Cops and Detectives will see a town role that has been randomly assigned by the host. This is a visiting role when performing the kill and can be blocked normally.</v>
      </c>
      <c r="J159" s="103" t="str">
        <f t="shared" si="18"/>
        <v xml:space="preserve">Hello and welcome to XXX Mafia # - 
Your role is[color=#8e7cc3]#NAME?[/color].
[color=#8e7cc3]#NAME?[/color] - Instead of killing right away, a Spree Killer targets a player each night to go onto its kill list. When there are names of 3 living players on this list, it goes on a killing spree and kills them all in one night. The last name is added the same night of the killings. (Ex: N0: Add Player X; N1: Add Player Y; N2: Add Player Z and kill all players on the list - X, Y, Z). On the night of the kills, the Spree Killer appears guilty to Cops and as Spree Killer to detectives. On the other nights, the Spree Killer appears innocent to Cops and Detectives will see a town role that has been randomly assigned by the host. This is a visiting role when performing the kill and can be blocked normally.
Feel free to ask any questions about your role or the game itself.
Good luck and have fun!</v>
      </c>
    </row>
    <row r="160">
      <c r="A160" s="119"/>
      <c r="B160" s="120"/>
      <c r="C160" s="120"/>
      <c r="D160" s="82" t="s">
        <v>592</v>
      </c>
      <c r="E160" s="99" t="s">
        <v>552</v>
      </c>
      <c r="F160" s="100" t="str">
        <f t="shared" si="16"/>
        <v xml:space="preserve">[color=#8e7cc3]#NAME?[/color] - The Imposter targets one player a night to "steal" the ability from for the following night. It will only steal abilities that are being actively used that night and factional abilities such as the Mafia kill cannot be stolen. On the next night, The Imposter can then use that ability while the previous night’s target will not be able to. The night after that, the target gets their ability back and The Imposter picks another player. They cannot target the same player twice (unless everyone alive has been picked already). The Imposter wins if they are alive at the end of the game AND Town loses</v>
      </c>
      <c r="G160" s="116" t="str">
        <f t="shared" si="17"/>
        <v>[color=#8e7cc3]#NAME?[/color]</v>
      </c>
      <c r="H160" s="126" t="str">
        <f>split(substitute(E160," - ","~!@^&amp;*#",1),"~!@^&amp;*#",false)"),"The Imposter</f>
        <v>#NAME?</v>
      </c>
      <c r="I160" s="106" t="str">
        <f>"COMPUTED_VALUE""),"The Imposter targets one player a night to "steal" the ability from for the following night. It will only steal abilities that are being actively used that night and factional abilities such as the Mafia kill cannot be stolen. On the next night, The Imp"&amp;"oster can then use that ability while the previous night’s target will not be able to. The night after that, the target gets their ability back and The Imposter picks another player. They cannot target the same player twice (unless everyone alive has been"&amp;" picked already). The Imposter wins if they are alive at the end of the game AND Town loses</f>
        <v xml:space="preserve">The Imposter targets one player a night to "steal" the ability from for the following night. It will only steal abilities that are being actively used that night and factional abilities such as the Mafia kill cannot be stolen. On the next night, The Imposter can then use that ability while the previous night’s target will not be able to. The night after that, the target gets their ability back and The Imposter picks another player. They cannot target the same player twice (unless everyone alive has been picked already). The Imposter wins if they are alive at the end of the game AND Town loses</v>
      </c>
      <c r="J160" s="103" t="str">
        <f t="shared" si="18"/>
        <v xml:space="preserve">Hello and welcome to XXX Mafia # - 
Your role is[color=#8e7cc3]#NAME?[/color].
[color=#8e7cc3]#NAME?[/color] - The Imposter targets one player a night to "steal" the ability from for the following night. It will only steal abilities that are being actively used that night and factional abilities such as the Mafia kill cannot be stolen. On the next night, The Imposter can then use that ability while the previous night’s target will not be able to. The night after that, the target gets their ability back and The Imposter picks another player. They cannot target the same player twice (unless everyone alive has been picked already). The Imposter wins if they are alive at the end of the game AND Town loses
Feel free to ask any questions about your role or the game itself.
Good luck and have fun!</v>
      </c>
    </row>
    <row r="161">
      <c r="A161" s="119"/>
      <c r="B161" s="120"/>
      <c r="C161" s="120"/>
      <c r="D161" s="82" t="s">
        <v>592</v>
      </c>
      <c r="E161" s="99" t="s">
        <v>553</v>
      </c>
      <c r="F161" s="100" t="str">
        <f t="shared" si="16"/>
        <v xml:space="preserve">[color=#8e7cc3]#NAME?[/color] - A Unabomber will appear innocent to Cops, and show as Mailman to Detectives. The Unabomber sends mail just like a Mailman (and those mails can be replied to), and can choose to detonate the mail while alive on any night. Any player that has received mail from the Unabomber will be killed unless protected/jailed/etc. A new mail can be sent out on the same night as the detonation, but that detonation will not kill the player who is sent mail on that night. The Unabomber will appear as a Mailman if lynched, but as Unabomber if it is killed at night. If the Unabomber is killed before detonating, no mail detonates. This is not a visiting role.</v>
      </c>
      <c r="G161" s="116" t="str">
        <f t="shared" si="17"/>
        <v>[color=#8e7cc3]#NAME?[/color]</v>
      </c>
      <c r="H161" s="126" t="str">
        <f>split(substitute(E161," - ","~!@^&amp;*#",1),"~!@^&amp;*#",false)"),"Unabomber</f>
        <v>#NAME?</v>
      </c>
      <c r="I161" s="106" t="str">
        <f>"COMPUTED_VALUE""),"A Unabomber will appear innocent to Cops, and show as Mailman to Detectives. The Unabomber sends mail just like a Mailman (and those mails can be replied to), and can choose to detonate the mail while alive on any night. Any player that has received mail "&amp;"from the Unabomber will be killed unless protected/jailed/etc. A new mail can be sent out on the same night as the detonation, but that detonation will not kill the player who is sent mail on that night. The Unabomber will appear as a Mailman if lynched, "&amp;"but as Unabomber if it is killed at night. If the Unabomber is killed before detonating, no mail detonates. This is not a visiting role.</f>
        <v xml:space="preserve">A Unabomber will appear innocent to Cops, and show as Mailman to Detectives. The Unabomber sends mail just like a Mailman (and those mails can be replied to), and can choose to detonate the mail while alive on any night. Any player that has received mail from the Unabomber will be killed unless protected/jailed/etc. A new mail can be sent out on the same night as the detonation, but that detonation will not kill the player who is sent mail on that night. The Unabomber will appear as a Mailman if lynched, but as Unabomber if it is killed at night. If the Unabomber is killed before detonating, no mail detonates. This is not a visiting role.</v>
      </c>
      <c r="J161" s="103" t="str">
        <f t="shared" si="18"/>
        <v xml:space="preserve">Hello and welcome to XXX Mafia # - 
Your role is[color=#8e7cc3]#NAME?[/color].
[color=#8e7cc3]#NAME?[/color] - A Unabomber will appear innocent to Cops, and show as Mailman to Detectives. The Unabomber sends mail just like a Mailman (and those mails can be replied to), and can choose to detonate the mail while alive on any night. Any player that has received mail from the Unabomber will be killed unless protected/jailed/etc. A new mail can be sent out on the same night as the detonation, but that detonation will not kill the player who is sent mail on that night. The Unabomber will appear as a Mailman if lynched, but as Unabomber if it is killed at night. If the Unabomber is killed before detonating, no mail detonates. This is not a visiting role.
Feel free to ask any questions about your role or the game itself.
Good luck and have fun!</v>
      </c>
    </row>
    <row r="162">
      <c r="A162" s="119"/>
      <c r="B162" s="120"/>
      <c r="C162" s="120"/>
      <c r="D162" s="82" t="s">
        <v>592</v>
      </c>
      <c r="E162" s="99" t="s">
        <v>554</v>
      </c>
      <c r="F162" s="100" t="str">
        <f t="shared" si="16"/>
        <v xml:space="preserve">[color=#8e7cc3]#NAME?[/color] - A Werewolf can choose to go on a rampage at a player’s house on odd nights. The Werewolf will kill the player and everyone that visits the player during that night (non-visiting roles will not be affected). The Werewolf can also choose to stay home on odd nights and, similarly, will kill anyone that visits it that night. The Werewolf cannot be blocked when going on a rampage, but its kill can be prevented normally by protective actions. Detective investigations fail on a Werewolf. This is a visiting role.</v>
      </c>
      <c r="G162" s="116" t="str">
        <f t="shared" si="17"/>
        <v>[color=#8e7cc3]#NAME?[/color]</v>
      </c>
      <c r="H162" s="126" t="str">
        <f>split(substitute(E162," - ","~!@^&amp;*#",1),"~!@^&amp;*#",false)"),"Werewolf</f>
        <v>#NAME?</v>
      </c>
      <c r="I162" s="106" t="str">
        <f>"COMPUTED_VALUE""),"A Werewolf can choose to go on a rampage at a player’s house on odd nights. The Werewolf will kill the player and everyone that visits the player during that night (non-visiting roles will not be affected). The Werewolf can also choose to stay home on odd"&amp;" nights and, similarly, will kill anyone that visits it that night. The Werewolf cannot be blocked when going on a rampage, but its kill can be prevented normally by protective actions. Detective investigations fail on a Werewolf. This is a visiting role.</f>
        <v xml:space="preserve">A Werewolf can choose to go on a rampage at a player’s house on odd nights. The Werewolf will kill the player and everyone that visits the player during that night (non-visiting roles will not be affected). The Werewolf can also choose to stay home on odd nights and, similarly, will kill anyone that visits it that night. The Werewolf cannot be blocked when going on a rampage, but its kill can be prevented normally by protective actions. Detective investigations fail on a Werewolf. This is a visiting role.</v>
      </c>
      <c r="J162" s="103" t="str">
        <f t="shared" si="18"/>
        <v xml:space="preserve">Hello and welcome to XXX Mafia # - 
Your role is[color=#8e7cc3]#NAME?[/color].
[color=#8e7cc3]#NAME?[/color] - A Werewolf can choose to go on a rampage at a player’s house on odd nights. The Werewolf will kill the player and everyone that visits the player during that night (non-visiting roles will not be affected). The Werewolf can also choose to stay home on odd nights and, similarly, will kill anyone that visits it that night. The Werewolf cannot be blocked when going on a rampage, but its kill can be prevented normally by protective actions. Detective investigations fail on a Werewolf. This is a visiting role.
Feel free to ask any questions about your role or the game itself.
Good luck and have fun!</v>
      </c>
    </row>
    <row r="163">
      <c r="A163" s="119"/>
      <c r="B163" s="120"/>
      <c r="C163" s="120"/>
      <c r="D163" s="82" t="s">
        <v>592</v>
      </c>
      <c r="E163" s="99" t="s">
        <v>555</v>
      </c>
      <c r="F163" s="100" t="str">
        <f t="shared" si="16"/>
        <v xml:space="preserve">[color=#8e7cc3]#NAME?[/color] - A Witch targets one player each night to control, forcefully redirecting their action to a target of their choice. The action of the target becomes compulsory, i.e. they will perform an action even if they originally chose not to (and in that case, if they have more than one action available, the action used will be randomly selected). The Witch can only control active abilities. The target will know that they were controlled by a Witch, but they will not learn who they targeted. The Witch wins if they are alive at the end of the game AND Town loses. The witch appears innocent to Cops. Detective investigations fail. This is NOT a visiting role.</v>
      </c>
      <c r="G163" s="116" t="str">
        <f t="shared" si="17"/>
        <v>[color=#8e7cc3]#NAME?[/color]</v>
      </c>
      <c r="H163" s="126" t="str">
        <f>split(substitute(E163," - ","~!@^&amp;*#",1),"~!@^&amp;*#",false)"),"Witch</f>
        <v>#NAME?</v>
      </c>
      <c r="I163" s="106" t="str">
        <f>"COMPUTED_VALUE""),"A Witch targets one player each night to control, forcefully redirecting their action to a target of their choice. The action of the target becomes compulsory, i.e. they will perform an action even if they originally chose not to (and in that case, if the"&amp;"y have more than one action available, the action used will be randomly selected). The Witch can only control active abilities. The target will know that they were controlled by a Witch, but they will not learn who they targeted. The Witch wins if they ar"&amp;"e alive at the end of the game AND Town loses. The witch appears innocent to Cops. Detective investigations fail. This is NOT a visiting role.</f>
        <v xml:space="preserve">A Witch targets one player each night to control, forcefully redirecting their action to a target of their choice. The action of the target becomes compulsory, i.e. they will perform an action even if they originally chose not to (and in that case, if they have more than one action available, the action used will be randomly selected). The Witch can only control active abilities. The target will know that they were controlled by a Witch, but they will not learn who they targeted. The Witch wins if they are alive at the end of the game AND Town loses. The witch appears innocent to Cops. Detective investigations fail. This is NOT a visiting role.</v>
      </c>
      <c r="J163" s="103" t="str">
        <f t="shared" si="18"/>
        <v xml:space="preserve">Hello and welcome to XXX Mafia # - 
Your role is[color=#8e7cc3]#NAME?[/color].
[color=#8e7cc3]#NAME?[/color] - A Witch targets one player each night to control, forcefully redirecting their action to a target of their choice. The action of the target becomes compulsory, i.e. they will perform an action even if they originally chose not to (and in that case, if they have more than one action available, the action used will be randomly selected). The Witch can only control active abilities. The target will know that they were controlled by a Witch, but they will not learn who they targeted. The Witch wins if they are alive at the end of the game AND Town loses. The witch appears innocent to Cops. Detective investigations fail. This is NOT a visiting role.
Feel free to ask any questions about your role or the game itself.
Good luck and have fun!</v>
      </c>
    </row>
    <row r="164">
      <c r="A164" s="128"/>
      <c r="B164" s="129"/>
      <c r="C164" s="129"/>
      <c r="D164" s="20"/>
      <c r="E164" s="123"/>
      <c r="F164" s="100"/>
      <c r="G164" s="116"/>
      <c r="I164" s="20"/>
      <c r="J164" s="124"/>
    </row>
    <row r="165">
      <c r="A165" s="128"/>
      <c r="B165" s="129"/>
      <c r="C165" s="129"/>
      <c r="D165" s="4" t="s">
        <v>593</v>
      </c>
      <c r="E165" s="130" t="s">
        <v>556</v>
      </c>
      <c r="F165" s="100" t="str">
        <f t="shared" si="16"/>
        <v xml:space="preserve">[color=ff9900]#NAME?[/color] - If shot, a Bleeding player will not die instantly but at the beginning of the next night. The player will know he was shot but not by whom.</v>
      </c>
      <c r="G165" s="116" t="str">
        <f t="shared" si="17"/>
        <v>[color=ff9900]#NAME?[/color]</v>
      </c>
      <c r="H165" s="86" t="str">
        <f>split(substitute(E165," - ","~!@^&amp;*#",1),"~!@^&amp;*#",false)"),"Bleeding</f>
        <v>#NAME?</v>
      </c>
      <c r="I165" s="20" t="str">
        <f>"COMPUTED_VALUE""),"If shot, a Bleeding player will not die instantly but at the beginning of the next night. The player will know he was shot but not by whom.</f>
        <v xml:space="preserve">If shot, a Bleeding player will not die instantly but at the beginning of the next night. The player will know he was shot but not by whom.</v>
      </c>
      <c r="J165" s="124"/>
    </row>
    <row r="166">
      <c r="A166" s="128"/>
      <c r="B166" s="129"/>
      <c r="C166" s="129"/>
      <c r="D166" s="4" t="s">
        <v>593</v>
      </c>
      <c r="E166" s="130" t="s">
        <v>557</v>
      </c>
      <c r="F166" s="100" t="str">
        <f t="shared" ref="F166:F174" si="19">CONCATENATE(IF(D166="Town","[color=#00ff00]",IF(D166="Mafia","[color=red]",IF(D166="3rd party","[color=#8e7cc3]",IF(D166="Modifier","[color=ff9900]",IF(D166="Yakuza","[color=ffff00]",IF(D166="KGB","[color=cyan]","[color=magenta]")))))),H166,"[/color] - ",I166)</f>
        <v xml:space="preserve">[color=ff9900]#NAME?[/color] - A Boastful player can either use his role OR announce something anonymously in the thread every night.</v>
      </c>
      <c r="G166" s="116" t="str">
        <f t="shared" ref="G166:G174" si="20">CONCATENATE(IF(D166="Town","[color=#00ff00]",IF(D166="Mafia","[color=red]",IF(D166="3rd party","[color=#8e7cc3]",IF(D166="Modifier","[color=ff9900]",IF(D166="Yakuza","[color=ffff00]",IF(D166="KGB","[color=cyan]","[color=magenta]")))))),H166,"[/color]")</f>
        <v>[color=ff9900]#NAME?[/color]</v>
      </c>
      <c r="H166" s="86" t="str">
        <f>split(substitute(E166," - ","~!@^&amp;*#",1),"~!@^&amp;*#",false)"),"Boastful</f>
        <v>#NAME?</v>
      </c>
      <c r="I166" s="20" t="str">
        <f>"COMPUTED_VALUE""),"A Boastful player can either use his role OR announce something anonymously in the thread every night.</f>
        <v xml:space="preserve">A Boastful player can either use his role OR announce something anonymously in the thread every night.</v>
      </c>
      <c r="J166" s="124"/>
    </row>
    <row r="167">
      <c r="A167" s="128"/>
      <c r="B167" s="129"/>
      <c r="C167" s="129"/>
      <c r="D167" s="4" t="s">
        <v>593</v>
      </c>
      <c r="E167" s="130" t="s">
        <v>558</v>
      </c>
      <c r="F167" s="100" t="str">
        <f t="shared" si="19"/>
        <v xml:space="preserve">[color=ff9900]#NAME?[/color] - A player with the Breakthrough modifier cannot be roleblocked.</v>
      </c>
      <c r="G167" s="116" t="str">
        <f t="shared" si="20"/>
        <v>[color=ff9900]#NAME?[/color]</v>
      </c>
      <c r="H167" s="86" t="str">
        <f>split(substitute(E167," - ","~!@^&amp;*#",1),"~!@^&amp;*#",false)"),"Breakthrough</f>
        <v>#NAME?</v>
      </c>
      <c r="I167" s="20" t="str">
        <f>"COMPUTED_VALUE""),"A player with the Breakthrough modifier cannot be roleblocked.</f>
        <v xml:space="preserve">A player with the Breakthrough modifier cannot be roleblocked.</v>
      </c>
      <c r="J167" s="124"/>
    </row>
    <row r="168">
      <c r="A168" s="128"/>
      <c r="B168" s="129"/>
      <c r="C168" s="129"/>
      <c r="D168" s="4" t="s">
        <v>593</v>
      </c>
      <c r="E168" s="130" t="s">
        <v>559</v>
      </c>
      <c r="F168" s="100" t="str">
        <f t="shared" si="19"/>
        <v xml:space="preserve">[color=ff9900]#NAME?[/color] - A Bulletproof player starts off with one bulletproof vest, which allows that player to survive one shot or one stab. The vest does not protect against bombs.</v>
      </c>
      <c r="G168" s="116" t="str">
        <f t="shared" si="20"/>
        <v>[color=ff9900]#NAME?[/color]</v>
      </c>
      <c r="H168" s="86" t="str">
        <f>split(substitute(E168," - ","~!@^&amp;*#",1),"~!@^&amp;*#",false)"),"Bulletproof</f>
        <v>#NAME?</v>
      </c>
      <c r="I168" s="20" t="str">
        <f>"COMPUTED_VALUE""),"A Bulletproof player starts off with one bulletproof vest, which allows that player to survive one shot or one stab. The vest does not protect against bombs.</f>
        <v xml:space="preserve">A Bulletproof player starts off with one bulletproof vest, which allows that player to survive one shot or one stab. The vest does not protect against bombs.</v>
      </c>
      <c r="J168" s="124"/>
    </row>
    <row r="169">
      <c r="A169" s="128"/>
      <c r="B169" s="129"/>
      <c r="C169" s="129"/>
      <c r="D169" s="4" t="s">
        <v>593</v>
      </c>
      <c r="E169" s="130" t="s">
        <v>560</v>
      </c>
      <c r="F169" s="100" t="str">
        <f t="shared" si="19"/>
        <v xml:space="preserve">[color=ff9900]#NAME?[/color] - A Compulsive player must use its action every night. If the player fails to submit an action, the host will randomly choose an action/target for that night.</v>
      </c>
      <c r="G169" s="116" t="str">
        <f t="shared" si="20"/>
        <v>[color=ff9900]#NAME?[/color]</v>
      </c>
      <c r="H169" s="86" t="str">
        <f>split(substitute(E169," - ","~!@^&amp;*#",1),"~!@^&amp;*#",false)"),"Compulsive</f>
        <v>#NAME?</v>
      </c>
      <c r="I169" s="20" t="str">
        <f>"COMPUTED_VALUE""),"A Compulsive player must use its action every night. If the player fails to submit an action, the host will randomly choose an action/target for that night.</f>
        <v xml:space="preserve">A Compulsive player must use its action every night. If the player fails to submit an action, the host will randomly choose an action/target for that night.</v>
      </c>
      <c r="J169" s="124"/>
    </row>
    <row r="170">
      <c r="A170" s="128"/>
      <c r="B170" s="129"/>
      <c r="C170" s="129"/>
      <c r="D170" s="4" t="s">
        <v>593</v>
      </c>
      <c r="E170" s="130" t="s">
        <v>561</v>
      </c>
      <c r="F170" s="100" t="str">
        <f t="shared" si="19"/>
        <v xml:space="preserve">[color=ff9900]#NAME?[/color] - A Consulting player can either use his role OR a mailman's action every night.</v>
      </c>
      <c r="G170" s="116" t="str">
        <f t="shared" si="20"/>
        <v>[color=ff9900]#NAME?[/color]</v>
      </c>
      <c r="H170" s="86" t="str">
        <f>split(substitute(E170," - ","~!@^&amp;*#",1),"~!@^&amp;*#",false)"),"Consulting</f>
        <v>#NAME?</v>
      </c>
      <c r="I170" s="20" t="str">
        <f>"COMPUTED_VALUE""),"A Consulting player can either use his role OR a mailman's action every night.</f>
        <v xml:space="preserve">A Consulting player can either use his role OR a mailman's action every night.</v>
      </c>
      <c r="J170" s="124"/>
    </row>
    <row r="171">
      <c r="A171" s="128"/>
      <c r="B171" s="129"/>
      <c r="C171" s="129"/>
      <c r="D171" s="4" t="s">
        <v>593</v>
      </c>
      <c r="E171" s="130" t="s">
        <v>562</v>
      </c>
      <c r="F171" s="100" t="str">
        <f t="shared" si="19"/>
        <v xml:space="preserve">[color=ff9900]#NAME?[/color] - An Incognito player cannot be watched or tracked. Detective investigations fail.</v>
      </c>
      <c r="G171" s="116" t="str">
        <f t="shared" si="20"/>
        <v>[color=ff9900]#NAME?[/color]</v>
      </c>
      <c r="H171" s="86" t="str">
        <f>split(substitute(E171," - ","~!@^&amp;*#",1),"~!@^&amp;*#",false)"),"Incognito</f>
        <v>#NAME?</v>
      </c>
      <c r="I171" s="20" t="str">
        <f>"COMPUTED_VALUE""),"An Incognito player cannot be watched or tracked. Detective investigations fail.</f>
        <v xml:space="preserve">An Incognito player cannot be watched or tracked. Detective investigations fail.</v>
      </c>
      <c r="J171" s="124"/>
    </row>
    <row r="172">
      <c r="A172" s="128"/>
      <c r="B172" s="129"/>
      <c r="C172" s="129"/>
      <c r="D172" s="4" t="s">
        <v>593</v>
      </c>
      <c r="E172" s="130" t="s">
        <v>563</v>
      </c>
      <c r="F172" s="100" t="str">
        <f t="shared" si="19"/>
        <v xml:space="preserve">[color=ff9900]#NAME?[/color] - When performing a kill, nothing can stop a Lethal player, including doctors, vests, bodyguards or any other protective role.</v>
      </c>
      <c r="G172" s="116" t="str">
        <f t="shared" si="20"/>
        <v>[color=ff9900]#NAME?[/color]</v>
      </c>
      <c r="H172" s="86" t="str">
        <f>split(substitute(E172," - ","~!@^&amp;*#",1),"~!@^&amp;*#",false)"),"Lethal</f>
        <v>#NAME?</v>
      </c>
      <c r="I172" s="20" t="str">
        <f>"COMPUTED_VALUE""),"When performing a kill, nothing can stop a Lethal player, including doctors, vests, bodyguards or any other protective role.</f>
        <v xml:space="preserve">When performing a kill, nothing can stop a Lethal player, including doctors, vests, bodyguards or any other protective role.</v>
      </c>
      <c r="J172" s="124"/>
    </row>
    <row r="173">
      <c r="A173" s="128"/>
      <c r="B173" s="129"/>
      <c r="C173" s="129"/>
      <c r="D173" s="4" t="s">
        <v>593</v>
      </c>
      <c r="E173" s="130" t="s">
        <v>564</v>
      </c>
      <c r="F173" s="100" t="str">
        <f t="shared" si="19"/>
        <v xml:space="preserve">[color=ff9900]#NAME?[/color] - A Tough player cannot be killed at night. (Not to be confused with the Mafia Tough Guy role.)</v>
      </c>
      <c r="G173" s="116" t="str">
        <f t="shared" si="20"/>
        <v>[color=ff9900]#NAME?[/color]</v>
      </c>
      <c r="H173" s="86" t="str">
        <f>split(substitute(E173," - ","~!@^&amp;*#",1),"~!@^&amp;*#",false)"),"Tough</f>
        <v>#NAME?</v>
      </c>
      <c r="I173" s="20" t="str">
        <f>"COMPUTED_VALUE""),"A Tough player cannot be killed at night. (Not to be confused with the Mafia Tough Guy role.)</f>
        <v xml:space="preserve">A Tough player cannot be killed at night. (Not to be confused with the Mafia Tough Guy role.)</v>
      </c>
      <c r="J173" s="124"/>
    </row>
    <row r="174">
      <c r="A174" s="128"/>
      <c r="B174" s="129"/>
      <c r="C174" s="129"/>
      <c r="D174" s="4" t="s">
        <v>593</v>
      </c>
      <c r="E174" s="130" t="s">
        <v>565</v>
      </c>
      <c r="F174" s="100" t="str">
        <f t="shared" si="19"/>
        <v xml:space="preserve">[color=ff9900]#NAME?[/color] - A player with a Ward has a one-time use shield that will reflect a kill attempt to another randomly chosen target. It does not protect against bombs.</v>
      </c>
      <c r="G174" s="116" t="str">
        <f t="shared" si="20"/>
        <v>[color=ff9900]#NAME?[/color]</v>
      </c>
      <c r="H174" s="86" t="str">
        <f>split(substitute(E174," - ","~!@^&amp;*#",1),"~!@^&amp;*#",false)"),"Ward</f>
        <v>#NAME?</v>
      </c>
      <c r="I174" s="20" t="str">
        <f>"COMPUTED_VALUE""),"A player with a Ward has a one-time use shield that will reflect a kill attempt to another randomly chosen target. It does not protect against bombs.</f>
        <v xml:space="preserve">A player with a Ward has a one-time use shield that will reflect a kill attempt to another randomly chosen target. It does not protect against bombs.</v>
      </c>
      <c r="J174" s="124"/>
    </row>
    <row r="175">
      <c r="A175" s="128"/>
      <c r="B175" s="129"/>
      <c r="C175" s="129"/>
      <c r="D175" s="20"/>
      <c r="E175" s="123"/>
      <c r="F175" s="108"/>
      <c r="G175" s="108"/>
      <c r="I175" s="20"/>
      <c r="J175" s="124"/>
    </row>
    <row r="176">
      <c r="A176" s="128"/>
      <c r="B176" s="129"/>
      <c r="C176" s="129"/>
      <c r="D176" s="20"/>
      <c r="E176" s="123"/>
      <c r="F176" s="108"/>
      <c r="G176" s="108"/>
      <c r="I176" s="20"/>
      <c r="J176" s="124"/>
    </row>
    <row r="177">
      <c r="A177" s="128"/>
      <c r="B177" s="129"/>
      <c r="C177" s="129"/>
      <c r="D177" s="20"/>
      <c r="E177" s="123"/>
      <c r="F177" s="108"/>
      <c r="G177" s="108"/>
      <c r="I177" s="20"/>
      <c r="J177" s="124"/>
    </row>
    <row r="178">
      <c r="A178" s="128"/>
      <c r="B178" s="129"/>
      <c r="C178" s="129"/>
      <c r="D178" s="20"/>
      <c r="E178" s="123"/>
      <c r="F178" s="108"/>
      <c r="G178" s="108"/>
      <c r="I178" s="20"/>
      <c r="J178" s="124"/>
    </row>
    <row r="179">
      <c r="A179" s="128"/>
      <c r="B179" s="129"/>
      <c r="C179" s="129"/>
      <c r="D179" s="20"/>
      <c r="E179" s="123"/>
      <c r="F179" s="108"/>
      <c r="G179" s="108"/>
      <c r="I179" s="20"/>
      <c r="J179" s="124"/>
    </row>
    <row r="180">
      <c r="A180" s="128"/>
      <c r="B180" s="129"/>
      <c r="C180" s="129"/>
      <c r="D180" s="20"/>
      <c r="E180" s="123"/>
      <c r="F180" s="108"/>
      <c r="G180" s="108"/>
      <c r="I180" s="20"/>
      <c r="J180" s="124"/>
    </row>
    <row r="181">
      <c r="A181" s="128"/>
      <c r="B181" s="129"/>
      <c r="C181" s="129"/>
      <c r="D181" s="20"/>
      <c r="E181" s="123"/>
      <c r="F181" s="108"/>
      <c r="G181" s="108"/>
      <c r="I181" s="20"/>
      <c r="J181" s="124"/>
    </row>
    <row r="182">
      <c r="A182" s="128"/>
      <c r="B182" s="129"/>
      <c r="C182" s="129"/>
      <c r="D182" s="20"/>
      <c r="E182" s="123"/>
      <c r="F182" s="108"/>
      <c r="G182" s="108"/>
      <c r="I182" s="20"/>
      <c r="J182" s="124"/>
    </row>
    <row r="183">
      <c r="A183" s="128"/>
      <c r="B183" s="129"/>
      <c r="C183" s="129"/>
      <c r="D183" s="20"/>
      <c r="E183" s="123"/>
      <c r="F183" s="108"/>
      <c r="G183" s="108"/>
      <c r="I183" s="20"/>
      <c r="J183" s="124"/>
    </row>
    <row r="184">
      <c r="A184" s="128"/>
      <c r="B184" s="129"/>
      <c r="C184" s="129"/>
      <c r="D184" s="20"/>
      <c r="E184" s="123"/>
      <c r="F184" s="108"/>
      <c r="G184" s="108"/>
      <c r="I184" s="20"/>
      <c r="J184" s="124"/>
    </row>
    <row r="185">
      <c r="A185" s="128"/>
      <c r="B185" s="129"/>
      <c r="C185" s="129"/>
      <c r="D185" s="20"/>
      <c r="E185" s="123"/>
      <c r="F185" s="108"/>
      <c r="G185" s="108"/>
      <c r="I185" s="20"/>
      <c r="J185" s="124"/>
    </row>
    <row r="186">
      <c r="A186" s="128"/>
      <c r="B186" s="129"/>
      <c r="C186" s="129"/>
      <c r="D186" s="20"/>
      <c r="E186" s="123"/>
      <c r="F186" s="108"/>
      <c r="G186" s="108"/>
      <c r="I186" s="20"/>
      <c r="J186" s="124"/>
    </row>
    <row r="187">
      <c r="A187" s="128"/>
      <c r="B187" s="129"/>
      <c r="C187" s="129"/>
      <c r="D187" s="20"/>
      <c r="E187" s="123"/>
      <c r="F187" s="108"/>
      <c r="G187" s="108"/>
      <c r="I187" s="20"/>
      <c r="J187" s="124"/>
    </row>
    <row r="188">
      <c r="A188" s="128"/>
      <c r="B188" s="129"/>
      <c r="C188" s="129"/>
      <c r="D188" s="20"/>
      <c r="E188" s="123"/>
      <c r="F188" s="108"/>
      <c r="G188" s="108"/>
      <c r="I188" s="20"/>
      <c r="J188" s="124"/>
    </row>
    <row r="189">
      <c r="A189" s="128"/>
      <c r="B189" s="129"/>
      <c r="C189" s="129"/>
      <c r="D189" s="20"/>
      <c r="E189" s="123"/>
      <c r="F189" s="108"/>
      <c r="G189" s="108"/>
      <c r="I189" s="20"/>
      <c r="J189" s="124"/>
    </row>
    <row r="190">
      <c r="A190" s="128"/>
      <c r="B190" s="129"/>
      <c r="C190" s="129"/>
      <c r="D190" s="20"/>
      <c r="E190" s="123"/>
      <c r="F190" s="108"/>
      <c r="G190" s="108"/>
      <c r="I190" s="20"/>
      <c r="J190" s="124"/>
    </row>
    <row r="191">
      <c r="A191" s="128"/>
      <c r="B191" s="129"/>
      <c r="C191" s="129"/>
      <c r="D191" s="20"/>
      <c r="E191" s="123"/>
      <c r="F191" s="108"/>
      <c r="G191" s="108"/>
      <c r="I191" s="20"/>
      <c r="J191" s="124"/>
    </row>
    <row r="192">
      <c r="A192" s="128"/>
      <c r="B192" s="129"/>
      <c r="C192" s="129"/>
      <c r="D192" s="20"/>
      <c r="E192" s="123"/>
      <c r="F192" s="108"/>
      <c r="G192" s="108"/>
      <c r="I192" s="20"/>
      <c r="J192" s="124"/>
    </row>
    <row r="193">
      <c r="A193" s="128"/>
      <c r="B193" s="129"/>
      <c r="C193" s="129"/>
      <c r="D193" s="20"/>
      <c r="E193" s="123"/>
      <c r="F193" s="108"/>
      <c r="G193" s="108"/>
      <c r="I193" s="20"/>
      <c r="J193" s="124"/>
    </row>
    <row r="194">
      <c r="A194" s="128"/>
      <c r="B194" s="129"/>
      <c r="C194" s="129"/>
      <c r="D194" s="20"/>
      <c r="E194" s="123"/>
      <c r="F194" s="108"/>
      <c r="G194" s="108"/>
      <c r="I194" s="20"/>
      <c r="J194" s="124"/>
    </row>
    <row r="195">
      <c r="A195" s="128"/>
      <c r="B195" s="129"/>
      <c r="C195" s="129"/>
      <c r="D195" s="20"/>
      <c r="E195" s="123"/>
      <c r="F195" s="108"/>
      <c r="G195" s="108"/>
      <c r="I195" s="20"/>
      <c r="J195" s="124"/>
    </row>
    <row r="196">
      <c r="A196" s="128"/>
      <c r="B196" s="129"/>
      <c r="C196" s="129"/>
      <c r="D196" s="20"/>
      <c r="E196" s="123"/>
      <c r="F196" s="108"/>
      <c r="G196" s="108"/>
      <c r="I196" s="20"/>
      <c r="J196" s="124"/>
    </row>
    <row r="197">
      <c r="A197" s="128"/>
      <c r="B197" s="129"/>
      <c r="C197" s="129"/>
      <c r="D197" s="20"/>
      <c r="E197" s="123"/>
      <c r="F197" s="108"/>
      <c r="G197" s="108"/>
      <c r="I197" s="20"/>
      <c r="J197" s="124"/>
    </row>
    <row r="198">
      <c r="A198" s="128"/>
      <c r="B198" s="129"/>
      <c r="C198" s="129"/>
      <c r="D198" s="20"/>
      <c r="E198" s="123"/>
      <c r="F198" s="108"/>
      <c r="G198" s="108"/>
      <c r="I198" s="20"/>
      <c r="J198" s="124"/>
    </row>
    <row r="199">
      <c r="A199" s="128"/>
      <c r="B199" s="129"/>
      <c r="C199" s="129"/>
      <c r="D199" s="20"/>
      <c r="E199" s="123"/>
      <c r="F199" s="108"/>
      <c r="G199" s="108"/>
      <c r="I199" s="20"/>
      <c r="J199" s="124"/>
    </row>
    <row r="200">
      <c r="A200" s="128"/>
      <c r="B200" s="129"/>
      <c r="C200" s="129"/>
      <c r="D200" s="20"/>
      <c r="E200" s="123"/>
      <c r="F200" s="108"/>
      <c r="G200" s="108"/>
      <c r="I200" s="20"/>
      <c r="J200" s="124"/>
    </row>
    <row r="201">
      <c r="A201" s="128"/>
      <c r="B201" s="129"/>
      <c r="C201" s="129"/>
      <c r="D201" s="20"/>
      <c r="E201" s="123"/>
      <c r="F201" s="108"/>
      <c r="G201" s="108"/>
      <c r="I201" s="20"/>
      <c r="J201" s="124"/>
    </row>
    <row r="202">
      <c r="A202" s="128"/>
      <c r="B202" s="129"/>
      <c r="C202" s="129"/>
      <c r="D202" s="20"/>
      <c r="E202" s="123"/>
      <c r="F202" s="108"/>
      <c r="G202" s="108"/>
      <c r="I202" s="20"/>
      <c r="J202" s="124"/>
    </row>
    <row r="203">
      <c r="A203" s="128"/>
      <c r="B203" s="129"/>
      <c r="C203" s="129"/>
      <c r="D203" s="20"/>
      <c r="E203" s="123"/>
      <c r="F203" s="108"/>
      <c r="G203" s="108"/>
      <c r="I203" s="20"/>
      <c r="J203" s="124"/>
    </row>
    <row r="204">
      <c r="A204" s="128"/>
      <c r="B204" s="129"/>
      <c r="C204" s="129"/>
      <c r="D204" s="20"/>
      <c r="E204" s="123"/>
      <c r="F204" s="108"/>
      <c r="G204" s="108"/>
      <c r="I204" s="20"/>
      <c r="J204" s="124"/>
    </row>
    <row r="205">
      <c r="A205" s="128"/>
      <c r="B205" s="129"/>
      <c r="C205" s="129"/>
      <c r="D205" s="20"/>
      <c r="E205" s="123"/>
      <c r="F205" s="108"/>
      <c r="G205" s="108"/>
      <c r="I205" s="20"/>
      <c r="J205" s="124"/>
    </row>
    <row r="206">
      <c r="A206" s="128"/>
      <c r="B206" s="129"/>
      <c r="C206" s="129"/>
      <c r="D206" s="20"/>
      <c r="E206" s="123"/>
      <c r="F206" s="108"/>
      <c r="G206" s="108"/>
      <c r="I206" s="20"/>
      <c r="J206" s="124"/>
    </row>
    <row r="207">
      <c r="A207" s="128"/>
      <c r="B207" s="129"/>
      <c r="C207" s="129"/>
      <c r="D207" s="20"/>
      <c r="E207" s="123"/>
      <c r="F207" s="108"/>
      <c r="G207" s="108"/>
      <c r="I207" s="20"/>
      <c r="J207" s="124"/>
    </row>
    <row r="208">
      <c r="A208" s="128"/>
      <c r="B208" s="129"/>
      <c r="C208" s="129"/>
      <c r="D208" s="20"/>
      <c r="E208" s="123"/>
      <c r="F208" s="108"/>
      <c r="G208" s="108"/>
      <c r="I208" s="20"/>
      <c r="J208" s="124"/>
    </row>
    <row r="209">
      <c r="A209" s="128"/>
      <c r="B209" s="129"/>
      <c r="C209" s="129"/>
      <c r="D209" s="20"/>
      <c r="E209" s="123"/>
      <c r="F209" s="108"/>
      <c r="G209" s="108"/>
      <c r="I209" s="20"/>
      <c r="J209" s="124"/>
    </row>
    <row r="210">
      <c r="A210" s="128"/>
      <c r="B210" s="129"/>
      <c r="C210" s="129"/>
      <c r="D210" s="20"/>
      <c r="E210" s="123"/>
      <c r="F210" s="108"/>
      <c r="G210" s="108"/>
      <c r="I210" s="20"/>
      <c r="J210" s="124"/>
    </row>
    <row r="211">
      <c r="A211" s="128"/>
      <c r="B211" s="129"/>
      <c r="C211" s="129"/>
      <c r="D211" s="20"/>
      <c r="E211" s="123"/>
      <c r="F211" s="108"/>
      <c r="G211" s="108"/>
      <c r="I211" s="20"/>
      <c r="J211" s="124"/>
    </row>
    <row r="212">
      <c r="A212" s="128"/>
      <c r="B212" s="129"/>
      <c r="C212" s="129"/>
      <c r="D212" s="20"/>
      <c r="E212" s="123"/>
      <c r="F212" s="108"/>
      <c r="G212" s="108"/>
      <c r="I212" s="20"/>
      <c r="J212" s="124"/>
    </row>
    <row r="213">
      <c r="A213" s="128"/>
      <c r="B213" s="129"/>
      <c r="C213" s="129"/>
      <c r="D213" s="20"/>
      <c r="E213" s="123"/>
      <c r="F213" s="108"/>
      <c r="G213" s="108"/>
      <c r="I213" s="20"/>
      <c r="J213" s="124"/>
    </row>
    <row r="214">
      <c r="A214" s="128"/>
      <c r="B214" s="129"/>
      <c r="C214" s="129"/>
      <c r="D214" s="20"/>
      <c r="E214" s="123"/>
      <c r="F214" s="108"/>
      <c r="G214" s="108"/>
      <c r="I214" s="20"/>
      <c r="J214" s="124"/>
    </row>
    <row r="215">
      <c r="A215" s="128"/>
      <c r="B215" s="129"/>
      <c r="C215" s="129"/>
      <c r="D215" s="20"/>
      <c r="E215" s="123"/>
      <c r="F215" s="108"/>
      <c r="G215" s="108"/>
      <c r="I215" s="20"/>
      <c r="J215" s="124"/>
    </row>
    <row r="216">
      <c r="A216" s="128"/>
      <c r="B216" s="129"/>
      <c r="C216" s="129"/>
      <c r="D216" s="20"/>
      <c r="E216" s="123"/>
      <c r="F216" s="108"/>
      <c r="G216" s="108"/>
      <c r="I216" s="20"/>
      <c r="J216" s="124"/>
    </row>
    <row r="217">
      <c r="A217" s="128"/>
      <c r="B217" s="129"/>
      <c r="C217" s="129"/>
      <c r="D217" s="20"/>
      <c r="E217" s="123"/>
      <c r="F217" s="108"/>
      <c r="G217" s="108"/>
      <c r="I217" s="20"/>
      <c r="J217" s="124"/>
    </row>
    <row r="218">
      <c r="A218" s="128"/>
      <c r="B218" s="129"/>
      <c r="C218" s="129"/>
      <c r="D218" s="20"/>
      <c r="E218" s="123"/>
      <c r="F218" s="108"/>
      <c r="G218" s="108"/>
      <c r="I218" s="20"/>
      <c r="J218" s="124"/>
    </row>
    <row r="219">
      <c r="A219" s="128"/>
      <c r="B219" s="129"/>
      <c r="C219" s="129"/>
      <c r="D219" s="20"/>
      <c r="E219" s="123"/>
      <c r="F219" s="108"/>
      <c r="G219" s="108"/>
      <c r="I219" s="20"/>
      <c r="J219" s="124"/>
    </row>
    <row r="220">
      <c r="A220" s="128"/>
      <c r="B220" s="129"/>
      <c r="C220" s="129"/>
      <c r="D220" s="20"/>
      <c r="E220" s="123"/>
      <c r="F220" s="108"/>
      <c r="G220" s="108"/>
      <c r="I220" s="20"/>
      <c r="J220" s="124"/>
    </row>
    <row r="221">
      <c r="A221" s="128"/>
      <c r="B221" s="129"/>
      <c r="C221" s="129"/>
      <c r="D221" s="20"/>
      <c r="E221" s="123"/>
      <c r="F221" s="108"/>
      <c r="G221" s="108"/>
      <c r="I221" s="20"/>
      <c r="J221" s="124"/>
    </row>
    <row r="222">
      <c r="A222" s="128"/>
      <c r="B222" s="129"/>
      <c r="C222" s="129"/>
      <c r="D222" s="20"/>
      <c r="E222" s="123"/>
      <c r="F222" s="108"/>
      <c r="G222" s="108"/>
      <c r="I222" s="20"/>
      <c r="J222" s="124"/>
    </row>
    <row r="223">
      <c r="A223" s="128"/>
      <c r="B223" s="129"/>
      <c r="C223" s="129"/>
      <c r="D223" s="20"/>
      <c r="E223" s="123"/>
      <c r="F223" s="108"/>
      <c r="G223" s="108"/>
      <c r="I223" s="20"/>
      <c r="J223" s="124"/>
    </row>
    <row r="224">
      <c r="A224" s="128"/>
      <c r="B224" s="129"/>
      <c r="C224" s="129"/>
      <c r="D224" s="20"/>
      <c r="E224" s="123"/>
      <c r="F224" s="108"/>
      <c r="G224" s="108"/>
      <c r="I224" s="20"/>
      <c r="J224" s="124"/>
    </row>
    <row r="225">
      <c r="A225" s="128"/>
      <c r="B225" s="129"/>
      <c r="C225" s="129"/>
      <c r="D225" s="20"/>
      <c r="E225" s="123"/>
      <c r="F225" s="108"/>
      <c r="G225" s="108"/>
      <c r="I225" s="20"/>
      <c r="J225" s="124"/>
    </row>
    <row r="226">
      <c r="A226" s="128"/>
      <c r="B226" s="129"/>
      <c r="C226" s="129"/>
      <c r="D226" s="20"/>
      <c r="E226" s="123"/>
      <c r="F226" s="108"/>
      <c r="G226" s="108"/>
      <c r="I226" s="20"/>
      <c r="J226" s="124"/>
    </row>
    <row r="227">
      <c r="A227" s="128"/>
      <c r="B227" s="129"/>
      <c r="C227" s="129"/>
      <c r="D227" s="20"/>
      <c r="E227" s="123"/>
      <c r="F227" s="108"/>
      <c r="G227" s="108"/>
      <c r="I227" s="20"/>
      <c r="J227" s="124"/>
    </row>
    <row r="228">
      <c r="A228" s="128"/>
      <c r="B228" s="129"/>
      <c r="C228" s="129"/>
      <c r="D228" s="20"/>
      <c r="E228" s="123"/>
      <c r="F228" s="108"/>
      <c r="G228" s="108"/>
      <c r="I228" s="20"/>
      <c r="J228" s="124"/>
    </row>
    <row r="229">
      <c r="A229" s="128"/>
      <c r="B229" s="129"/>
      <c r="C229" s="129"/>
      <c r="D229" s="20"/>
      <c r="E229" s="123"/>
      <c r="F229" s="108"/>
      <c r="G229" s="108"/>
      <c r="I229" s="20"/>
      <c r="J229" s="124"/>
    </row>
    <row r="230">
      <c r="A230" s="128"/>
      <c r="B230" s="129"/>
      <c r="C230" s="129"/>
      <c r="D230" s="20"/>
      <c r="E230" s="123"/>
      <c r="F230" s="108"/>
      <c r="G230" s="108"/>
      <c r="I230" s="20"/>
      <c r="J230" s="124"/>
    </row>
    <row r="231">
      <c r="A231" s="128"/>
      <c r="B231" s="129"/>
      <c r="C231" s="129"/>
      <c r="D231" s="20"/>
      <c r="E231" s="123"/>
      <c r="F231" s="108"/>
      <c r="G231" s="108"/>
      <c r="I231" s="20"/>
      <c r="J231" s="124"/>
    </row>
    <row r="232">
      <c r="A232" s="128"/>
      <c r="B232" s="129"/>
      <c r="C232" s="129"/>
      <c r="D232" s="20"/>
      <c r="E232" s="123"/>
      <c r="F232" s="108"/>
      <c r="G232" s="108"/>
      <c r="I232" s="20"/>
      <c r="J232" s="124"/>
    </row>
    <row r="233">
      <c r="A233" s="128"/>
      <c r="B233" s="129"/>
      <c r="C233" s="129"/>
      <c r="D233" s="20"/>
      <c r="E233" s="123"/>
      <c r="F233" s="108"/>
      <c r="G233" s="108"/>
      <c r="I233" s="20"/>
      <c r="J233" s="124"/>
    </row>
    <row r="234">
      <c r="A234" s="128"/>
      <c r="B234" s="129"/>
      <c r="C234" s="129"/>
      <c r="D234" s="20"/>
      <c r="E234" s="123"/>
      <c r="F234" s="108"/>
      <c r="G234" s="108"/>
      <c r="I234" s="20"/>
      <c r="J234" s="124"/>
    </row>
    <row r="235">
      <c r="A235" s="128"/>
      <c r="B235" s="129"/>
      <c r="C235" s="129"/>
      <c r="D235" s="20"/>
      <c r="E235" s="123"/>
      <c r="F235" s="108"/>
      <c r="G235" s="108"/>
      <c r="I235" s="20"/>
      <c r="J235" s="124"/>
    </row>
    <row r="236">
      <c r="A236" s="128"/>
      <c r="B236" s="129"/>
      <c r="C236" s="129"/>
      <c r="D236" s="20"/>
      <c r="E236" s="123"/>
      <c r="F236" s="108"/>
      <c r="G236" s="108"/>
      <c r="I236" s="20"/>
      <c r="J236" s="124"/>
    </row>
    <row r="237">
      <c r="A237" s="128"/>
      <c r="B237" s="129"/>
      <c r="C237" s="129"/>
      <c r="D237" s="20"/>
      <c r="E237" s="123"/>
      <c r="F237" s="108"/>
      <c r="G237" s="108"/>
      <c r="I237" s="20"/>
      <c r="J237" s="124"/>
    </row>
    <row r="238">
      <c r="A238" s="128"/>
      <c r="B238" s="129"/>
      <c r="C238" s="129"/>
      <c r="D238" s="20"/>
      <c r="E238" s="123"/>
      <c r="F238" s="108"/>
      <c r="G238" s="108"/>
      <c r="I238" s="20"/>
      <c r="J238" s="124"/>
    </row>
    <row r="239">
      <c r="A239" s="128"/>
      <c r="B239" s="129"/>
      <c r="C239" s="129"/>
      <c r="D239" s="20"/>
      <c r="E239" s="123"/>
      <c r="F239" s="108"/>
      <c r="G239" s="108"/>
      <c r="I239" s="20"/>
      <c r="J239" s="124"/>
    </row>
    <row r="240">
      <c r="A240" s="128"/>
      <c r="B240" s="129"/>
      <c r="C240" s="129"/>
      <c r="D240" s="20"/>
      <c r="E240" s="123"/>
      <c r="F240" s="108"/>
      <c r="G240" s="108"/>
      <c r="I240" s="20"/>
      <c r="J240" s="124"/>
    </row>
    <row r="241">
      <c r="A241" s="128"/>
      <c r="B241" s="129"/>
      <c r="C241" s="129"/>
      <c r="D241" s="20"/>
      <c r="E241" s="123"/>
      <c r="F241" s="108"/>
      <c r="G241" s="108"/>
      <c r="I241" s="20"/>
      <c r="J241" s="124"/>
    </row>
    <row r="242">
      <c r="A242" s="128"/>
      <c r="B242" s="129"/>
      <c r="C242" s="129"/>
      <c r="D242" s="20"/>
      <c r="E242" s="123"/>
      <c r="F242" s="108"/>
      <c r="G242" s="108"/>
      <c r="I242" s="20"/>
      <c r="J242" s="124"/>
    </row>
    <row r="243">
      <c r="A243" s="128"/>
      <c r="B243" s="129"/>
      <c r="C243" s="129"/>
      <c r="D243" s="20"/>
      <c r="E243" s="123"/>
      <c r="F243" s="108"/>
      <c r="G243" s="108"/>
      <c r="I243" s="20"/>
      <c r="J243" s="124"/>
    </row>
    <row r="244">
      <c r="A244" s="128"/>
      <c r="B244" s="129"/>
      <c r="C244" s="129"/>
      <c r="D244" s="20"/>
      <c r="E244" s="123"/>
      <c r="F244" s="108"/>
      <c r="G244" s="108"/>
      <c r="I244" s="20"/>
      <c r="J244" s="124"/>
    </row>
    <row r="245">
      <c r="A245" s="128"/>
      <c r="B245" s="129"/>
      <c r="C245" s="129"/>
      <c r="D245" s="20"/>
      <c r="E245" s="123"/>
      <c r="F245" s="108"/>
      <c r="G245" s="108"/>
      <c r="I245" s="20"/>
      <c r="J245" s="124"/>
    </row>
    <row r="246">
      <c r="A246" s="128"/>
      <c r="B246" s="129"/>
      <c r="C246" s="129"/>
      <c r="D246" s="20"/>
      <c r="E246" s="123"/>
      <c r="F246" s="108"/>
      <c r="G246" s="108"/>
      <c r="I246" s="20"/>
      <c r="J246" s="124"/>
    </row>
    <row r="247">
      <c r="A247" s="128"/>
      <c r="B247" s="129"/>
      <c r="C247" s="129"/>
      <c r="D247" s="20"/>
      <c r="E247" s="123"/>
      <c r="F247" s="108"/>
      <c r="G247" s="108"/>
      <c r="I247" s="20"/>
      <c r="J247" s="124"/>
    </row>
    <row r="248">
      <c r="A248" s="128"/>
      <c r="B248" s="129"/>
      <c r="C248" s="129"/>
      <c r="D248" s="20"/>
      <c r="E248" s="123"/>
      <c r="F248" s="108"/>
      <c r="G248" s="108"/>
      <c r="I248" s="20"/>
      <c r="J248" s="124"/>
    </row>
    <row r="249">
      <c r="A249" s="128"/>
      <c r="B249" s="129"/>
      <c r="C249" s="129"/>
      <c r="D249" s="20"/>
      <c r="E249" s="123"/>
      <c r="F249" s="108"/>
      <c r="G249" s="108"/>
      <c r="I249" s="20"/>
      <c r="J249" s="124"/>
    </row>
    <row r="250">
      <c r="A250" s="128"/>
      <c r="B250" s="129"/>
      <c r="C250" s="129"/>
      <c r="D250" s="20"/>
      <c r="E250" s="123"/>
      <c r="F250" s="108"/>
      <c r="G250" s="108"/>
      <c r="I250" s="20"/>
      <c r="J250" s="124"/>
    </row>
    <row r="251">
      <c r="A251" s="128"/>
      <c r="B251" s="129"/>
      <c r="C251" s="129"/>
      <c r="D251" s="20"/>
      <c r="E251" s="123"/>
      <c r="F251" s="108"/>
      <c r="G251" s="108"/>
      <c r="I251" s="20"/>
      <c r="J251" s="124"/>
    </row>
    <row r="252">
      <c r="A252" s="128"/>
      <c r="B252" s="129"/>
      <c r="C252" s="129"/>
      <c r="D252" s="20"/>
      <c r="E252" s="123"/>
      <c r="F252" s="108"/>
      <c r="G252" s="108"/>
      <c r="I252" s="20"/>
      <c r="J252" s="124"/>
    </row>
    <row r="253">
      <c r="A253" s="128"/>
      <c r="B253" s="129"/>
      <c r="C253" s="129"/>
      <c r="D253" s="20"/>
      <c r="E253" s="123"/>
      <c r="F253" s="108"/>
      <c r="G253" s="108"/>
      <c r="I253" s="20"/>
      <c r="J253" s="124"/>
    </row>
    <row r="254">
      <c r="A254" s="128"/>
      <c r="B254" s="129"/>
      <c r="C254" s="129"/>
      <c r="D254" s="20"/>
      <c r="E254" s="123"/>
      <c r="F254" s="108"/>
      <c r="G254" s="108"/>
      <c r="I254" s="20"/>
      <c r="J254" s="124"/>
    </row>
    <row r="255">
      <c r="A255" s="128"/>
      <c r="B255" s="129"/>
      <c r="C255" s="129"/>
      <c r="D255" s="20"/>
      <c r="E255" s="123"/>
      <c r="F255" s="108"/>
      <c r="G255" s="108"/>
      <c r="I255" s="20"/>
      <c r="J255" s="124"/>
    </row>
    <row r="256">
      <c r="A256" s="128"/>
      <c r="B256" s="129"/>
      <c r="C256" s="129"/>
      <c r="D256" s="20"/>
      <c r="E256" s="123"/>
      <c r="F256" s="108"/>
      <c r="G256" s="108"/>
      <c r="I256" s="20"/>
      <c r="J256" s="124"/>
    </row>
    <row r="257">
      <c r="A257" s="128"/>
      <c r="B257" s="129"/>
      <c r="C257" s="129"/>
      <c r="D257" s="20"/>
      <c r="E257" s="123"/>
      <c r="F257" s="108"/>
      <c r="G257" s="108"/>
      <c r="I257" s="20"/>
      <c r="J257" s="124"/>
    </row>
    <row r="258">
      <c r="A258" s="128"/>
      <c r="B258" s="129"/>
      <c r="C258" s="129"/>
      <c r="D258" s="20"/>
      <c r="E258" s="123"/>
      <c r="F258" s="108"/>
      <c r="G258" s="108"/>
      <c r="I258" s="20"/>
      <c r="J258" s="124"/>
    </row>
    <row r="259">
      <c r="A259" s="128"/>
      <c r="B259" s="129"/>
      <c r="C259" s="129"/>
      <c r="D259" s="20"/>
      <c r="E259" s="123"/>
      <c r="F259" s="108"/>
      <c r="G259" s="108"/>
      <c r="I259" s="20"/>
      <c r="J259" s="124"/>
    </row>
    <row r="260">
      <c r="A260" s="128"/>
      <c r="B260" s="129"/>
      <c r="C260" s="129"/>
      <c r="D260" s="20"/>
      <c r="E260" s="123"/>
      <c r="F260" s="108"/>
      <c r="G260" s="108"/>
      <c r="I260" s="20"/>
      <c r="J260" s="124"/>
    </row>
    <row r="261">
      <c r="A261" s="128"/>
      <c r="B261" s="129"/>
      <c r="C261" s="129"/>
      <c r="D261" s="20"/>
      <c r="E261" s="123"/>
      <c r="F261" s="108"/>
      <c r="G261" s="108"/>
      <c r="I261" s="20"/>
      <c r="J261" s="124"/>
    </row>
    <row r="262">
      <c r="A262" s="128"/>
      <c r="B262" s="129"/>
      <c r="C262" s="129"/>
      <c r="D262" s="20"/>
      <c r="E262" s="123"/>
      <c r="F262" s="108"/>
      <c r="G262" s="108"/>
      <c r="I262" s="20"/>
      <c r="J262" s="124"/>
    </row>
    <row r="263">
      <c r="A263" s="128"/>
      <c r="B263" s="129"/>
      <c r="C263" s="129"/>
      <c r="D263" s="20"/>
      <c r="E263" s="123"/>
      <c r="F263" s="108"/>
      <c r="G263" s="108"/>
      <c r="I263" s="20"/>
      <c r="J263" s="124"/>
    </row>
    <row r="264">
      <c r="A264" s="128"/>
      <c r="B264" s="129"/>
      <c r="C264" s="129"/>
      <c r="D264" s="20"/>
      <c r="E264" s="123"/>
      <c r="F264" s="108"/>
      <c r="G264" s="108"/>
      <c r="I264" s="20"/>
      <c r="J264" s="124"/>
    </row>
    <row r="265">
      <c r="A265" s="128"/>
      <c r="B265" s="129"/>
      <c r="C265" s="129"/>
      <c r="D265" s="20"/>
      <c r="E265" s="123"/>
      <c r="F265" s="108"/>
      <c r="G265" s="108"/>
      <c r="I265" s="20"/>
      <c r="J265" s="124"/>
    </row>
    <row r="266">
      <c r="A266" s="128"/>
      <c r="B266" s="129"/>
      <c r="C266" s="129"/>
      <c r="D266" s="20"/>
      <c r="E266" s="123"/>
      <c r="F266" s="108"/>
      <c r="G266" s="108"/>
      <c r="I266" s="20"/>
      <c r="J266" s="124"/>
    </row>
    <row r="267">
      <c r="A267" s="128"/>
      <c r="B267" s="129"/>
      <c r="C267" s="129"/>
      <c r="D267" s="20"/>
      <c r="E267" s="123"/>
      <c r="F267" s="108"/>
      <c r="G267" s="108"/>
      <c r="I267" s="20"/>
      <c r="J267" s="124"/>
    </row>
    <row r="268">
      <c r="A268" s="128"/>
      <c r="B268" s="129"/>
      <c r="C268" s="129"/>
      <c r="D268" s="20"/>
      <c r="E268" s="123"/>
      <c r="F268" s="108"/>
      <c r="G268" s="108"/>
      <c r="I268" s="20"/>
      <c r="J268" s="124"/>
    </row>
    <row r="269">
      <c r="A269" s="128"/>
      <c r="B269" s="129"/>
      <c r="C269" s="129"/>
      <c r="D269" s="20"/>
      <c r="E269" s="123"/>
      <c r="F269" s="108"/>
      <c r="G269" s="108"/>
      <c r="I269" s="20"/>
      <c r="J269" s="124"/>
    </row>
    <row r="270">
      <c r="A270" s="128"/>
      <c r="B270" s="129"/>
      <c r="C270" s="129"/>
      <c r="D270" s="20"/>
      <c r="E270" s="123"/>
      <c r="F270" s="108"/>
      <c r="G270" s="108"/>
      <c r="I270" s="20"/>
      <c r="J270" s="124"/>
    </row>
    <row r="271">
      <c r="A271" s="128"/>
      <c r="B271" s="129"/>
      <c r="C271" s="129"/>
      <c r="D271" s="20"/>
      <c r="E271" s="123"/>
      <c r="F271" s="108"/>
      <c r="G271" s="108"/>
      <c r="I271" s="20"/>
      <c r="J271" s="124"/>
    </row>
    <row r="272">
      <c r="A272" s="128"/>
      <c r="B272" s="129"/>
      <c r="C272" s="129"/>
      <c r="D272" s="20"/>
      <c r="E272" s="123"/>
      <c r="F272" s="108"/>
      <c r="G272" s="108"/>
      <c r="I272" s="20"/>
      <c r="J272" s="124"/>
    </row>
    <row r="273">
      <c r="A273" s="128"/>
      <c r="B273" s="129"/>
      <c r="C273" s="129"/>
      <c r="D273" s="20"/>
      <c r="E273" s="123"/>
      <c r="F273" s="108"/>
      <c r="G273" s="108"/>
      <c r="I273" s="20"/>
      <c r="J273" s="124"/>
    </row>
    <row r="274">
      <c r="A274" s="128"/>
      <c r="B274" s="129"/>
      <c r="C274" s="129"/>
      <c r="D274" s="20"/>
      <c r="E274" s="123"/>
      <c r="F274" s="108"/>
      <c r="G274" s="108"/>
      <c r="I274" s="20"/>
      <c r="J274" s="124"/>
    </row>
    <row r="275">
      <c r="A275" s="128"/>
      <c r="B275" s="129"/>
      <c r="C275" s="129"/>
      <c r="D275" s="20"/>
      <c r="E275" s="123"/>
      <c r="F275" s="108"/>
      <c r="G275" s="108"/>
      <c r="I275" s="20"/>
      <c r="J275" s="124"/>
    </row>
    <row r="276">
      <c r="A276" s="128"/>
      <c r="B276" s="129"/>
      <c r="C276" s="129"/>
      <c r="D276" s="20"/>
      <c r="E276" s="123"/>
      <c r="F276" s="108"/>
      <c r="G276" s="108"/>
      <c r="I276" s="20"/>
      <c r="J276" s="124"/>
    </row>
    <row r="277">
      <c r="A277" s="128"/>
      <c r="B277" s="129"/>
      <c r="C277" s="129"/>
      <c r="D277" s="20"/>
      <c r="E277" s="123"/>
      <c r="F277" s="108"/>
      <c r="G277" s="108"/>
      <c r="I277" s="20"/>
      <c r="J277" s="124"/>
    </row>
    <row r="278">
      <c r="A278" s="128"/>
      <c r="B278" s="129"/>
      <c r="C278" s="129"/>
      <c r="D278" s="20"/>
      <c r="E278" s="123"/>
      <c r="F278" s="108"/>
      <c r="G278" s="108"/>
      <c r="I278" s="20"/>
      <c r="J278" s="124"/>
    </row>
    <row r="279">
      <c r="A279" s="128"/>
      <c r="B279" s="129"/>
      <c r="C279" s="129"/>
      <c r="D279" s="20"/>
      <c r="E279" s="123"/>
      <c r="F279" s="108"/>
      <c r="G279" s="108"/>
      <c r="I279" s="20"/>
      <c r="J279" s="124"/>
    </row>
    <row r="280">
      <c r="A280" s="128"/>
      <c r="B280" s="129"/>
      <c r="C280" s="129"/>
      <c r="D280" s="20"/>
      <c r="E280" s="123"/>
      <c r="F280" s="108"/>
      <c r="G280" s="108"/>
      <c r="I280" s="20"/>
      <c r="J280" s="124"/>
    </row>
    <row r="281">
      <c r="A281" s="128"/>
      <c r="B281" s="129"/>
      <c r="C281" s="129"/>
      <c r="D281" s="20"/>
      <c r="E281" s="123"/>
      <c r="F281" s="108"/>
      <c r="G281" s="108"/>
      <c r="I281" s="20"/>
      <c r="J281" s="124"/>
    </row>
    <row r="282">
      <c r="A282" s="128"/>
      <c r="B282" s="129"/>
      <c r="C282" s="129"/>
      <c r="D282" s="20"/>
      <c r="E282" s="123"/>
      <c r="F282" s="108"/>
      <c r="G282" s="108"/>
      <c r="I282" s="20"/>
      <c r="J282" s="124"/>
    </row>
    <row r="283">
      <c r="A283" s="128"/>
      <c r="B283" s="129"/>
      <c r="C283" s="129"/>
      <c r="D283" s="20"/>
      <c r="E283" s="123"/>
      <c r="F283" s="108"/>
      <c r="G283" s="108"/>
      <c r="I283" s="20"/>
      <c r="J283" s="124"/>
    </row>
    <row r="284">
      <c r="A284" s="128"/>
      <c r="B284" s="129"/>
      <c r="C284" s="129"/>
      <c r="D284" s="20"/>
      <c r="E284" s="123"/>
      <c r="F284" s="108"/>
      <c r="G284" s="108"/>
      <c r="I284" s="20"/>
      <c r="J284" s="124"/>
    </row>
    <row r="285">
      <c r="A285" s="128"/>
      <c r="B285" s="129"/>
      <c r="C285" s="129"/>
      <c r="D285" s="20"/>
      <c r="E285" s="123"/>
      <c r="F285" s="108"/>
      <c r="G285" s="108"/>
      <c r="I285" s="20"/>
      <c r="J285" s="124"/>
    </row>
    <row r="286">
      <c r="A286" s="128"/>
      <c r="B286" s="129"/>
      <c r="C286" s="129"/>
      <c r="D286" s="20"/>
      <c r="E286" s="123"/>
      <c r="F286" s="108"/>
      <c r="G286" s="108"/>
      <c r="I286" s="20"/>
      <c r="J286" s="124"/>
    </row>
    <row r="287">
      <c r="A287" s="128"/>
      <c r="B287" s="129"/>
      <c r="C287" s="129"/>
      <c r="D287" s="20"/>
      <c r="E287" s="123"/>
      <c r="F287" s="108"/>
      <c r="G287" s="108"/>
      <c r="I287" s="20"/>
      <c r="J287" s="124"/>
    </row>
    <row r="288">
      <c r="A288" s="128"/>
      <c r="B288" s="129"/>
      <c r="C288" s="129"/>
      <c r="D288" s="20"/>
      <c r="E288" s="123"/>
      <c r="F288" s="108"/>
      <c r="G288" s="108"/>
      <c r="I288" s="20"/>
      <c r="J288" s="124"/>
    </row>
    <row r="289">
      <c r="A289" s="128"/>
      <c r="B289" s="129"/>
      <c r="C289" s="129"/>
      <c r="D289" s="20"/>
      <c r="E289" s="123"/>
      <c r="F289" s="108"/>
      <c r="G289" s="108"/>
      <c r="I289" s="20"/>
      <c r="J289" s="124"/>
    </row>
    <row r="290">
      <c r="A290" s="128"/>
      <c r="B290" s="129"/>
      <c r="C290" s="129"/>
      <c r="D290" s="20"/>
      <c r="E290" s="123"/>
      <c r="F290" s="108"/>
      <c r="G290" s="108"/>
      <c r="I290" s="20"/>
      <c r="J290" s="124"/>
    </row>
    <row r="291">
      <c r="A291" s="128"/>
      <c r="B291" s="129"/>
      <c r="C291" s="129"/>
      <c r="D291" s="20"/>
      <c r="E291" s="123"/>
      <c r="F291" s="108"/>
      <c r="G291" s="108"/>
      <c r="I291" s="20"/>
      <c r="J291" s="124"/>
    </row>
    <row r="292">
      <c r="A292" s="128"/>
      <c r="B292" s="129"/>
      <c r="C292" s="129"/>
      <c r="D292" s="20"/>
      <c r="E292" s="123"/>
      <c r="F292" s="108"/>
      <c r="G292" s="108"/>
      <c r="I292" s="20"/>
      <c r="J292" s="124"/>
    </row>
    <row r="293">
      <c r="A293" s="128"/>
      <c r="B293" s="129"/>
      <c r="C293" s="129"/>
      <c r="D293" s="20"/>
      <c r="E293" s="123"/>
      <c r="F293" s="108"/>
      <c r="G293" s="108"/>
      <c r="I293" s="20"/>
      <c r="J293" s="124"/>
    </row>
    <row r="294">
      <c r="A294" s="128"/>
      <c r="B294" s="129"/>
      <c r="C294" s="129"/>
      <c r="D294" s="20"/>
      <c r="E294" s="123"/>
      <c r="F294" s="108"/>
      <c r="G294" s="108"/>
      <c r="I294" s="20"/>
      <c r="J294" s="124"/>
    </row>
    <row r="295">
      <c r="A295" s="128"/>
      <c r="B295" s="129"/>
      <c r="C295" s="129"/>
      <c r="D295" s="20"/>
      <c r="E295" s="123"/>
      <c r="F295" s="108"/>
      <c r="G295" s="108"/>
      <c r="I295" s="20"/>
      <c r="J295" s="124"/>
    </row>
    <row r="296">
      <c r="A296" s="128"/>
      <c r="B296" s="129"/>
      <c r="C296" s="129"/>
      <c r="D296" s="20"/>
      <c r="E296" s="123"/>
      <c r="F296" s="108"/>
      <c r="G296" s="108"/>
      <c r="I296" s="20"/>
      <c r="J296" s="124"/>
    </row>
    <row r="297">
      <c r="A297" s="128"/>
      <c r="B297" s="129"/>
      <c r="C297" s="129"/>
      <c r="D297" s="20"/>
      <c r="E297" s="123"/>
      <c r="F297" s="108"/>
      <c r="G297" s="108"/>
      <c r="I297" s="20"/>
      <c r="J297" s="124"/>
    </row>
    <row r="298">
      <c r="A298" s="128"/>
      <c r="B298" s="129"/>
      <c r="C298" s="129"/>
      <c r="D298" s="20"/>
      <c r="E298" s="123"/>
      <c r="F298" s="108"/>
      <c r="G298" s="108"/>
      <c r="I298" s="20"/>
      <c r="J298" s="124"/>
    </row>
    <row r="299">
      <c r="A299" s="128"/>
      <c r="B299" s="129"/>
      <c r="C299" s="129"/>
      <c r="D299" s="20"/>
      <c r="E299" s="123"/>
      <c r="F299" s="108"/>
      <c r="G299" s="108"/>
      <c r="I299" s="20"/>
      <c r="J299" s="124"/>
    </row>
    <row r="300">
      <c r="A300" s="128"/>
      <c r="B300" s="129"/>
      <c r="C300" s="129"/>
      <c r="D300" s="20"/>
      <c r="E300" s="123"/>
      <c r="F300" s="108"/>
      <c r="G300" s="108"/>
      <c r="I300" s="20"/>
      <c r="J300" s="124"/>
    </row>
    <row r="301">
      <c r="A301" s="128"/>
      <c r="B301" s="129"/>
      <c r="C301" s="129"/>
      <c r="D301" s="20"/>
      <c r="E301" s="123"/>
      <c r="F301" s="108"/>
      <c r="G301" s="108"/>
      <c r="I301" s="20"/>
      <c r="J301" s="124"/>
    </row>
    <row r="302">
      <c r="A302" s="128"/>
      <c r="B302" s="129"/>
      <c r="C302" s="129"/>
      <c r="D302" s="20"/>
      <c r="E302" s="123"/>
      <c r="F302" s="108"/>
      <c r="G302" s="108"/>
      <c r="I302" s="20"/>
      <c r="J302" s="124"/>
    </row>
    <row r="303">
      <c r="A303" s="128"/>
      <c r="B303" s="129"/>
      <c r="C303" s="129"/>
      <c r="D303" s="20"/>
      <c r="E303" s="123"/>
      <c r="F303" s="108"/>
      <c r="G303" s="108"/>
      <c r="I303" s="20"/>
      <c r="J303" s="124"/>
    </row>
    <row r="304">
      <c r="A304" s="128"/>
      <c r="B304" s="129"/>
      <c r="C304" s="129"/>
      <c r="D304" s="20"/>
      <c r="E304" s="123"/>
      <c r="F304" s="108"/>
      <c r="G304" s="108"/>
      <c r="I304" s="20"/>
      <c r="J304" s="124"/>
    </row>
    <row r="305">
      <c r="A305" s="128"/>
      <c r="B305" s="129"/>
      <c r="C305" s="129"/>
      <c r="D305" s="20"/>
      <c r="E305" s="123"/>
      <c r="F305" s="108"/>
      <c r="G305" s="108"/>
      <c r="I305" s="20"/>
      <c r="J305" s="124"/>
    </row>
    <row r="306">
      <c r="A306" s="128"/>
      <c r="B306" s="129"/>
      <c r="C306" s="129"/>
      <c r="D306" s="20"/>
      <c r="E306" s="123"/>
      <c r="F306" s="108"/>
      <c r="G306" s="108"/>
      <c r="I306" s="20"/>
      <c r="J306" s="124"/>
    </row>
    <row r="307">
      <c r="A307" s="128"/>
      <c r="B307" s="129"/>
      <c r="C307" s="129"/>
      <c r="D307" s="20"/>
      <c r="E307" s="123"/>
      <c r="F307" s="108"/>
      <c r="G307" s="108"/>
      <c r="I307" s="20"/>
      <c r="J307" s="124"/>
    </row>
    <row r="308">
      <c r="A308" s="128"/>
      <c r="B308" s="129"/>
      <c r="C308" s="129"/>
      <c r="D308" s="20"/>
      <c r="E308" s="123"/>
      <c r="F308" s="108"/>
      <c r="G308" s="108"/>
      <c r="I308" s="20"/>
      <c r="J308" s="124"/>
    </row>
    <row r="309">
      <c r="A309" s="128"/>
      <c r="B309" s="129"/>
      <c r="C309" s="129"/>
      <c r="D309" s="20"/>
      <c r="E309" s="123"/>
      <c r="F309" s="108"/>
      <c r="G309" s="108"/>
      <c r="I309" s="20"/>
      <c r="J309" s="124"/>
    </row>
    <row r="310">
      <c r="A310" s="128"/>
      <c r="B310" s="129"/>
      <c r="C310" s="129"/>
      <c r="D310" s="20"/>
      <c r="E310" s="123"/>
      <c r="F310" s="108"/>
      <c r="G310" s="108"/>
      <c r="I310" s="20"/>
      <c r="J310" s="124"/>
    </row>
    <row r="311">
      <c r="A311" s="128"/>
      <c r="B311" s="129"/>
      <c r="C311" s="129"/>
      <c r="D311" s="20"/>
      <c r="E311" s="123"/>
      <c r="F311" s="108"/>
      <c r="G311" s="108"/>
      <c r="I311" s="20"/>
      <c r="J311" s="124"/>
    </row>
    <row r="312">
      <c r="A312" s="128"/>
      <c r="B312" s="129"/>
      <c r="C312" s="129"/>
      <c r="D312" s="20"/>
      <c r="E312" s="123"/>
      <c r="F312" s="108"/>
      <c r="G312" s="108"/>
      <c r="I312" s="20"/>
      <c r="J312" s="124"/>
    </row>
    <row r="313">
      <c r="A313" s="128"/>
      <c r="B313" s="129"/>
      <c r="C313" s="129"/>
      <c r="D313" s="20"/>
      <c r="E313" s="123"/>
      <c r="F313" s="108"/>
      <c r="G313" s="108"/>
      <c r="I313" s="20"/>
      <c r="J313" s="124"/>
    </row>
    <row r="314">
      <c r="A314" s="128"/>
      <c r="B314" s="129"/>
      <c r="C314" s="129"/>
      <c r="D314" s="20"/>
      <c r="E314" s="123"/>
      <c r="F314" s="108"/>
      <c r="G314" s="108"/>
      <c r="I314" s="20"/>
      <c r="J314" s="124"/>
    </row>
    <row r="315">
      <c r="A315" s="128"/>
      <c r="B315" s="129"/>
      <c r="C315" s="129"/>
      <c r="D315" s="20"/>
      <c r="E315" s="123"/>
      <c r="F315" s="108"/>
      <c r="G315" s="108"/>
      <c r="I315" s="20"/>
      <c r="J315" s="124"/>
    </row>
    <row r="316">
      <c r="A316" s="128"/>
      <c r="B316" s="129"/>
      <c r="C316" s="129"/>
      <c r="D316" s="20"/>
      <c r="E316" s="123"/>
      <c r="F316" s="108"/>
      <c r="G316" s="108"/>
      <c r="I316" s="20"/>
      <c r="J316" s="124"/>
    </row>
    <row r="317">
      <c r="A317" s="128"/>
      <c r="B317" s="129"/>
      <c r="C317" s="129"/>
      <c r="D317" s="20"/>
      <c r="E317" s="123"/>
      <c r="F317" s="108"/>
      <c r="G317" s="108"/>
      <c r="I317" s="20"/>
      <c r="J317" s="124"/>
    </row>
    <row r="318">
      <c r="A318" s="128"/>
      <c r="B318" s="129"/>
      <c r="C318" s="129"/>
      <c r="D318" s="20"/>
      <c r="E318" s="123"/>
      <c r="F318" s="108"/>
      <c r="G318" s="108"/>
      <c r="I318" s="20"/>
      <c r="J318" s="124"/>
    </row>
    <row r="319">
      <c r="A319" s="128"/>
      <c r="B319" s="129"/>
      <c r="C319" s="129"/>
      <c r="D319" s="20"/>
      <c r="E319" s="123"/>
      <c r="F319" s="108"/>
      <c r="G319" s="108"/>
      <c r="I319" s="20"/>
      <c r="J319" s="124"/>
    </row>
    <row r="320">
      <c r="A320" s="128"/>
      <c r="B320" s="129"/>
      <c r="C320" s="129"/>
      <c r="D320" s="20"/>
      <c r="E320" s="123"/>
      <c r="F320" s="108"/>
      <c r="G320" s="108"/>
      <c r="I320" s="20"/>
      <c r="J320" s="124"/>
    </row>
    <row r="321">
      <c r="A321" s="128"/>
      <c r="B321" s="129"/>
      <c r="C321" s="129"/>
      <c r="D321" s="20"/>
      <c r="E321" s="123"/>
      <c r="F321" s="108"/>
      <c r="G321" s="108"/>
      <c r="I321" s="20"/>
      <c r="J321" s="124"/>
    </row>
    <row r="322">
      <c r="A322" s="128"/>
      <c r="B322" s="129"/>
      <c r="C322" s="129"/>
      <c r="D322" s="20"/>
      <c r="E322" s="123"/>
      <c r="F322" s="108"/>
      <c r="G322" s="108"/>
      <c r="I322" s="20"/>
      <c r="J322" s="124"/>
    </row>
    <row r="323">
      <c r="A323" s="128"/>
      <c r="B323" s="129"/>
      <c r="C323" s="129"/>
      <c r="D323" s="20"/>
      <c r="E323" s="123"/>
      <c r="F323" s="108"/>
      <c r="G323" s="108"/>
      <c r="I323" s="20"/>
      <c r="J323" s="124"/>
    </row>
    <row r="324">
      <c r="A324" s="128"/>
      <c r="B324" s="129"/>
      <c r="C324" s="129"/>
      <c r="D324" s="20"/>
      <c r="E324" s="123"/>
      <c r="F324" s="108"/>
      <c r="G324" s="108"/>
      <c r="I324" s="20"/>
      <c r="J324" s="124"/>
    </row>
    <row r="325">
      <c r="A325" s="128"/>
      <c r="B325" s="129"/>
      <c r="C325" s="129"/>
      <c r="D325" s="20"/>
      <c r="E325" s="123"/>
      <c r="F325" s="108"/>
      <c r="G325" s="108"/>
      <c r="I325" s="20"/>
      <c r="J325" s="124"/>
    </row>
    <row r="326">
      <c r="A326" s="128"/>
      <c r="B326" s="129"/>
      <c r="C326" s="129"/>
      <c r="D326" s="20"/>
      <c r="E326" s="123"/>
      <c r="F326" s="108"/>
      <c r="G326" s="108"/>
      <c r="I326" s="20"/>
      <c r="J326" s="124"/>
    </row>
    <row r="327">
      <c r="A327" s="128"/>
      <c r="B327" s="129"/>
      <c r="C327" s="129"/>
      <c r="D327" s="20"/>
      <c r="E327" s="123"/>
      <c r="F327" s="108"/>
      <c r="G327" s="108"/>
      <c r="I327" s="20"/>
      <c r="J327" s="124"/>
    </row>
    <row r="328">
      <c r="A328" s="128"/>
      <c r="B328" s="129"/>
      <c r="C328" s="129"/>
      <c r="D328" s="20"/>
      <c r="E328" s="123"/>
      <c r="F328" s="108"/>
      <c r="G328" s="108"/>
      <c r="I328" s="20"/>
      <c r="J328" s="124"/>
    </row>
    <row r="329">
      <c r="A329" s="128"/>
      <c r="B329" s="129"/>
      <c r="C329" s="129"/>
      <c r="D329" s="20"/>
      <c r="E329" s="123"/>
      <c r="F329" s="108"/>
      <c r="G329" s="108"/>
      <c r="I329" s="20"/>
      <c r="J329" s="124"/>
    </row>
    <row r="330">
      <c r="A330" s="128"/>
      <c r="B330" s="129"/>
      <c r="C330" s="129"/>
      <c r="D330" s="20"/>
      <c r="E330" s="123"/>
      <c r="F330" s="108"/>
      <c r="G330" s="108"/>
      <c r="I330" s="20"/>
      <c r="J330" s="124"/>
    </row>
    <row r="331">
      <c r="A331" s="128"/>
      <c r="B331" s="129"/>
      <c r="C331" s="129"/>
      <c r="D331" s="20"/>
      <c r="E331" s="123"/>
      <c r="F331" s="108"/>
      <c r="G331" s="108"/>
      <c r="I331" s="20"/>
      <c r="J331" s="124"/>
    </row>
    <row r="332">
      <c r="A332" s="128"/>
      <c r="B332" s="129"/>
      <c r="C332" s="129"/>
      <c r="D332" s="20"/>
      <c r="E332" s="123"/>
      <c r="F332" s="108"/>
      <c r="G332" s="108"/>
      <c r="I332" s="20"/>
      <c r="J332" s="124"/>
    </row>
    <row r="333">
      <c r="A333" s="128"/>
      <c r="B333" s="129"/>
      <c r="C333" s="129"/>
      <c r="D333" s="20"/>
      <c r="E333" s="123"/>
      <c r="F333" s="108"/>
      <c r="G333" s="108"/>
      <c r="I333" s="20"/>
      <c r="J333" s="124"/>
    </row>
    <row r="334">
      <c r="A334" s="128"/>
      <c r="B334" s="129"/>
      <c r="C334" s="129"/>
      <c r="D334" s="20"/>
      <c r="E334" s="123"/>
      <c r="F334" s="108"/>
      <c r="G334" s="108"/>
      <c r="I334" s="20"/>
      <c r="J334" s="124"/>
    </row>
    <row r="335">
      <c r="A335" s="128"/>
      <c r="B335" s="129"/>
      <c r="C335" s="129"/>
      <c r="D335" s="20"/>
      <c r="E335" s="123"/>
      <c r="F335" s="108"/>
      <c r="G335" s="108"/>
      <c r="I335" s="20"/>
      <c r="J335" s="124"/>
    </row>
    <row r="336">
      <c r="A336" s="128"/>
      <c r="B336" s="129"/>
      <c r="C336" s="129"/>
      <c r="D336" s="20"/>
      <c r="E336" s="123"/>
      <c r="F336" s="108"/>
      <c r="G336" s="108"/>
      <c r="I336" s="20"/>
      <c r="J336" s="124"/>
    </row>
    <row r="337">
      <c r="A337" s="128"/>
      <c r="B337" s="129"/>
      <c r="C337" s="129"/>
      <c r="D337" s="20"/>
      <c r="E337" s="123"/>
      <c r="F337" s="108"/>
      <c r="G337" s="108"/>
      <c r="I337" s="20"/>
      <c r="J337" s="124"/>
    </row>
    <row r="338">
      <c r="A338" s="128"/>
      <c r="B338" s="129"/>
      <c r="C338" s="129"/>
      <c r="D338" s="20"/>
      <c r="E338" s="123"/>
      <c r="F338" s="108"/>
      <c r="G338" s="108"/>
      <c r="I338" s="20"/>
      <c r="J338" s="124"/>
    </row>
    <row r="339">
      <c r="A339" s="128"/>
      <c r="B339" s="129"/>
      <c r="C339" s="129"/>
      <c r="D339" s="20"/>
      <c r="E339" s="123"/>
      <c r="F339" s="108"/>
      <c r="G339" s="108"/>
      <c r="I339" s="20"/>
      <c r="J339" s="124"/>
    </row>
    <row r="340">
      <c r="A340" s="128"/>
      <c r="B340" s="129"/>
      <c r="C340" s="129"/>
      <c r="D340" s="20"/>
      <c r="E340" s="123"/>
      <c r="F340" s="108"/>
      <c r="G340" s="108"/>
      <c r="I340" s="20"/>
      <c r="J340" s="124"/>
    </row>
    <row r="341">
      <c r="A341" s="128"/>
      <c r="B341" s="129"/>
      <c r="C341" s="129"/>
      <c r="D341" s="20"/>
      <c r="E341" s="123"/>
      <c r="F341" s="108"/>
      <c r="G341" s="108"/>
      <c r="I341" s="20"/>
      <c r="J341" s="124"/>
    </row>
    <row r="342">
      <c r="A342" s="128"/>
      <c r="B342" s="129"/>
      <c r="C342" s="129"/>
      <c r="D342" s="20"/>
      <c r="E342" s="123"/>
      <c r="F342" s="108"/>
      <c r="G342" s="108"/>
      <c r="I342" s="20"/>
      <c r="J342" s="124"/>
    </row>
    <row r="343">
      <c r="A343" s="128"/>
      <c r="B343" s="129"/>
      <c r="C343" s="129"/>
      <c r="D343" s="20"/>
      <c r="E343" s="123"/>
      <c r="F343" s="108"/>
      <c r="G343" s="108"/>
      <c r="I343" s="20"/>
      <c r="J343" s="124"/>
    </row>
    <row r="344">
      <c r="A344" s="128"/>
      <c r="B344" s="129"/>
      <c r="C344" s="129"/>
      <c r="D344" s="20"/>
      <c r="E344" s="123"/>
      <c r="F344" s="108"/>
      <c r="G344" s="108"/>
      <c r="I344" s="20"/>
      <c r="J344" s="124"/>
    </row>
    <row r="345">
      <c r="A345" s="128"/>
      <c r="B345" s="129"/>
      <c r="C345" s="129"/>
      <c r="D345" s="20"/>
      <c r="E345" s="123"/>
      <c r="F345" s="108"/>
      <c r="G345" s="108"/>
      <c r="I345" s="20"/>
      <c r="J345" s="124"/>
    </row>
    <row r="346">
      <c r="A346" s="128"/>
      <c r="B346" s="129"/>
      <c r="C346" s="129"/>
      <c r="D346" s="20"/>
      <c r="E346" s="123"/>
      <c r="F346" s="108"/>
      <c r="G346" s="108"/>
      <c r="I346" s="20"/>
      <c r="J346" s="124"/>
    </row>
    <row r="347">
      <c r="A347" s="128"/>
      <c r="B347" s="129"/>
      <c r="C347" s="129"/>
      <c r="D347" s="20"/>
      <c r="E347" s="123"/>
      <c r="F347" s="108"/>
      <c r="G347" s="108"/>
      <c r="I347" s="20"/>
      <c r="J347" s="124"/>
    </row>
    <row r="348">
      <c r="A348" s="128"/>
      <c r="B348" s="129"/>
      <c r="C348" s="129"/>
      <c r="D348" s="20"/>
      <c r="E348" s="123"/>
      <c r="F348" s="108"/>
      <c r="G348" s="108"/>
      <c r="I348" s="20"/>
      <c r="J348" s="124"/>
    </row>
    <row r="349">
      <c r="A349" s="128"/>
      <c r="B349" s="129"/>
      <c r="C349" s="129"/>
      <c r="D349" s="20"/>
      <c r="E349" s="123"/>
      <c r="F349" s="108"/>
      <c r="G349" s="108"/>
      <c r="I349" s="20"/>
      <c r="J349" s="124"/>
    </row>
    <row r="350">
      <c r="A350" s="128"/>
      <c r="B350" s="129"/>
      <c r="C350" s="129"/>
      <c r="D350" s="20"/>
      <c r="E350" s="123"/>
      <c r="F350" s="108"/>
      <c r="G350" s="108"/>
      <c r="I350" s="20"/>
      <c r="J350" s="124"/>
    </row>
    <row r="351">
      <c r="A351" s="128"/>
      <c r="B351" s="129"/>
      <c r="C351" s="129"/>
      <c r="D351" s="20"/>
      <c r="E351" s="123"/>
      <c r="F351" s="108"/>
      <c r="G351" s="108"/>
      <c r="I351" s="20"/>
      <c r="J351" s="124"/>
    </row>
    <row r="352">
      <c r="A352" s="128"/>
      <c r="B352" s="129"/>
      <c r="C352" s="129"/>
      <c r="D352" s="20"/>
      <c r="E352" s="123"/>
      <c r="F352" s="108"/>
      <c r="G352" s="108"/>
      <c r="I352" s="20"/>
      <c r="J352" s="124"/>
    </row>
    <row r="353">
      <c r="A353" s="128"/>
      <c r="B353" s="129"/>
      <c r="C353" s="129"/>
      <c r="D353" s="20"/>
      <c r="E353" s="123"/>
      <c r="F353" s="108"/>
      <c r="G353" s="108"/>
      <c r="I353" s="20"/>
      <c r="J353" s="124"/>
    </row>
    <row r="354">
      <c r="A354" s="128"/>
      <c r="B354" s="129"/>
      <c r="C354" s="129"/>
      <c r="D354" s="20"/>
      <c r="E354" s="123"/>
      <c r="F354" s="108"/>
      <c r="G354" s="108"/>
      <c r="I354" s="20"/>
      <c r="J354" s="124"/>
    </row>
    <row r="355">
      <c r="A355" s="128"/>
      <c r="B355" s="129"/>
      <c r="C355" s="129"/>
      <c r="D355" s="20"/>
      <c r="E355" s="123"/>
      <c r="F355" s="108"/>
      <c r="G355" s="108"/>
      <c r="I355" s="20"/>
      <c r="J355" s="124"/>
    </row>
    <row r="356">
      <c r="A356" s="128"/>
      <c r="B356" s="129"/>
      <c r="C356" s="129"/>
      <c r="D356" s="20"/>
      <c r="E356" s="123"/>
      <c r="F356" s="108"/>
      <c r="G356" s="108"/>
      <c r="I356" s="20"/>
      <c r="J356" s="124"/>
    </row>
    <row r="357">
      <c r="A357" s="128"/>
      <c r="B357" s="129"/>
      <c r="C357" s="129"/>
      <c r="D357" s="20"/>
      <c r="E357" s="123"/>
      <c r="F357" s="108"/>
      <c r="G357" s="108"/>
      <c r="I357" s="20"/>
      <c r="J357" s="124"/>
    </row>
    <row r="358">
      <c r="A358" s="128"/>
      <c r="B358" s="129"/>
      <c r="C358" s="129"/>
      <c r="D358" s="20"/>
      <c r="E358" s="123"/>
      <c r="F358" s="108"/>
      <c r="G358" s="108"/>
      <c r="I358" s="20"/>
      <c r="J358" s="124"/>
    </row>
    <row r="359">
      <c r="A359" s="128"/>
      <c r="B359" s="129"/>
      <c r="C359" s="129"/>
      <c r="D359" s="20"/>
      <c r="E359" s="123"/>
      <c r="F359" s="108"/>
      <c r="G359" s="108"/>
      <c r="I359" s="20"/>
      <c r="J359" s="124"/>
    </row>
    <row r="360">
      <c r="A360" s="128"/>
      <c r="B360" s="129"/>
      <c r="C360" s="129"/>
      <c r="D360" s="20"/>
      <c r="E360" s="123"/>
      <c r="F360" s="108"/>
      <c r="G360" s="108"/>
      <c r="I360" s="20"/>
      <c r="J360" s="124"/>
    </row>
    <row r="361">
      <c r="A361" s="128"/>
      <c r="B361" s="129"/>
      <c r="C361" s="129"/>
      <c r="D361" s="20"/>
      <c r="E361" s="123"/>
      <c r="F361" s="108"/>
      <c r="G361" s="108"/>
      <c r="I361" s="20"/>
      <c r="J361" s="124"/>
    </row>
    <row r="362">
      <c r="A362" s="128"/>
      <c r="B362" s="129"/>
      <c r="C362" s="129"/>
      <c r="D362" s="20"/>
      <c r="E362" s="123"/>
      <c r="F362" s="108"/>
      <c r="G362" s="108"/>
      <c r="I362" s="20"/>
      <c r="J362" s="124"/>
    </row>
    <row r="363">
      <c r="A363" s="128"/>
      <c r="B363" s="129"/>
      <c r="C363" s="129"/>
      <c r="D363" s="20"/>
      <c r="E363" s="123"/>
      <c r="F363" s="108"/>
      <c r="G363" s="108"/>
      <c r="I363" s="20"/>
      <c r="J363" s="124"/>
    </row>
    <row r="364">
      <c r="A364" s="128"/>
      <c r="B364" s="129"/>
      <c r="C364" s="129"/>
      <c r="D364" s="20"/>
      <c r="E364" s="123"/>
      <c r="F364" s="108"/>
      <c r="G364" s="108"/>
      <c r="I364" s="20"/>
      <c r="J364" s="124"/>
    </row>
    <row r="365">
      <c r="A365" s="128"/>
      <c r="B365" s="129"/>
      <c r="C365" s="129"/>
      <c r="D365" s="20"/>
      <c r="E365" s="123"/>
      <c r="F365" s="108"/>
      <c r="G365" s="108"/>
      <c r="I365" s="20"/>
      <c r="J365" s="124"/>
    </row>
    <row r="366">
      <c r="A366" s="128"/>
      <c r="B366" s="129"/>
      <c r="C366" s="129"/>
      <c r="D366" s="20"/>
      <c r="E366" s="123"/>
      <c r="F366" s="108"/>
      <c r="G366" s="108"/>
      <c r="I366" s="20"/>
      <c r="J366" s="124"/>
    </row>
    <row r="367">
      <c r="A367" s="128"/>
      <c r="B367" s="129"/>
      <c r="C367" s="129"/>
      <c r="D367" s="20"/>
      <c r="E367" s="123"/>
      <c r="F367" s="108"/>
      <c r="G367" s="108"/>
      <c r="I367" s="20"/>
      <c r="J367" s="124"/>
    </row>
    <row r="368">
      <c r="A368" s="128"/>
      <c r="B368" s="129"/>
      <c r="C368" s="129"/>
      <c r="D368" s="20"/>
      <c r="E368" s="123"/>
      <c r="F368" s="108"/>
      <c r="G368" s="108"/>
      <c r="I368" s="20"/>
      <c r="J368" s="124"/>
    </row>
    <row r="369">
      <c r="A369" s="128"/>
      <c r="B369" s="129"/>
      <c r="C369" s="129"/>
      <c r="D369" s="20"/>
      <c r="E369" s="123"/>
      <c r="F369" s="108"/>
      <c r="G369" s="108"/>
      <c r="I369" s="20"/>
      <c r="J369" s="124"/>
    </row>
    <row r="370">
      <c r="A370" s="128"/>
      <c r="B370" s="129"/>
      <c r="C370" s="129"/>
      <c r="D370" s="20"/>
      <c r="E370" s="123"/>
      <c r="F370" s="108"/>
      <c r="G370" s="108"/>
      <c r="I370" s="20"/>
      <c r="J370" s="124"/>
    </row>
    <row r="371">
      <c r="A371" s="128"/>
      <c r="B371" s="129"/>
      <c r="C371" s="129"/>
      <c r="D371" s="20"/>
      <c r="E371" s="123"/>
      <c r="F371" s="108"/>
      <c r="G371" s="108"/>
      <c r="I371" s="20"/>
      <c r="J371" s="124"/>
    </row>
    <row r="372">
      <c r="A372" s="128"/>
      <c r="B372" s="129"/>
      <c r="C372" s="129"/>
      <c r="D372" s="20"/>
      <c r="E372" s="123"/>
      <c r="F372" s="108"/>
      <c r="G372" s="108"/>
      <c r="I372" s="20"/>
      <c r="J372" s="124"/>
    </row>
    <row r="373">
      <c r="A373" s="128"/>
      <c r="B373" s="129"/>
      <c r="C373" s="129"/>
      <c r="D373" s="20"/>
      <c r="E373" s="123"/>
      <c r="F373" s="108"/>
      <c r="G373" s="108"/>
      <c r="I373" s="20"/>
      <c r="J373" s="124"/>
    </row>
    <row r="374">
      <c r="A374" s="128"/>
      <c r="B374" s="129"/>
      <c r="C374" s="129"/>
      <c r="D374" s="20"/>
      <c r="E374" s="123"/>
      <c r="F374" s="108"/>
      <c r="G374" s="108"/>
      <c r="I374" s="20"/>
      <c r="J374" s="124"/>
    </row>
    <row r="375">
      <c r="A375" s="128"/>
      <c r="B375" s="129"/>
      <c r="C375" s="129"/>
      <c r="D375" s="20"/>
      <c r="E375" s="123"/>
      <c r="F375" s="108"/>
      <c r="G375" s="108"/>
      <c r="I375" s="20"/>
      <c r="J375" s="124"/>
    </row>
    <row r="376">
      <c r="A376" s="128"/>
      <c r="B376" s="129"/>
      <c r="C376" s="129"/>
      <c r="D376" s="20"/>
      <c r="E376" s="123"/>
      <c r="F376" s="108"/>
      <c r="G376" s="108"/>
      <c r="I376" s="20"/>
      <c r="J376" s="124"/>
    </row>
    <row r="377">
      <c r="A377" s="128"/>
      <c r="B377" s="129"/>
      <c r="C377" s="129"/>
      <c r="D377" s="20"/>
      <c r="E377" s="123"/>
      <c r="F377" s="108"/>
      <c r="G377" s="108"/>
      <c r="I377" s="20"/>
      <c r="J377" s="124"/>
    </row>
    <row r="378">
      <c r="A378" s="128"/>
      <c r="B378" s="129"/>
      <c r="C378" s="129"/>
      <c r="D378" s="20"/>
      <c r="E378" s="123"/>
      <c r="F378" s="108"/>
      <c r="G378" s="108"/>
      <c r="I378" s="20"/>
      <c r="J378" s="124"/>
    </row>
    <row r="379">
      <c r="A379" s="128"/>
      <c r="B379" s="129"/>
      <c r="C379" s="129"/>
      <c r="D379" s="20"/>
      <c r="E379" s="123"/>
      <c r="F379" s="108"/>
      <c r="G379" s="108"/>
      <c r="I379" s="20"/>
      <c r="J379" s="124"/>
    </row>
    <row r="380">
      <c r="A380" s="128"/>
      <c r="B380" s="129"/>
      <c r="C380" s="129"/>
      <c r="D380" s="20"/>
      <c r="E380" s="123"/>
      <c r="F380" s="108"/>
      <c r="G380" s="108"/>
      <c r="I380" s="20"/>
      <c r="J380" s="124"/>
    </row>
    <row r="381">
      <c r="A381" s="128"/>
      <c r="B381" s="129"/>
      <c r="C381" s="129"/>
      <c r="D381" s="20"/>
      <c r="E381" s="123"/>
      <c r="F381" s="108"/>
      <c r="G381" s="108"/>
      <c r="I381" s="20"/>
      <c r="J381" s="124"/>
    </row>
    <row r="382">
      <c r="A382" s="128"/>
      <c r="B382" s="129"/>
      <c r="C382" s="129"/>
      <c r="D382" s="20"/>
      <c r="E382" s="123"/>
      <c r="F382" s="108"/>
      <c r="G382" s="108"/>
      <c r="I382" s="20"/>
      <c r="J382" s="124"/>
    </row>
    <row r="383">
      <c r="A383" s="128"/>
      <c r="B383" s="129"/>
      <c r="C383" s="129"/>
      <c r="D383" s="20"/>
      <c r="E383" s="123"/>
      <c r="F383" s="108"/>
      <c r="G383" s="108"/>
      <c r="I383" s="20"/>
      <c r="J383" s="124"/>
    </row>
    <row r="384">
      <c r="A384" s="128"/>
      <c r="B384" s="129"/>
      <c r="C384" s="129"/>
      <c r="D384" s="20"/>
      <c r="E384" s="123"/>
      <c r="F384" s="108"/>
      <c r="G384" s="108"/>
      <c r="I384" s="20"/>
      <c r="J384" s="124"/>
    </row>
    <row r="385">
      <c r="A385" s="128"/>
      <c r="B385" s="129"/>
      <c r="C385" s="129"/>
      <c r="D385" s="20"/>
      <c r="E385" s="123"/>
      <c r="F385" s="108"/>
      <c r="G385" s="108"/>
      <c r="I385" s="20"/>
      <c r="J385" s="124"/>
    </row>
    <row r="386">
      <c r="A386" s="128"/>
      <c r="B386" s="129"/>
      <c r="C386" s="129"/>
      <c r="D386" s="20"/>
      <c r="E386" s="123"/>
      <c r="F386" s="108"/>
      <c r="G386" s="108"/>
      <c r="I386" s="20"/>
      <c r="J386" s="124"/>
    </row>
    <row r="387">
      <c r="A387" s="128"/>
      <c r="B387" s="129"/>
      <c r="C387" s="129"/>
      <c r="D387" s="20"/>
      <c r="E387" s="123"/>
      <c r="F387" s="108"/>
      <c r="G387" s="108"/>
      <c r="I387" s="20"/>
      <c r="J387" s="124"/>
    </row>
    <row r="388">
      <c r="A388" s="128"/>
      <c r="B388" s="129"/>
      <c r="C388" s="129"/>
      <c r="D388" s="20"/>
      <c r="E388" s="123"/>
      <c r="F388" s="108"/>
      <c r="G388" s="108"/>
      <c r="I388" s="20"/>
      <c r="J388" s="124"/>
    </row>
    <row r="389">
      <c r="A389" s="128"/>
      <c r="B389" s="129"/>
      <c r="C389" s="129"/>
      <c r="D389" s="20"/>
      <c r="E389" s="123"/>
      <c r="F389" s="108"/>
      <c r="G389" s="108"/>
      <c r="I389" s="20"/>
      <c r="J389" s="124"/>
    </row>
    <row r="390">
      <c r="A390" s="128"/>
      <c r="B390" s="129"/>
      <c r="C390" s="129"/>
      <c r="D390" s="20"/>
      <c r="E390" s="123"/>
      <c r="F390" s="108"/>
      <c r="G390" s="108"/>
      <c r="I390" s="20"/>
      <c r="J390" s="124"/>
    </row>
    <row r="391">
      <c r="A391" s="128"/>
      <c r="B391" s="129"/>
      <c r="C391" s="129"/>
      <c r="D391" s="20"/>
      <c r="E391" s="123"/>
      <c r="F391" s="108"/>
      <c r="G391" s="108"/>
      <c r="I391" s="20"/>
      <c r="J391" s="124"/>
    </row>
    <row r="392">
      <c r="A392" s="128"/>
      <c r="B392" s="129"/>
      <c r="C392" s="129"/>
      <c r="D392" s="20"/>
      <c r="E392" s="123"/>
      <c r="F392" s="108"/>
      <c r="G392" s="108"/>
      <c r="I392" s="20"/>
      <c r="J392" s="124"/>
    </row>
    <row r="393">
      <c r="A393" s="128"/>
      <c r="B393" s="129"/>
      <c r="C393" s="129"/>
      <c r="D393" s="20"/>
      <c r="E393" s="123"/>
      <c r="F393" s="108"/>
      <c r="G393" s="108"/>
      <c r="I393" s="20"/>
      <c r="J393" s="124"/>
    </row>
    <row r="394">
      <c r="A394" s="128"/>
      <c r="B394" s="129"/>
      <c r="C394" s="129"/>
      <c r="D394" s="20"/>
      <c r="E394" s="123"/>
      <c r="F394" s="108"/>
      <c r="G394" s="108"/>
      <c r="I394" s="20"/>
      <c r="J394" s="124"/>
    </row>
    <row r="395">
      <c r="A395" s="128"/>
      <c r="B395" s="129"/>
      <c r="C395" s="129"/>
      <c r="D395" s="20"/>
      <c r="E395" s="123"/>
      <c r="F395" s="108"/>
      <c r="G395" s="108"/>
      <c r="I395" s="20"/>
      <c r="J395" s="124"/>
    </row>
    <row r="396">
      <c r="A396" s="128"/>
      <c r="B396" s="129"/>
      <c r="C396" s="129"/>
      <c r="D396" s="20"/>
      <c r="E396" s="123"/>
      <c r="F396" s="108"/>
      <c r="G396" s="108"/>
      <c r="I396" s="20"/>
      <c r="J396" s="124"/>
    </row>
    <row r="397">
      <c r="A397" s="128"/>
      <c r="B397" s="129"/>
      <c r="C397" s="129"/>
      <c r="D397" s="20"/>
      <c r="E397" s="123"/>
      <c r="F397" s="108"/>
      <c r="G397" s="108"/>
      <c r="I397" s="20"/>
      <c r="J397" s="124"/>
    </row>
    <row r="398">
      <c r="A398" s="128"/>
      <c r="B398" s="129"/>
      <c r="C398" s="129"/>
      <c r="D398" s="20"/>
      <c r="E398" s="123"/>
      <c r="F398" s="108"/>
      <c r="G398" s="108"/>
      <c r="I398" s="20"/>
      <c r="J398" s="124"/>
    </row>
    <row r="399">
      <c r="A399" s="128"/>
      <c r="B399" s="129"/>
      <c r="C399" s="129"/>
      <c r="D399" s="20"/>
      <c r="E399" s="123"/>
      <c r="F399" s="108"/>
      <c r="G399" s="108"/>
      <c r="I399" s="20"/>
      <c r="J399" s="124"/>
    </row>
    <row r="400">
      <c r="A400" s="128"/>
      <c r="B400" s="129"/>
      <c r="C400" s="129"/>
      <c r="D400" s="20"/>
      <c r="E400" s="123"/>
      <c r="F400" s="108"/>
      <c r="G400" s="108"/>
      <c r="I400" s="20"/>
      <c r="J400" s="124"/>
    </row>
    <row r="401">
      <c r="A401" s="128"/>
      <c r="B401" s="129"/>
      <c r="C401" s="129"/>
      <c r="D401" s="20"/>
      <c r="E401" s="123"/>
      <c r="F401" s="108"/>
      <c r="G401" s="108"/>
      <c r="I401" s="20"/>
      <c r="J401" s="124"/>
    </row>
    <row r="402">
      <c r="A402" s="128"/>
      <c r="B402" s="129"/>
      <c r="C402" s="129"/>
      <c r="D402" s="20"/>
      <c r="E402" s="123"/>
      <c r="F402" s="108"/>
      <c r="G402" s="108"/>
      <c r="I402" s="20"/>
      <c r="J402" s="124"/>
    </row>
    <row r="403">
      <c r="A403" s="128"/>
      <c r="B403" s="129"/>
      <c r="C403" s="129"/>
      <c r="D403" s="20"/>
      <c r="E403" s="123"/>
      <c r="F403" s="108"/>
      <c r="G403" s="108"/>
      <c r="I403" s="20"/>
      <c r="J403" s="124"/>
    </row>
    <row r="404">
      <c r="A404" s="128"/>
      <c r="B404" s="129"/>
      <c r="C404" s="129"/>
      <c r="D404" s="20"/>
      <c r="E404" s="123"/>
      <c r="F404" s="108"/>
      <c r="G404" s="108"/>
      <c r="I404" s="20"/>
      <c r="J404" s="124"/>
    </row>
    <row r="405">
      <c r="A405" s="128"/>
      <c r="B405" s="129"/>
      <c r="C405" s="129"/>
      <c r="D405" s="20"/>
      <c r="E405" s="123"/>
      <c r="F405" s="108"/>
      <c r="G405" s="108"/>
      <c r="I405" s="20"/>
      <c r="J405" s="124"/>
    </row>
    <row r="406">
      <c r="A406" s="128"/>
      <c r="B406" s="129"/>
      <c r="C406" s="129"/>
      <c r="D406" s="20"/>
      <c r="E406" s="123"/>
      <c r="F406" s="108"/>
      <c r="G406" s="108"/>
      <c r="I406" s="20"/>
      <c r="J406" s="124"/>
    </row>
    <row r="407">
      <c r="A407" s="128"/>
      <c r="B407" s="129"/>
      <c r="C407" s="129"/>
      <c r="D407" s="20"/>
      <c r="E407" s="123"/>
      <c r="F407" s="108"/>
      <c r="G407" s="108"/>
      <c r="I407" s="20"/>
      <c r="J407" s="124"/>
    </row>
    <row r="408">
      <c r="A408" s="128"/>
      <c r="B408" s="129"/>
      <c r="C408" s="129"/>
      <c r="D408" s="20"/>
      <c r="E408" s="123"/>
      <c r="F408" s="108"/>
      <c r="G408" s="108"/>
      <c r="I408" s="20"/>
      <c r="J408" s="124"/>
    </row>
    <row r="409">
      <c r="A409" s="128"/>
      <c r="B409" s="129"/>
      <c r="C409" s="129"/>
      <c r="D409" s="20"/>
      <c r="E409" s="123"/>
      <c r="F409" s="108"/>
      <c r="G409" s="108"/>
      <c r="I409" s="20"/>
      <c r="J409" s="124"/>
    </row>
    <row r="410">
      <c r="A410" s="128"/>
      <c r="B410" s="129"/>
      <c r="C410" s="129"/>
      <c r="D410" s="20"/>
      <c r="E410" s="123"/>
      <c r="F410" s="108"/>
      <c r="G410" s="108"/>
      <c r="I410" s="20"/>
      <c r="J410" s="124"/>
    </row>
    <row r="411">
      <c r="A411" s="128"/>
      <c r="B411" s="129"/>
      <c r="C411" s="129"/>
      <c r="D411" s="20"/>
      <c r="E411" s="123"/>
      <c r="F411" s="108"/>
      <c r="G411" s="108"/>
      <c r="I411" s="20"/>
      <c r="J411" s="124"/>
    </row>
    <row r="412">
      <c r="A412" s="128"/>
      <c r="B412" s="129"/>
      <c r="C412" s="129"/>
      <c r="D412" s="20"/>
      <c r="E412" s="123"/>
      <c r="F412" s="108"/>
      <c r="G412" s="108"/>
      <c r="I412" s="20"/>
      <c r="J412" s="124"/>
    </row>
    <row r="413">
      <c r="A413" s="128"/>
      <c r="B413" s="129"/>
      <c r="C413" s="129"/>
      <c r="D413" s="20"/>
      <c r="E413" s="123"/>
      <c r="F413" s="108"/>
      <c r="G413" s="108"/>
      <c r="I413" s="20"/>
      <c r="J413" s="124"/>
    </row>
    <row r="414">
      <c r="A414" s="128"/>
      <c r="B414" s="129"/>
      <c r="C414" s="129"/>
      <c r="D414" s="20"/>
      <c r="E414" s="123"/>
      <c r="F414" s="108"/>
      <c r="G414" s="108"/>
      <c r="I414" s="20"/>
      <c r="J414" s="124"/>
    </row>
    <row r="415">
      <c r="A415" s="128"/>
      <c r="B415" s="129"/>
      <c r="C415" s="129"/>
      <c r="D415" s="20"/>
      <c r="E415" s="123"/>
      <c r="F415" s="108"/>
      <c r="G415" s="108"/>
      <c r="I415" s="20"/>
      <c r="J415" s="124"/>
    </row>
    <row r="416">
      <c r="A416" s="128"/>
      <c r="B416" s="129"/>
      <c r="C416" s="129"/>
      <c r="D416" s="20"/>
      <c r="E416" s="123"/>
      <c r="F416" s="108"/>
      <c r="G416" s="108"/>
      <c r="I416" s="20"/>
      <c r="J416" s="124"/>
    </row>
    <row r="417">
      <c r="A417" s="128"/>
      <c r="B417" s="129"/>
      <c r="C417" s="129"/>
      <c r="D417" s="20"/>
      <c r="E417" s="123"/>
      <c r="F417" s="108"/>
      <c r="G417" s="108"/>
      <c r="I417" s="20"/>
      <c r="J417" s="124"/>
    </row>
    <row r="418">
      <c r="A418" s="128"/>
      <c r="B418" s="129"/>
      <c r="C418" s="129"/>
      <c r="D418" s="20"/>
      <c r="E418" s="123"/>
      <c r="F418" s="108"/>
      <c r="G418" s="108"/>
      <c r="I418" s="20"/>
      <c r="J418" s="124"/>
    </row>
    <row r="419">
      <c r="A419" s="128"/>
      <c r="B419" s="129"/>
      <c r="C419" s="129"/>
      <c r="D419" s="20"/>
      <c r="E419" s="123"/>
      <c r="F419" s="108"/>
      <c r="G419" s="108"/>
      <c r="I419" s="20"/>
      <c r="J419" s="124"/>
    </row>
    <row r="420">
      <c r="A420" s="128"/>
      <c r="B420" s="129"/>
      <c r="C420" s="129"/>
      <c r="D420" s="20"/>
      <c r="E420" s="123"/>
      <c r="F420" s="108"/>
      <c r="G420" s="108"/>
      <c r="I420" s="20"/>
      <c r="J420" s="124"/>
    </row>
    <row r="421">
      <c r="A421" s="128"/>
      <c r="B421" s="129"/>
      <c r="C421" s="129"/>
      <c r="D421" s="20"/>
      <c r="E421" s="123"/>
      <c r="F421" s="108"/>
      <c r="G421" s="108"/>
      <c r="I421" s="20"/>
      <c r="J421" s="124"/>
    </row>
    <row r="422">
      <c r="A422" s="128"/>
      <c r="B422" s="129"/>
      <c r="C422" s="129"/>
      <c r="D422" s="20"/>
      <c r="E422" s="123"/>
      <c r="F422" s="108"/>
      <c r="G422" s="108"/>
      <c r="I422" s="20"/>
      <c r="J422" s="124"/>
    </row>
    <row r="423">
      <c r="A423" s="128"/>
      <c r="B423" s="129"/>
      <c r="C423" s="129"/>
      <c r="D423" s="20"/>
      <c r="E423" s="123"/>
      <c r="F423" s="108"/>
      <c r="G423" s="108"/>
      <c r="I423" s="20"/>
      <c r="J423" s="124"/>
    </row>
    <row r="424">
      <c r="A424" s="128"/>
      <c r="B424" s="129"/>
      <c r="C424" s="129"/>
      <c r="D424" s="20"/>
      <c r="E424" s="123"/>
      <c r="F424" s="108"/>
      <c r="G424" s="108"/>
      <c r="I424" s="20"/>
      <c r="J424" s="124"/>
    </row>
    <row r="425">
      <c r="A425" s="128"/>
      <c r="B425" s="129"/>
      <c r="C425" s="129"/>
      <c r="D425" s="20"/>
      <c r="E425" s="123"/>
      <c r="F425" s="108"/>
      <c r="G425" s="108"/>
      <c r="I425" s="20"/>
      <c r="J425" s="124"/>
    </row>
    <row r="426">
      <c r="A426" s="128"/>
      <c r="B426" s="129"/>
      <c r="C426" s="129"/>
      <c r="D426" s="20"/>
      <c r="E426" s="123"/>
      <c r="F426" s="108"/>
      <c r="G426" s="108"/>
      <c r="I426" s="20"/>
      <c r="J426" s="124"/>
    </row>
    <row r="427">
      <c r="A427" s="128"/>
      <c r="B427" s="129"/>
      <c r="C427" s="129"/>
      <c r="D427" s="20"/>
      <c r="E427" s="123"/>
      <c r="F427" s="108"/>
      <c r="G427" s="108"/>
      <c r="I427" s="20"/>
      <c r="J427" s="124"/>
    </row>
    <row r="428">
      <c r="A428" s="128"/>
      <c r="B428" s="129"/>
      <c r="C428" s="129"/>
      <c r="D428" s="20"/>
      <c r="E428" s="123"/>
      <c r="F428" s="108"/>
      <c r="G428" s="108"/>
      <c r="I428" s="20"/>
      <c r="J428" s="124"/>
    </row>
    <row r="429">
      <c r="A429" s="128"/>
      <c r="B429" s="129"/>
      <c r="C429" s="129"/>
      <c r="D429" s="20"/>
      <c r="E429" s="123"/>
      <c r="F429" s="108"/>
      <c r="G429" s="108"/>
      <c r="I429" s="20"/>
      <c r="J429" s="124"/>
    </row>
    <row r="430">
      <c r="A430" s="128"/>
      <c r="B430" s="129"/>
      <c r="C430" s="129"/>
      <c r="D430" s="20"/>
      <c r="E430" s="123"/>
      <c r="F430" s="108"/>
      <c r="G430" s="108"/>
      <c r="I430" s="20"/>
      <c r="J430" s="124"/>
    </row>
    <row r="431">
      <c r="A431" s="128"/>
      <c r="B431" s="129"/>
      <c r="C431" s="129"/>
      <c r="D431" s="20"/>
      <c r="E431" s="123"/>
      <c r="F431" s="108"/>
      <c r="G431" s="108"/>
      <c r="I431" s="20"/>
      <c r="J431" s="124"/>
    </row>
    <row r="432">
      <c r="A432" s="128"/>
      <c r="B432" s="129"/>
      <c r="C432" s="129"/>
      <c r="D432" s="20"/>
      <c r="E432" s="123"/>
      <c r="F432" s="108"/>
      <c r="G432" s="108"/>
      <c r="I432" s="20"/>
      <c r="J432" s="124"/>
    </row>
    <row r="433">
      <c r="A433" s="128"/>
      <c r="B433" s="129"/>
      <c r="C433" s="129"/>
      <c r="D433" s="20"/>
      <c r="E433" s="123"/>
      <c r="F433" s="108"/>
      <c r="G433" s="108"/>
      <c r="I433" s="20"/>
      <c r="J433" s="124"/>
    </row>
    <row r="434">
      <c r="A434" s="128"/>
      <c r="B434" s="129"/>
      <c r="C434" s="129"/>
      <c r="D434" s="20"/>
      <c r="E434" s="123"/>
      <c r="F434" s="108"/>
      <c r="G434" s="108"/>
      <c r="I434" s="20"/>
      <c r="J434" s="124"/>
    </row>
    <row r="435">
      <c r="A435" s="128"/>
      <c r="B435" s="129"/>
      <c r="C435" s="129"/>
      <c r="D435" s="20"/>
      <c r="E435" s="123"/>
      <c r="F435" s="108"/>
      <c r="G435" s="108"/>
      <c r="I435" s="20"/>
      <c r="J435" s="124"/>
    </row>
    <row r="436">
      <c r="A436" s="128"/>
      <c r="B436" s="129"/>
      <c r="C436" s="129"/>
      <c r="D436" s="20"/>
      <c r="E436" s="123"/>
      <c r="F436" s="108"/>
      <c r="G436" s="108"/>
      <c r="I436" s="20"/>
      <c r="J436" s="124"/>
    </row>
    <row r="437">
      <c r="A437" s="128"/>
      <c r="B437" s="129"/>
      <c r="C437" s="129"/>
      <c r="D437" s="20"/>
      <c r="E437" s="123"/>
      <c r="F437" s="108"/>
      <c r="G437" s="108"/>
      <c r="I437" s="20"/>
      <c r="J437" s="124"/>
    </row>
    <row r="438">
      <c r="A438" s="128"/>
      <c r="B438" s="129"/>
      <c r="C438" s="129"/>
      <c r="D438" s="20"/>
      <c r="E438" s="123"/>
      <c r="F438" s="108"/>
      <c r="G438" s="108"/>
      <c r="I438" s="20"/>
      <c r="J438" s="124"/>
    </row>
    <row r="439">
      <c r="A439" s="128"/>
      <c r="B439" s="129"/>
      <c r="C439" s="129"/>
      <c r="D439" s="20"/>
      <c r="E439" s="123"/>
      <c r="F439" s="108"/>
      <c r="G439" s="108"/>
      <c r="I439" s="20"/>
      <c r="J439" s="124"/>
    </row>
    <row r="440">
      <c r="A440" s="128"/>
      <c r="B440" s="129"/>
      <c r="C440" s="129"/>
      <c r="D440" s="20"/>
      <c r="E440" s="123"/>
      <c r="F440" s="108"/>
      <c r="G440" s="108"/>
      <c r="I440" s="20"/>
      <c r="J440" s="124"/>
    </row>
    <row r="441">
      <c r="A441" s="128"/>
      <c r="B441" s="129"/>
      <c r="C441" s="129"/>
      <c r="D441" s="20"/>
      <c r="E441" s="123"/>
      <c r="F441" s="108"/>
      <c r="G441" s="108"/>
      <c r="I441" s="20"/>
      <c r="J441" s="124"/>
    </row>
    <row r="442">
      <c r="A442" s="128"/>
      <c r="B442" s="129"/>
      <c r="C442" s="129"/>
      <c r="D442" s="20"/>
      <c r="E442" s="123"/>
      <c r="F442" s="108"/>
      <c r="G442" s="108"/>
      <c r="I442" s="20"/>
      <c r="J442" s="124"/>
    </row>
    <row r="443">
      <c r="A443" s="128"/>
      <c r="B443" s="129"/>
      <c r="C443" s="129"/>
      <c r="D443" s="20"/>
      <c r="E443" s="123"/>
      <c r="F443" s="108"/>
      <c r="G443" s="108"/>
      <c r="I443" s="20"/>
      <c r="J443" s="124"/>
    </row>
    <row r="444">
      <c r="A444" s="128"/>
      <c r="B444" s="129"/>
      <c r="C444" s="129"/>
      <c r="D444" s="20"/>
      <c r="E444" s="123"/>
      <c r="F444" s="108"/>
      <c r="G444" s="108"/>
      <c r="I444" s="20"/>
      <c r="J444" s="124"/>
    </row>
    <row r="445">
      <c r="A445" s="128"/>
      <c r="B445" s="129"/>
      <c r="C445" s="129"/>
      <c r="D445" s="20"/>
      <c r="E445" s="123"/>
      <c r="F445" s="108"/>
      <c r="G445" s="108"/>
      <c r="I445" s="20"/>
      <c r="J445" s="124"/>
    </row>
    <row r="446">
      <c r="A446" s="128"/>
      <c r="B446" s="129"/>
      <c r="C446" s="129"/>
      <c r="D446" s="20"/>
      <c r="E446" s="123"/>
      <c r="F446" s="108"/>
      <c r="G446" s="108"/>
      <c r="I446" s="20"/>
      <c r="J446" s="124"/>
    </row>
    <row r="447">
      <c r="A447" s="128"/>
      <c r="B447" s="129"/>
      <c r="C447" s="129"/>
      <c r="D447" s="20"/>
      <c r="E447" s="123"/>
      <c r="F447" s="108"/>
      <c r="G447" s="108"/>
      <c r="I447" s="20"/>
      <c r="J447" s="124"/>
    </row>
    <row r="448">
      <c r="A448" s="128"/>
      <c r="B448" s="129"/>
      <c r="C448" s="129"/>
      <c r="D448" s="20"/>
      <c r="E448" s="123"/>
      <c r="F448" s="108"/>
      <c r="G448" s="108"/>
      <c r="I448" s="20"/>
      <c r="J448" s="124"/>
    </row>
    <row r="449">
      <c r="A449" s="128"/>
      <c r="B449" s="129"/>
      <c r="C449" s="129"/>
      <c r="D449" s="20"/>
      <c r="E449" s="123"/>
      <c r="F449" s="108"/>
      <c r="G449" s="108"/>
      <c r="I449" s="20"/>
      <c r="J449" s="124"/>
    </row>
    <row r="450">
      <c r="A450" s="128"/>
      <c r="B450" s="129"/>
      <c r="C450" s="129"/>
      <c r="D450" s="20"/>
      <c r="E450" s="123"/>
      <c r="F450" s="108"/>
      <c r="G450" s="108"/>
      <c r="I450" s="20"/>
      <c r="J450" s="124"/>
    </row>
    <row r="451">
      <c r="A451" s="128"/>
      <c r="B451" s="129"/>
      <c r="C451" s="129"/>
      <c r="D451" s="20"/>
      <c r="E451" s="123"/>
      <c r="F451" s="108"/>
      <c r="G451" s="108"/>
      <c r="I451" s="20"/>
      <c r="J451" s="124"/>
    </row>
    <row r="452">
      <c r="A452" s="128"/>
      <c r="B452" s="129"/>
      <c r="C452" s="129"/>
      <c r="D452" s="20"/>
      <c r="E452" s="123"/>
      <c r="F452" s="108"/>
      <c r="G452" s="108"/>
      <c r="I452" s="20"/>
      <c r="J452" s="124"/>
    </row>
    <row r="453">
      <c r="A453" s="128"/>
      <c r="B453" s="129"/>
      <c r="C453" s="129"/>
      <c r="D453" s="20"/>
      <c r="E453" s="123"/>
      <c r="F453" s="108"/>
      <c r="G453" s="108"/>
      <c r="I453" s="20"/>
      <c r="J453" s="124"/>
    </row>
    <row r="454">
      <c r="A454" s="128"/>
      <c r="B454" s="129"/>
      <c r="C454" s="129"/>
      <c r="D454" s="20"/>
      <c r="E454" s="123"/>
      <c r="F454" s="108"/>
      <c r="G454" s="108"/>
      <c r="I454" s="20"/>
      <c r="J454" s="124"/>
    </row>
    <row r="455">
      <c r="A455" s="128"/>
      <c r="B455" s="129"/>
      <c r="C455" s="129"/>
      <c r="D455" s="20"/>
      <c r="E455" s="123"/>
      <c r="F455" s="108"/>
      <c r="G455" s="108"/>
      <c r="I455" s="20"/>
      <c r="J455" s="124"/>
    </row>
    <row r="456">
      <c r="A456" s="128"/>
      <c r="B456" s="129"/>
      <c r="C456" s="129"/>
      <c r="D456" s="20"/>
      <c r="E456" s="123"/>
      <c r="F456" s="108"/>
      <c r="G456" s="108"/>
      <c r="I456" s="20"/>
      <c r="J456" s="124"/>
    </row>
    <row r="457">
      <c r="A457" s="128"/>
      <c r="B457" s="129"/>
      <c r="C457" s="129"/>
      <c r="D457" s="20"/>
      <c r="E457" s="123"/>
      <c r="F457" s="108"/>
      <c r="G457" s="108"/>
      <c r="I457" s="20"/>
      <c r="J457" s="124"/>
    </row>
    <row r="458">
      <c r="A458" s="128"/>
      <c r="B458" s="129"/>
      <c r="C458" s="129"/>
      <c r="D458" s="20"/>
      <c r="E458" s="123"/>
      <c r="F458" s="108"/>
      <c r="G458" s="108"/>
      <c r="I458" s="20"/>
      <c r="J458" s="124"/>
    </row>
    <row r="459">
      <c r="A459" s="128"/>
      <c r="B459" s="129"/>
      <c r="C459" s="129"/>
      <c r="D459" s="20"/>
      <c r="E459" s="123"/>
      <c r="F459" s="108"/>
      <c r="G459" s="108"/>
      <c r="I459" s="20"/>
      <c r="J459" s="124"/>
    </row>
    <row r="460">
      <c r="A460" s="128"/>
      <c r="B460" s="129"/>
      <c r="C460" s="129"/>
      <c r="D460" s="20"/>
      <c r="E460" s="123"/>
      <c r="F460" s="108"/>
      <c r="G460" s="108"/>
      <c r="I460" s="20"/>
      <c r="J460" s="124"/>
    </row>
    <row r="461">
      <c r="A461" s="128"/>
      <c r="B461" s="129"/>
      <c r="C461" s="129"/>
      <c r="D461" s="20"/>
      <c r="E461" s="123"/>
      <c r="F461" s="108"/>
      <c r="G461" s="108"/>
      <c r="I461" s="20"/>
      <c r="J461" s="124"/>
    </row>
    <row r="462">
      <c r="A462" s="128"/>
      <c r="B462" s="129"/>
      <c r="C462" s="129"/>
      <c r="D462" s="20"/>
      <c r="E462" s="123"/>
      <c r="F462" s="108"/>
      <c r="G462" s="108"/>
      <c r="I462" s="20"/>
      <c r="J462" s="124"/>
    </row>
    <row r="463">
      <c r="A463" s="128"/>
      <c r="B463" s="129"/>
      <c r="C463" s="129"/>
      <c r="D463" s="20"/>
      <c r="E463" s="123"/>
      <c r="F463" s="108"/>
      <c r="G463" s="108"/>
      <c r="I463" s="20"/>
      <c r="J463" s="124"/>
    </row>
    <row r="464">
      <c r="A464" s="128"/>
      <c r="B464" s="129"/>
      <c r="C464" s="129"/>
      <c r="D464" s="20"/>
      <c r="E464" s="123"/>
      <c r="F464" s="108"/>
      <c r="G464" s="108"/>
      <c r="I464" s="20"/>
      <c r="J464" s="124"/>
    </row>
    <row r="465">
      <c r="A465" s="128"/>
      <c r="B465" s="129"/>
      <c r="C465" s="129"/>
      <c r="D465" s="20"/>
      <c r="E465" s="123"/>
      <c r="F465" s="108"/>
      <c r="G465" s="108"/>
      <c r="I465" s="20"/>
      <c r="J465" s="124"/>
    </row>
    <row r="466">
      <c r="A466" s="128"/>
      <c r="B466" s="129"/>
      <c r="C466" s="129"/>
      <c r="D466" s="20"/>
      <c r="E466" s="123"/>
      <c r="F466" s="108"/>
      <c r="G466" s="108"/>
      <c r="I466" s="20"/>
      <c r="J466" s="124"/>
    </row>
    <row r="467">
      <c r="A467" s="128"/>
      <c r="B467" s="129"/>
      <c r="C467" s="129"/>
      <c r="D467" s="20"/>
      <c r="E467" s="123"/>
      <c r="F467" s="108"/>
      <c r="G467" s="108"/>
      <c r="I467" s="20"/>
      <c r="J467" s="124"/>
    </row>
    <row r="468">
      <c r="A468" s="128"/>
      <c r="B468" s="129"/>
      <c r="C468" s="129"/>
      <c r="D468" s="20"/>
      <c r="E468" s="123"/>
      <c r="F468" s="108"/>
      <c r="G468" s="108"/>
      <c r="I468" s="20"/>
      <c r="J468" s="124"/>
    </row>
    <row r="469">
      <c r="A469" s="128"/>
      <c r="B469" s="129"/>
      <c r="C469" s="129"/>
      <c r="D469" s="20"/>
      <c r="E469" s="123"/>
      <c r="F469" s="108"/>
      <c r="G469" s="108"/>
      <c r="I469" s="20"/>
      <c r="J469" s="124"/>
    </row>
    <row r="470">
      <c r="A470" s="128"/>
      <c r="B470" s="129"/>
      <c r="C470" s="129"/>
      <c r="D470" s="20"/>
      <c r="E470" s="123"/>
      <c r="F470" s="108"/>
      <c r="G470" s="108"/>
      <c r="I470" s="20"/>
      <c r="J470" s="124"/>
    </row>
    <row r="471">
      <c r="A471" s="128"/>
      <c r="B471" s="129"/>
      <c r="C471" s="129"/>
      <c r="D471" s="20"/>
      <c r="E471" s="123"/>
      <c r="F471" s="108"/>
      <c r="G471" s="108"/>
      <c r="I471" s="20"/>
      <c r="J471" s="124"/>
    </row>
    <row r="472">
      <c r="A472" s="128"/>
      <c r="B472" s="129"/>
      <c r="C472" s="129"/>
      <c r="D472" s="20"/>
      <c r="E472" s="123"/>
      <c r="F472" s="108"/>
      <c r="G472" s="108"/>
      <c r="I472" s="20"/>
      <c r="J472" s="124"/>
    </row>
    <row r="473">
      <c r="A473" s="128"/>
      <c r="B473" s="129"/>
      <c r="C473" s="129"/>
      <c r="D473" s="20"/>
      <c r="E473" s="123"/>
      <c r="F473" s="108"/>
      <c r="G473" s="108"/>
      <c r="I473" s="20"/>
      <c r="J473" s="124"/>
    </row>
    <row r="474">
      <c r="A474" s="128"/>
      <c r="B474" s="129"/>
      <c r="C474" s="129"/>
      <c r="D474" s="20"/>
      <c r="E474" s="123"/>
      <c r="F474" s="108"/>
      <c r="G474" s="108"/>
      <c r="I474" s="20"/>
      <c r="J474" s="124"/>
    </row>
    <row r="475">
      <c r="A475" s="128"/>
      <c r="B475" s="129"/>
      <c r="C475" s="129"/>
      <c r="D475" s="20"/>
      <c r="E475" s="123"/>
      <c r="F475" s="108"/>
      <c r="G475" s="108"/>
      <c r="I475" s="20"/>
      <c r="J475" s="124"/>
    </row>
    <row r="476">
      <c r="A476" s="128"/>
      <c r="B476" s="129"/>
      <c r="C476" s="129"/>
      <c r="D476" s="20"/>
      <c r="E476" s="123"/>
      <c r="F476" s="108"/>
      <c r="G476" s="108"/>
      <c r="I476" s="20"/>
      <c r="J476" s="124"/>
    </row>
    <row r="477">
      <c r="A477" s="128"/>
      <c r="B477" s="129"/>
      <c r="C477" s="129"/>
      <c r="D477" s="20"/>
      <c r="E477" s="123"/>
      <c r="F477" s="108"/>
      <c r="G477" s="108"/>
      <c r="I477" s="20"/>
      <c r="J477" s="124"/>
    </row>
    <row r="478">
      <c r="A478" s="128"/>
      <c r="B478" s="129"/>
      <c r="C478" s="129"/>
      <c r="D478" s="20"/>
      <c r="E478" s="123"/>
      <c r="F478" s="108"/>
      <c r="G478" s="108"/>
      <c r="I478" s="20"/>
      <c r="J478" s="124"/>
    </row>
    <row r="479">
      <c r="A479" s="128"/>
      <c r="B479" s="129"/>
      <c r="C479" s="129"/>
      <c r="D479" s="20"/>
      <c r="E479" s="123"/>
      <c r="F479" s="108"/>
      <c r="G479" s="108"/>
      <c r="I479" s="20"/>
      <c r="J479" s="124"/>
    </row>
    <row r="480">
      <c r="A480" s="128"/>
      <c r="B480" s="129"/>
      <c r="C480" s="129"/>
      <c r="D480" s="20"/>
      <c r="E480" s="123"/>
      <c r="F480" s="108"/>
      <c r="G480" s="108"/>
      <c r="I480" s="20"/>
      <c r="J480" s="124"/>
    </row>
    <row r="481">
      <c r="A481" s="128"/>
      <c r="B481" s="129"/>
      <c r="C481" s="129"/>
      <c r="D481" s="20"/>
      <c r="E481" s="123"/>
      <c r="F481" s="108"/>
      <c r="G481" s="108"/>
      <c r="I481" s="20"/>
      <c r="J481" s="124"/>
    </row>
    <row r="482">
      <c r="A482" s="128"/>
      <c r="B482" s="129"/>
      <c r="C482" s="129"/>
      <c r="D482" s="20"/>
      <c r="E482" s="123"/>
      <c r="F482" s="108"/>
      <c r="G482" s="108"/>
      <c r="I482" s="20"/>
      <c r="J482" s="124"/>
    </row>
    <row r="483">
      <c r="A483" s="128"/>
      <c r="B483" s="129"/>
      <c r="C483" s="129"/>
      <c r="D483" s="20"/>
      <c r="E483" s="123"/>
      <c r="F483" s="108"/>
      <c r="G483" s="108"/>
      <c r="I483" s="20"/>
      <c r="J483" s="124"/>
    </row>
    <row r="484">
      <c r="A484" s="128"/>
      <c r="B484" s="129"/>
      <c r="C484" s="129"/>
      <c r="D484" s="20"/>
      <c r="E484" s="123"/>
      <c r="F484" s="108"/>
      <c r="G484" s="108"/>
      <c r="I484" s="20"/>
      <c r="J484" s="124"/>
    </row>
    <row r="485">
      <c r="A485" s="128"/>
      <c r="B485" s="129"/>
      <c r="C485" s="129"/>
      <c r="D485" s="20"/>
      <c r="E485" s="123"/>
      <c r="F485" s="108"/>
      <c r="G485" s="108"/>
      <c r="I485" s="20"/>
      <c r="J485" s="124"/>
    </row>
    <row r="486">
      <c r="A486" s="128"/>
      <c r="B486" s="129"/>
      <c r="C486" s="129"/>
      <c r="D486" s="20"/>
      <c r="E486" s="123"/>
      <c r="F486" s="108"/>
      <c r="G486" s="108"/>
      <c r="I486" s="20"/>
      <c r="J486" s="124"/>
    </row>
    <row r="487">
      <c r="A487" s="128"/>
      <c r="B487" s="129"/>
      <c r="C487" s="129"/>
      <c r="D487" s="20"/>
      <c r="E487" s="123"/>
      <c r="F487" s="108"/>
      <c r="G487" s="108"/>
      <c r="I487" s="20"/>
      <c r="J487" s="124"/>
    </row>
    <row r="488">
      <c r="A488" s="128"/>
      <c r="B488" s="129"/>
      <c r="C488" s="129"/>
      <c r="D488" s="20"/>
      <c r="E488" s="123"/>
      <c r="F488" s="108"/>
      <c r="G488" s="108"/>
      <c r="I488" s="20"/>
      <c r="J488" s="124"/>
    </row>
    <row r="489">
      <c r="A489" s="128"/>
      <c r="B489" s="129"/>
      <c r="C489" s="129"/>
      <c r="D489" s="20"/>
      <c r="E489" s="123"/>
      <c r="F489" s="108"/>
      <c r="G489" s="108"/>
      <c r="I489" s="20"/>
      <c r="J489" s="124"/>
    </row>
    <row r="490">
      <c r="A490" s="128"/>
      <c r="B490" s="129"/>
      <c r="C490" s="129"/>
      <c r="D490" s="20"/>
      <c r="E490" s="123"/>
      <c r="F490" s="108"/>
      <c r="G490" s="108"/>
      <c r="I490" s="20"/>
      <c r="J490" s="124"/>
    </row>
    <row r="491">
      <c r="A491" s="128"/>
      <c r="B491" s="129"/>
      <c r="C491" s="129"/>
      <c r="D491" s="20"/>
      <c r="E491" s="123"/>
      <c r="F491" s="108"/>
      <c r="G491" s="108"/>
      <c r="I491" s="20"/>
      <c r="J491" s="124"/>
    </row>
    <row r="492">
      <c r="A492" s="128"/>
      <c r="B492" s="129"/>
      <c r="C492" s="129"/>
      <c r="D492" s="20"/>
      <c r="E492" s="123"/>
      <c r="F492" s="108"/>
      <c r="G492" s="108"/>
      <c r="I492" s="20"/>
      <c r="J492" s="124"/>
    </row>
    <row r="493">
      <c r="A493" s="128"/>
      <c r="B493" s="129"/>
      <c r="C493" s="129"/>
      <c r="D493" s="20"/>
      <c r="E493" s="123"/>
      <c r="F493" s="108"/>
      <c r="G493" s="108"/>
      <c r="I493" s="20"/>
      <c r="J493" s="124"/>
    </row>
    <row r="494">
      <c r="A494" s="128"/>
      <c r="B494" s="129"/>
      <c r="C494" s="129"/>
      <c r="D494" s="20"/>
      <c r="E494" s="123"/>
      <c r="F494" s="108"/>
      <c r="G494" s="108"/>
      <c r="I494" s="20"/>
      <c r="J494" s="124"/>
    </row>
    <row r="495">
      <c r="A495" s="128"/>
      <c r="B495" s="129"/>
      <c r="C495" s="129"/>
      <c r="D495" s="20"/>
      <c r="E495" s="123"/>
      <c r="F495" s="108"/>
      <c r="G495" s="108"/>
      <c r="I495" s="20"/>
      <c r="J495" s="124"/>
    </row>
    <row r="496">
      <c r="A496" s="128"/>
      <c r="B496" s="129"/>
      <c r="C496" s="129"/>
      <c r="D496" s="20"/>
      <c r="E496" s="123"/>
      <c r="F496" s="108"/>
      <c r="G496" s="108"/>
      <c r="I496" s="20"/>
      <c r="J496" s="124"/>
    </row>
    <row r="497">
      <c r="A497" s="128"/>
      <c r="B497" s="129"/>
      <c r="C497" s="129"/>
      <c r="D497" s="20"/>
      <c r="E497" s="123"/>
      <c r="F497" s="108"/>
      <c r="G497" s="108"/>
      <c r="I497" s="20"/>
      <c r="J497" s="124"/>
    </row>
    <row r="498">
      <c r="A498" s="128"/>
      <c r="B498" s="129"/>
      <c r="C498" s="129"/>
      <c r="D498" s="20"/>
      <c r="E498" s="123"/>
      <c r="F498" s="108"/>
      <c r="G498" s="108"/>
      <c r="I498" s="20"/>
      <c r="J498" s="124"/>
    </row>
    <row r="499">
      <c r="A499" s="128"/>
      <c r="B499" s="129"/>
      <c r="C499" s="129"/>
      <c r="D499" s="20"/>
      <c r="E499" s="123"/>
      <c r="F499" s="108"/>
      <c r="G499" s="108"/>
      <c r="I499" s="20"/>
      <c r="J499" s="124"/>
    </row>
    <row r="500">
      <c r="A500" s="128"/>
      <c r="B500" s="129"/>
      <c r="C500" s="129"/>
      <c r="D500" s="20"/>
      <c r="E500" s="123"/>
      <c r="F500" s="108"/>
      <c r="G500" s="108"/>
      <c r="I500" s="20"/>
      <c r="J500" s="124"/>
    </row>
    <row r="501">
      <c r="A501" s="128"/>
      <c r="B501" s="129"/>
      <c r="C501" s="129"/>
      <c r="D501" s="20"/>
      <c r="E501" s="123"/>
      <c r="F501" s="108"/>
      <c r="G501" s="108"/>
      <c r="I501" s="20"/>
      <c r="J501" s="124"/>
    </row>
    <row r="502">
      <c r="A502" s="128"/>
      <c r="B502" s="129"/>
      <c r="C502" s="129"/>
      <c r="D502" s="20"/>
      <c r="E502" s="123"/>
      <c r="F502" s="108"/>
      <c r="G502" s="108"/>
      <c r="I502" s="20"/>
      <c r="J502" s="124"/>
    </row>
    <row r="503">
      <c r="A503" s="128"/>
      <c r="B503" s="129"/>
      <c r="C503" s="129"/>
      <c r="D503" s="20"/>
      <c r="E503" s="123"/>
      <c r="F503" s="108"/>
      <c r="G503" s="108"/>
      <c r="I503" s="20"/>
      <c r="J503" s="124"/>
    </row>
    <row r="504">
      <c r="A504" s="128"/>
      <c r="B504" s="129"/>
      <c r="C504" s="129"/>
      <c r="D504" s="20"/>
      <c r="E504" s="123"/>
      <c r="F504" s="108"/>
      <c r="G504" s="108"/>
      <c r="I504" s="20"/>
      <c r="J504" s="124"/>
    </row>
    <row r="505">
      <c r="A505" s="128"/>
      <c r="B505" s="129"/>
      <c r="C505" s="129"/>
      <c r="D505" s="20"/>
      <c r="E505" s="123"/>
      <c r="F505" s="108"/>
      <c r="G505" s="108"/>
      <c r="I505" s="20"/>
      <c r="J505" s="124"/>
    </row>
    <row r="506">
      <c r="A506" s="128"/>
      <c r="B506" s="129"/>
      <c r="C506" s="129"/>
      <c r="D506" s="20"/>
      <c r="E506" s="123"/>
      <c r="F506" s="108"/>
      <c r="G506" s="108"/>
      <c r="I506" s="20"/>
      <c r="J506" s="124"/>
    </row>
    <row r="507">
      <c r="A507" s="128"/>
      <c r="B507" s="129"/>
      <c r="C507" s="129"/>
      <c r="D507" s="20"/>
      <c r="E507" s="123"/>
      <c r="F507" s="108"/>
      <c r="G507" s="108"/>
      <c r="I507" s="20"/>
      <c r="J507" s="124"/>
    </row>
    <row r="508">
      <c r="A508" s="128"/>
      <c r="B508" s="129"/>
      <c r="C508" s="129"/>
      <c r="D508" s="20"/>
      <c r="E508" s="123"/>
      <c r="F508" s="108"/>
      <c r="G508" s="108"/>
      <c r="I508" s="20"/>
      <c r="J508" s="124"/>
    </row>
    <row r="509">
      <c r="A509" s="128"/>
      <c r="B509" s="129"/>
      <c r="C509" s="129"/>
      <c r="D509" s="20"/>
      <c r="E509" s="123"/>
      <c r="F509" s="108"/>
      <c r="G509" s="108"/>
      <c r="I509" s="20"/>
      <c r="J509" s="124"/>
    </row>
    <row r="510">
      <c r="A510" s="128"/>
      <c r="B510" s="129"/>
      <c r="C510" s="129"/>
      <c r="D510" s="20"/>
      <c r="E510" s="123"/>
      <c r="F510" s="108"/>
      <c r="G510" s="108"/>
      <c r="I510" s="20"/>
      <c r="J510" s="124"/>
    </row>
    <row r="511">
      <c r="A511" s="128"/>
      <c r="B511" s="129"/>
      <c r="C511" s="129"/>
      <c r="D511" s="20"/>
      <c r="E511" s="123"/>
      <c r="F511" s="108"/>
      <c r="G511" s="108"/>
      <c r="I511" s="20"/>
      <c r="J511" s="124"/>
    </row>
    <row r="512">
      <c r="A512" s="128"/>
      <c r="B512" s="129"/>
      <c r="C512" s="129"/>
      <c r="D512" s="20"/>
      <c r="E512" s="123"/>
      <c r="F512" s="108"/>
      <c r="G512" s="108"/>
      <c r="I512" s="20"/>
      <c r="J512" s="124"/>
    </row>
    <row r="513">
      <c r="A513" s="128"/>
      <c r="B513" s="129"/>
      <c r="C513" s="129"/>
      <c r="D513" s="20"/>
      <c r="E513" s="123"/>
      <c r="F513" s="108"/>
      <c r="G513" s="108"/>
      <c r="I513" s="20"/>
      <c r="J513" s="124"/>
    </row>
    <row r="514">
      <c r="A514" s="128"/>
      <c r="B514" s="129"/>
      <c r="C514" s="129"/>
      <c r="D514" s="20"/>
      <c r="E514" s="123"/>
      <c r="F514" s="108"/>
      <c r="G514" s="108"/>
      <c r="I514" s="20"/>
      <c r="J514" s="124"/>
    </row>
    <row r="515">
      <c r="A515" s="128"/>
      <c r="B515" s="129"/>
      <c r="C515" s="129"/>
      <c r="D515" s="20"/>
      <c r="E515" s="123"/>
      <c r="F515" s="108"/>
      <c r="G515" s="108"/>
      <c r="I515" s="20"/>
      <c r="J515" s="124"/>
    </row>
    <row r="516">
      <c r="A516" s="128"/>
      <c r="B516" s="129"/>
      <c r="C516" s="129"/>
      <c r="D516" s="20"/>
      <c r="E516" s="123"/>
      <c r="F516" s="108"/>
      <c r="G516" s="108"/>
      <c r="I516" s="20"/>
      <c r="J516" s="124"/>
    </row>
    <row r="517">
      <c r="A517" s="128"/>
      <c r="B517" s="129"/>
      <c r="C517" s="129"/>
      <c r="D517" s="20"/>
      <c r="E517" s="123"/>
      <c r="F517" s="108"/>
      <c r="G517" s="108"/>
      <c r="I517" s="20"/>
      <c r="J517" s="124"/>
    </row>
    <row r="518">
      <c r="A518" s="128"/>
      <c r="B518" s="129"/>
      <c r="C518" s="129"/>
      <c r="D518" s="20"/>
      <c r="E518" s="123"/>
      <c r="F518" s="108"/>
      <c r="G518" s="108"/>
      <c r="I518" s="20"/>
      <c r="J518" s="124"/>
    </row>
    <row r="519">
      <c r="A519" s="128"/>
      <c r="B519" s="129"/>
      <c r="C519" s="129"/>
      <c r="D519" s="20"/>
      <c r="E519" s="123"/>
      <c r="F519" s="108"/>
      <c r="G519" s="108"/>
      <c r="I519" s="20"/>
      <c r="J519" s="124"/>
    </row>
    <row r="520">
      <c r="A520" s="128"/>
      <c r="B520" s="129"/>
      <c r="C520" s="129"/>
      <c r="D520" s="20"/>
      <c r="E520" s="123"/>
      <c r="F520" s="108"/>
      <c r="G520" s="108"/>
      <c r="I520" s="20"/>
      <c r="J520" s="124"/>
    </row>
    <row r="521">
      <c r="A521" s="128"/>
      <c r="B521" s="129"/>
      <c r="C521" s="129"/>
      <c r="D521" s="20"/>
      <c r="E521" s="123"/>
      <c r="F521" s="108"/>
      <c r="G521" s="108"/>
      <c r="I521" s="20"/>
      <c r="J521" s="124"/>
    </row>
    <row r="522">
      <c r="A522" s="128"/>
      <c r="B522" s="129"/>
      <c r="C522" s="129"/>
      <c r="D522" s="20"/>
      <c r="E522" s="123"/>
      <c r="F522" s="108"/>
      <c r="G522" s="108"/>
      <c r="I522" s="20"/>
      <c r="J522" s="124"/>
    </row>
    <row r="523">
      <c r="A523" s="128"/>
      <c r="B523" s="129"/>
      <c r="C523" s="129"/>
      <c r="D523" s="20"/>
      <c r="E523" s="123"/>
      <c r="F523" s="108"/>
      <c r="G523" s="108"/>
      <c r="I523" s="20"/>
      <c r="J523" s="124"/>
    </row>
    <row r="524">
      <c r="A524" s="128"/>
      <c r="B524" s="129"/>
      <c r="C524" s="129"/>
      <c r="D524" s="20"/>
      <c r="E524" s="123"/>
      <c r="F524" s="108"/>
      <c r="G524" s="108"/>
      <c r="I524" s="20"/>
      <c r="J524" s="124"/>
    </row>
    <row r="525">
      <c r="A525" s="128"/>
      <c r="B525" s="129"/>
      <c r="C525" s="129"/>
      <c r="D525" s="20"/>
      <c r="E525" s="123"/>
      <c r="F525" s="108"/>
      <c r="G525" s="108"/>
      <c r="I525" s="20"/>
      <c r="J525" s="124"/>
    </row>
    <row r="526">
      <c r="A526" s="128"/>
      <c r="B526" s="129"/>
      <c r="C526" s="129"/>
      <c r="D526" s="20"/>
      <c r="E526" s="123"/>
      <c r="F526" s="108"/>
      <c r="G526" s="108"/>
      <c r="I526" s="20"/>
      <c r="J526" s="124"/>
    </row>
    <row r="527">
      <c r="A527" s="128"/>
      <c r="B527" s="129"/>
      <c r="C527" s="129"/>
      <c r="D527" s="20"/>
      <c r="E527" s="123"/>
      <c r="F527" s="108"/>
      <c r="G527" s="108"/>
      <c r="I527" s="20"/>
      <c r="J527" s="124"/>
    </row>
    <row r="528">
      <c r="A528" s="128"/>
      <c r="B528" s="129"/>
      <c r="C528" s="129"/>
      <c r="D528" s="20"/>
      <c r="E528" s="123"/>
      <c r="F528" s="108"/>
      <c r="G528" s="108"/>
      <c r="I528" s="20"/>
      <c r="J528" s="124"/>
    </row>
    <row r="529">
      <c r="A529" s="128"/>
      <c r="B529" s="129"/>
      <c r="C529" s="129"/>
      <c r="D529" s="20"/>
      <c r="E529" s="123"/>
      <c r="F529" s="108"/>
      <c r="G529" s="108"/>
      <c r="I529" s="20"/>
      <c r="J529" s="124"/>
    </row>
    <row r="530">
      <c r="A530" s="128"/>
      <c r="B530" s="129"/>
      <c r="C530" s="129"/>
      <c r="D530" s="20"/>
      <c r="E530" s="123"/>
      <c r="F530" s="108"/>
      <c r="G530" s="108"/>
      <c r="I530" s="20"/>
      <c r="J530" s="124"/>
    </row>
    <row r="531">
      <c r="A531" s="128"/>
      <c r="B531" s="129"/>
      <c r="C531" s="129"/>
      <c r="D531" s="20"/>
      <c r="E531" s="123"/>
      <c r="F531" s="108"/>
      <c r="G531" s="108"/>
      <c r="I531" s="20"/>
      <c r="J531" s="124"/>
    </row>
    <row r="532">
      <c r="A532" s="128"/>
      <c r="B532" s="129"/>
      <c r="C532" s="129"/>
      <c r="D532" s="20"/>
      <c r="E532" s="123"/>
      <c r="F532" s="108"/>
      <c r="G532" s="108"/>
      <c r="I532" s="20"/>
      <c r="J532" s="124"/>
    </row>
    <row r="533">
      <c r="A533" s="128"/>
      <c r="B533" s="129"/>
      <c r="C533" s="129"/>
      <c r="D533" s="20"/>
      <c r="E533" s="123"/>
      <c r="F533" s="108"/>
      <c r="G533" s="108"/>
      <c r="I533" s="20"/>
      <c r="J533" s="124"/>
    </row>
    <row r="534">
      <c r="A534" s="128"/>
      <c r="B534" s="129"/>
      <c r="C534" s="129"/>
      <c r="D534" s="20"/>
      <c r="E534" s="123"/>
      <c r="F534" s="108"/>
      <c r="G534" s="108"/>
      <c r="I534" s="20"/>
      <c r="J534" s="124"/>
    </row>
    <row r="535">
      <c r="A535" s="128"/>
      <c r="B535" s="129"/>
      <c r="C535" s="129"/>
      <c r="D535" s="20"/>
      <c r="E535" s="123"/>
      <c r="F535" s="108"/>
      <c r="G535" s="108"/>
      <c r="I535" s="20"/>
      <c r="J535" s="124"/>
    </row>
    <row r="536">
      <c r="A536" s="128"/>
      <c r="B536" s="129"/>
      <c r="C536" s="129"/>
      <c r="D536" s="20"/>
      <c r="E536" s="123"/>
      <c r="F536" s="108"/>
      <c r="G536" s="108"/>
      <c r="I536" s="20"/>
      <c r="J536" s="124"/>
    </row>
    <row r="537">
      <c r="A537" s="128"/>
      <c r="B537" s="129"/>
      <c r="C537" s="129"/>
      <c r="D537" s="20"/>
      <c r="E537" s="123"/>
      <c r="F537" s="108"/>
      <c r="G537" s="108"/>
      <c r="I537" s="20"/>
      <c r="J537" s="124"/>
    </row>
    <row r="538">
      <c r="A538" s="128"/>
      <c r="B538" s="129"/>
      <c r="C538" s="129"/>
      <c r="D538" s="20"/>
      <c r="E538" s="123"/>
      <c r="F538" s="108"/>
      <c r="G538" s="108"/>
      <c r="I538" s="20"/>
      <c r="J538" s="124"/>
    </row>
    <row r="539">
      <c r="A539" s="128"/>
      <c r="B539" s="129"/>
      <c r="C539" s="129"/>
      <c r="D539" s="20"/>
      <c r="E539" s="123"/>
      <c r="F539" s="108"/>
      <c r="G539" s="108"/>
      <c r="I539" s="20"/>
      <c r="J539" s="124"/>
    </row>
    <row r="540">
      <c r="A540" s="128"/>
      <c r="B540" s="129"/>
      <c r="C540" s="129"/>
      <c r="D540" s="20"/>
      <c r="E540" s="123"/>
      <c r="F540" s="108"/>
      <c r="G540" s="108"/>
      <c r="I540" s="20"/>
      <c r="J540" s="124"/>
    </row>
    <row r="541">
      <c r="A541" s="128"/>
      <c r="B541" s="129"/>
      <c r="C541" s="129"/>
      <c r="D541" s="20"/>
      <c r="E541" s="123"/>
      <c r="F541" s="108"/>
      <c r="G541" s="108"/>
      <c r="I541" s="20"/>
      <c r="J541" s="124"/>
    </row>
    <row r="542">
      <c r="A542" s="128"/>
      <c r="B542" s="129"/>
      <c r="C542" s="129"/>
      <c r="D542" s="20"/>
      <c r="E542" s="123"/>
      <c r="F542" s="108"/>
      <c r="G542" s="108"/>
      <c r="I542" s="20"/>
      <c r="J542" s="124"/>
    </row>
    <row r="543">
      <c r="A543" s="128"/>
      <c r="B543" s="129"/>
      <c r="C543" s="129"/>
      <c r="D543" s="20"/>
      <c r="E543" s="123"/>
      <c r="F543" s="108"/>
      <c r="G543" s="108"/>
      <c r="I543" s="20"/>
      <c r="J543" s="124"/>
    </row>
    <row r="544">
      <c r="A544" s="128"/>
      <c r="B544" s="129"/>
      <c r="C544" s="129"/>
      <c r="D544" s="20"/>
      <c r="E544" s="123"/>
      <c r="F544" s="108"/>
      <c r="G544" s="108"/>
      <c r="I544" s="20"/>
      <c r="J544" s="124"/>
    </row>
    <row r="545">
      <c r="A545" s="128"/>
      <c r="B545" s="129"/>
      <c r="C545" s="129"/>
      <c r="D545" s="20"/>
      <c r="E545" s="123"/>
      <c r="F545" s="108"/>
      <c r="G545" s="108"/>
      <c r="I545" s="20"/>
      <c r="J545" s="124"/>
    </row>
    <row r="546">
      <c r="A546" s="128"/>
      <c r="B546" s="129"/>
      <c r="C546" s="129"/>
      <c r="D546" s="20"/>
      <c r="E546" s="123"/>
      <c r="F546" s="108"/>
      <c r="G546" s="108"/>
      <c r="I546" s="20"/>
      <c r="J546" s="124"/>
    </row>
    <row r="547">
      <c r="A547" s="128"/>
      <c r="B547" s="129"/>
      <c r="C547" s="129"/>
      <c r="D547" s="20"/>
      <c r="E547" s="123"/>
      <c r="F547" s="108"/>
      <c r="G547" s="108"/>
      <c r="I547" s="20"/>
      <c r="J547" s="124"/>
    </row>
    <row r="548">
      <c r="A548" s="128"/>
      <c r="B548" s="129"/>
      <c r="C548" s="129"/>
      <c r="D548" s="20"/>
      <c r="E548" s="123"/>
      <c r="F548" s="108"/>
      <c r="G548" s="108"/>
      <c r="I548" s="20"/>
      <c r="J548" s="124"/>
    </row>
    <row r="549">
      <c r="A549" s="128"/>
      <c r="B549" s="129"/>
      <c r="C549" s="129"/>
      <c r="D549" s="20"/>
      <c r="E549" s="123"/>
      <c r="F549" s="108"/>
      <c r="G549" s="108"/>
      <c r="I549" s="20"/>
      <c r="J549" s="124"/>
    </row>
    <row r="550">
      <c r="A550" s="128"/>
      <c r="B550" s="129"/>
      <c r="C550" s="129"/>
      <c r="D550" s="20"/>
      <c r="E550" s="123"/>
      <c r="F550" s="108"/>
      <c r="G550" s="108"/>
      <c r="I550" s="20"/>
      <c r="J550" s="124"/>
    </row>
    <row r="551">
      <c r="A551" s="128"/>
      <c r="B551" s="129"/>
      <c r="C551" s="129"/>
      <c r="D551" s="20"/>
      <c r="E551" s="123"/>
      <c r="F551" s="108"/>
      <c r="G551" s="108"/>
      <c r="I551" s="20"/>
      <c r="J551" s="124"/>
    </row>
    <row r="552">
      <c r="A552" s="128"/>
      <c r="B552" s="129"/>
      <c r="C552" s="129"/>
      <c r="D552" s="20"/>
      <c r="E552" s="123"/>
      <c r="F552" s="108"/>
      <c r="G552" s="108"/>
      <c r="I552" s="20"/>
      <c r="J552" s="124"/>
    </row>
    <row r="553">
      <c r="A553" s="128"/>
      <c r="B553" s="129"/>
      <c r="C553" s="129"/>
      <c r="D553" s="20"/>
      <c r="E553" s="123"/>
      <c r="F553" s="108"/>
      <c r="G553" s="108"/>
      <c r="I553" s="20"/>
      <c r="J553" s="124"/>
    </row>
    <row r="554">
      <c r="A554" s="128"/>
      <c r="B554" s="129"/>
      <c r="C554" s="129"/>
      <c r="D554" s="20"/>
      <c r="E554" s="123"/>
      <c r="F554" s="108"/>
      <c r="G554" s="108"/>
      <c r="I554" s="20"/>
      <c r="J554" s="124"/>
    </row>
    <row r="555">
      <c r="A555" s="128"/>
      <c r="B555" s="129"/>
      <c r="C555" s="129"/>
      <c r="D555" s="20"/>
      <c r="E555" s="123"/>
      <c r="F555" s="108"/>
      <c r="G555" s="108"/>
      <c r="I555" s="20"/>
      <c r="J555" s="124"/>
    </row>
    <row r="556">
      <c r="A556" s="128"/>
      <c r="B556" s="129"/>
      <c r="C556" s="129"/>
      <c r="D556" s="20"/>
      <c r="E556" s="123"/>
      <c r="F556" s="108"/>
      <c r="G556" s="108"/>
      <c r="I556" s="20"/>
      <c r="J556" s="124"/>
    </row>
    <row r="557">
      <c r="A557" s="128"/>
      <c r="B557" s="129"/>
      <c r="C557" s="129"/>
      <c r="D557" s="20"/>
      <c r="E557" s="123"/>
      <c r="F557" s="108"/>
      <c r="G557" s="108"/>
      <c r="I557" s="20"/>
      <c r="J557" s="124"/>
    </row>
    <row r="558">
      <c r="A558" s="128"/>
      <c r="B558" s="129"/>
      <c r="C558" s="129"/>
      <c r="D558" s="20"/>
      <c r="E558" s="123"/>
      <c r="F558" s="108"/>
      <c r="G558" s="108"/>
      <c r="I558" s="20"/>
      <c r="J558" s="124"/>
    </row>
    <row r="559">
      <c r="A559" s="128"/>
      <c r="B559" s="129"/>
      <c r="C559" s="129"/>
      <c r="D559" s="20"/>
      <c r="E559" s="123"/>
      <c r="F559" s="108"/>
      <c r="G559" s="108"/>
      <c r="I559" s="20"/>
      <c r="J559" s="124"/>
    </row>
    <row r="560">
      <c r="A560" s="128"/>
      <c r="B560" s="129"/>
      <c r="C560" s="129"/>
      <c r="D560" s="20"/>
      <c r="E560" s="123"/>
      <c r="F560" s="108"/>
      <c r="G560" s="108"/>
      <c r="I560" s="20"/>
      <c r="J560" s="124"/>
    </row>
    <row r="561">
      <c r="A561" s="128"/>
      <c r="B561" s="129"/>
      <c r="C561" s="129"/>
      <c r="D561" s="20"/>
      <c r="E561" s="123"/>
      <c r="F561" s="108"/>
      <c r="G561" s="108"/>
      <c r="I561" s="20"/>
      <c r="J561" s="124"/>
    </row>
    <row r="562">
      <c r="A562" s="128"/>
      <c r="B562" s="129"/>
      <c r="C562" s="129"/>
      <c r="D562" s="20"/>
      <c r="E562" s="123"/>
      <c r="F562" s="108"/>
      <c r="G562" s="108"/>
      <c r="I562" s="20"/>
      <c r="J562" s="124"/>
    </row>
    <row r="563">
      <c r="A563" s="128"/>
      <c r="B563" s="129"/>
      <c r="C563" s="129"/>
      <c r="D563" s="20"/>
      <c r="E563" s="123"/>
      <c r="F563" s="108"/>
      <c r="G563" s="108"/>
      <c r="I563" s="20"/>
      <c r="J563" s="124"/>
    </row>
    <row r="564">
      <c r="A564" s="128"/>
      <c r="B564" s="129"/>
      <c r="C564" s="129"/>
      <c r="D564" s="20"/>
      <c r="E564" s="123"/>
      <c r="F564" s="108"/>
      <c r="G564" s="108"/>
      <c r="I564" s="20"/>
      <c r="J564" s="124"/>
    </row>
    <row r="565">
      <c r="A565" s="128"/>
      <c r="B565" s="129"/>
      <c r="C565" s="129"/>
      <c r="D565" s="20"/>
      <c r="E565" s="123"/>
      <c r="F565" s="108"/>
      <c r="G565" s="108"/>
      <c r="I565" s="20"/>
      <c r="J565" s="124"/>
    </row>
    <row r="566">
      <c r="A566" s="128"/>
      <c r="B566" s="129"/>
      <c r="C566" s="129"/>
      <c r="D566" s="20"/>
      <c r="E566" s="123"/>
      <c r="F566" s="108"/>
      <c r="G566" s="108"/>
      <c r="I566" s="20"/>
      <c r="J566" s="124"/>
    </row>
    <row r="567">
      <c r="A567" s="128"/>
      <c r="B567" s="129"/>
      <c r="C567" s="129"/>
      <c r="D567" s="20"/>
      <c r="E567" s="123"/>
      <c r="F567" s="108"/>
      <c r="G567" s="108"/>
      <c r="I567" s="20"/>
      <c r="J567" s="124"/>
    </row>
    <row r="568">
      <c r="A568" s="128"/>
      <c r="B568" s="129"/>
      <c r="C568" s="129"/>
      <c r="D568" s="20"/>
      <c r="E568" s="123"/>
      <c r="F568" s="108"/>
      <c r="G568" s="108"/>
      <c r="I568" s="20"/>
      <c r="J568" s="124"/>
    </row>
    <row r="569">
      <c r="A569" s="128"/>
      <c r="B569" s="129"/>
      <c r="C569" s="129"/>
      <c r="D569" s="20"/>
      <c r="E569" s="123"/>
      <c r="F569" s="108"/>
      <c r="G569" s="108"/>
      <c r="I569" s="20"/>
      <c r="J569" s="124"/>
    </row>
    <row r="570">
      <c r="A570" s="128"/>
      <c r="B570" s="129"/>
      <c r="C570" s="129"/>
      <c r="D570" s="20"/>
      <c r="E570" s="123"/>
      <c r="F570" s="108"/>
      <c r="G570" s="108"/>
      <c r="I570" s="20"/>
      <c r="J570" s="124"/>
    </row>
    <row r="571">
      <c r="A571" s="128"/>
      <c r="B571" s="129"/>
      <c r="C571" s="129"/>
      <c r="D571" s="20"/>
      <c r="E571" s="123"/>
      <c r="F571" s="108"/>
      <c r="G571" s="108"/>
      <c r="I571" s="20"/>
      <c r="J571" s="124"/>
    </row>
    <row r="572">
      <c r="A572" s="128"/>
      <c r="B572" s="129"/>
      <c r="C572" s="129"/>
      <c r="D572" s="20"/>
      <c r="E572" s="123"/>
      <c r="F572" s="108"/>
      <c r="G572" s="108"/>
      <c r="I572" s="20"/>
      <c r="J572" s="124"/>
    </row>
    <row r="573">
      <c r="A573" s="128"/>
      <c r="B573" s="129"/>
      <c r="C573" s="129"/>
      <c r="D573" s="20"/>
      <c r="E573" s="123"/>
      <c r="F573" s="108"/>
      <c r="G573" s="108"/>
      <c r="I573" s="20"/>
      <c r="J573" s="124"/>
    </row>
    <row r="574">
      <c r="A574" s="128"/>
      <c r="B574" s="129"/>
      <c r="C574" s="129"/>
      <c r="D574" s="20"/>
      <c r="E574" s="123"/>
      <c r="F574" s="108"/>
      <c r="G574" s="108"/>
      <c r="I574" s="20"/>
      <c r="J574" s="124"/>
    </row>
    <row r="575">
      <c r="A575" s="128"/>
      <c r="B575" s="129"/>
      <c r="C575" s="129"/>
      <c r="D575" s="20"/>
      <c r="E575" s="123"/>
      <c r="F575" s="108"/>
      <c r="G575" s="108"/>
      <c r="I575" s="20"/>
      <c r="J575" s="124"/>
    </row>
    <row r="576">
      <c r="A576" s="128"/>
      <c r="B576" s="129"/>
      <c r="C576" s="129"/>
      <c r="D576" s="20"/>
      <c r="E576" s="123"/>
      <c r="F576" s="108"/>
      <c r="G576" s="108"/>
      <c r="I576" s="20"/>
      <c r="J576" s="124"/>
    </row>
    <row r="577">
      <c r="A577" s="128"/>
      <c r="B577" s="129"/>
      <c r="C577" s="129"/>
      <c r="D577" s="20"/>
      <c r="E577" s="123"/>
      <c r="F577" s="108"/>
      <c r="G577" s="108"/>
      <c r="I577" s="20"/>
      <c r="J577" s="124"/>
    </row>
    <row r="578">
      <c r="A578" s="128"/>
      <c r="B578" s="129"/>
      <c r="C578" s="129"/>
      <c r="D578" s="20"/>
      <c r="E578" s="123"/>
      <c r="F578" s="108"/>
      <c r="G578" s="108"/>
      <c r="I578" s="20"/>
      <c r="J578" s="124"/>
    </row>
    <row r="579">
      <c r="A579" s="128"/>
      <c r="B579" s="129"/>
      <c r="C579" s="129"/>
      <c r="D579" s="20"/>
      <c r="E579" s="123"/>
      <c r="F579" s="108"/>
      <c r="G579" s="108"/>
      <c r="I579" s="20"/>
      <c r="J579" s="124"/>
    </row>
    <row r="580">
      <c r="A580" s="128"/>
      <c r="B580" s="129"/>
      <c r="C580" s="129"/>
      <c r="D580" s="20"/>
      <c r="E580" s="123"/>
      <c r="F580" s="108"/>
      <c r="G580" s="108"/>
      <c r="I580" s="20"/>
      <c r="J580" s="124"/>
    </row>
    <row r="581">
      <c r="A581" s="128"/>
      <c r="B581" s="129"/>
      <c r="C581" s="129"/>
      <c r="D581" s="20"/>
      <c r="E581" s="123"/>
      <c r="F581" s="108"/>
      <c r="G581" s="108"/>
      <c r="I581" s="20"/>
      <c r="J581" s="124"/>
    </row>
    <row r="582">
      <c r="A582" s="128"/>
      <c r="B582" s="129"/>
      <c r="C582" s="129"/>
      <c r="D582" s="20"/>
      <c r="E582" s="123"/>
      <c r="F582" s="108"/>
      <c r="G582" s="108"/>
      <c r="I582" s="20"/>
      <c r="J582" s="124"/>
    </row>
    <row r="583">
      <c r="A583" s="128"/>
      <c r="B583" s="129"/>
      <c r="C583" s="129"/>
      <c r="D583" s="20"/>
      <c r="E583" s="123"/>
      <c r="F583" s="108"/>
      <c r="G583" s="108"/>
      <c r="I583" s="20"/>
      <c r="J583" s="124"/>
    </row>
    <row r="584">
      <c r="A584" s="128"/>
      <c r="B584" s="129"/>
      <c r="C584" s="129"/>
      <c r="D584" s="20"/>
      <c r="E584" s="123"/>
      <c r="F584" s="108"/>
      <c r="G584" s="108"/>
      <c r="I584" s="20"/>
      <c r="J584" s="124"/>
    </row>
    <row r="585">
      <c r="A585" s="128"/>
      <c r="B585" s="129"/>
      <c r="C585" s="129"/>
      <c r="D585" s="20"/>
      <c r="E585" s="123"/>
      <c r="F585" s="108"/>
      <c r="G585" s="108"/>
      <c r="I585" s="20"/>
      <c r="J585" s="124"/>
    </row>
    <row r="586">
      <c r="A586" s="128"/>
      <c r="B586" s="129"/>
      <c r="C586" s="129"/>
      <c r="D586" s="20"/>
      <c r="E586" s="123"/>
      <c r="F586" s="108"/>
      <c r="G586" s="108"/>
      <c r="I586" s="20"/>
      <c r="J586" s="124"/>
    </row>
    <row r="587">
      <c r="A587" s="128"/>
      <c r="B587" s="129"/>
      <c r="C587" s="129"/>
      <c r="D587" s="20"/>
      <c r="E587" s="123"/>
      <c r="F587" s="108"/>
      <c r="G587" s="108"/>
      <c r="I587" s="20"/>
      <c r="J587" s="124"/>
    </row>
    <row r="588">
      <c r="A588" s="128"/>
      <c r="B588" s="129"/>
      <c r="C588" s="129"/>
      <c r="D588" s="20"/>
      <c r="E588" s="123"/>
      <c r="F588" s="108"/>
      <c r="G588" s="108"/>
      <c r="I588" s="20"/>
      <c r="J588" s="124"/>
    </row>
    <row r="589">
      <c r="A589" s="128"/>
      <c r="B589" s="129"/>
      <c r="C589" s="129"/>
      <c r="D589" s="20"/>
      <c r="E589" s="123"/>
      <c r="F589" s="108"/>
      <c r="G589" s="108"/>
      <c r="I589" s="20"/>
      <c r="J589" s="124"/>
    </row>
    <row r="590">
      <c r="A590" s="128"/>
      <c r="B590" s="129"/>
      <c r="C590" s="129"/>
      <c r="D590" s="20"/>
      <c r="E590" s="123"/>
      <c r="F590" s="108"/>
      <c r="G590" s="108"/>
      <c r="I590" s="20"/>
      <c r="J590" s="124"/>
    </row>
    <row r="591">
      <c r="A591" s="128"/>
      <c r="B591" s="129"/>
      <c r="C591" s="129"/>
      <c r="D591" s="20"/>
      <c r="E591" s="123"/>
      <c r="F591" s="108"/>
      <c r="G591" s="108"/>
      <c r="I591" s="20"/>
      <c r="J591" s="124"/>
    </row>
    <row r="592">
      <c r="A592" s="128"/>
      <c r="B592" s="129"/>
      <c r="C592" s="129"/>
      <c r="D592" s="20"/>
      <c r="E592" s="123"/>
      <c r="F592" s="108"/>
      <c r="G592" s="108"/>
      <c r="I592" s="20"/>
      <c r="J592" s="124"/>
    </row>
    <row r="593">
      <c r="A593" s="128"/>
      <c r="B593" s="129"/>
      <c r="C593" s="129"/>
      <c r="D593" s="20"/>
      <c r="E593" s="123"/>
      <c r="F593" s="108"/>
      <c r="G593" s="108"/>
      <c r="I593" s="20"/>
      <c r="J593" s="124"/>
    </row>
    <row r="594">
      <c r="A594" s="128"/>
      <c r="B594" s="129"/>
      <c r="C594" s="129"/>
      <c r="D594" s="20"/>
      <c r="E594" s="123"/>
      <c r="F594" s="108"/>
      <c r="G594" s="108"/>
      <c r="I594" s="20"/>
      <c r="J594" s="124"/>
    </row>
    <row r="595">
      <c r="A595" s="128"/>
      <c r="B595" s="129"/>
      <c r="C595" s="129"/>
      <c r="D595" s="20"/>
      <c r="E595" s="123"/>
      <c r="F595" s="108"/>
      <c r="G595" s="108"/>
      <c r="I595" s="20"/>
      <c r="J595" s="124"/>
    </row>
    <row r="596">
      <c r="A596" s="128"/>
      <c r="B596" s="129"/>
      <c r="C596" s="129"/>
      <c r="D596" s="20"/>
      <c r="E596" s="123"/>
      <c r="F596" s="108"/>
      <c r="G596" s="108"/>
      <c r="I596" s="20"/>
      <c r="J596" s="124"/>
    </row>
    <row r="597">
      <c r="A597" s="128"/>
      <c r="B597" s="129"/>
      <c r="C597" s="129"/>
      <c r="D597" s="20"/>
      <c r="E597" s="123"/>
      <c r="F597" s="108"/>
      <c r="G597" s="108"/>
      <c r="I597" s="20"/>
      <c r="J597" s="124"/>
    </row>
    <row r="598">
      <c r="A598" s="128"/>
      <c r="B598" s="129"/>
      <c r="C598" s="129"/>
      <c r="D598" s="20"/>
      <c r="E598" s="123"/>
      <c r="F598" s="108"/>
      <c r="G598" s="108"/>
      <c r="I598" s="20"/>
      <c r="J598" s="124"/>
    </row>
    <row r="599">
      <c r="A599" s="128"/>
      <c r="B599" s="129"/>
      <c r="C599" s="129"/>
      <c r="D599" s="20"/>
      <c r="E599" s="123"/>
      <c r="F599" s="108"/>
      <c r="G599" s="108"/>
      <c r="I599" s="20"/>
      <c r="J599" s="124"/>
    </row>
    <row r="600">
      <c r="A600" s="128"/>
      <c r="B600" s="129"/>
      <c r="C600" s="129"/>
      <c r="D600" s="20"/>
      <c r="E600" s="123"/>
      <c r="F600" s="108"/>
      <c r="G600" s="108"/>
      <c r="I600" s="20"/>
      <c r="J600" s="124"/>
    </row>
    <row r="601">
      <c r="A601" s="128"/>
      <c r="B601" s="129"/>
      <c r="C601" s="129"/>
      <c r="D601" s="20"/>
      <c r="E601" s="123"/>
      <c r="F601" s="108"/>
      <c r="G601" s="108"/>
      <c r="I601" s="20"/>
      <c r="J601" s="124"/>
    </row>
    <row r="602">
      <c r="A602" s="128"/>
      <c r="B602" s="129"/>
      <c r="C602" s="129"/>
      <c r="D602" s="20"/>
      <c r="E602" s="123"/>
      <c r="F602" s="108"/>
      <c r="G602" s="108"/>
      <c r="I602" s="20"/>
      <c r="J602" s="124"/>
    </row>
    <row r="603">
      <c r="A603" s="128"/>
      <c r="B603" s="129"/>
      <c r="C603" s="129"/>
      <c r="D603" s="20"/>
      <c r="E603" s="123"/>
      <c r="F603" s="108"/>
      <c r="G603" s="108"/>
      <c r="I603" s="20"/>
      <c r="J603" s="124"/>
    </row>
    <row r="604">
      <c r="A604" s="128"/>
      <c r="B604" s="129"/>
      <c r="C604" s="129"/>
      <c r="D604" s="20"/>
      <c r="E604" s="123"/>
      <c r="F604" s="108"/>
      <c r="G604" s="108"/>
      <c r="I604" s="20"/>
      <c r="J604" s="124"/>
    </row>
    <row r="605">
      <c r="A605" s="128"/>
      <c r="B605" s="129"/>
      <c r="C605" s="129"/>
      <c r="D605" s="20"/>
      <c r="E605" s="123"/>
      <c r="F605" s="108"/>
      <c r="G605" s="108"/>
      <c r="I605" s="20"/>
      <c r="J605" s="124"/>
    </row>
    <row r="606">
      <c r="A606" s="128"/>
      <c r="B606" s="129"/>
      <c r="C606" s="129"/>
      <c r="D606" s="20"/>
      <c r="E606" s="123"/>
      <c r="F606" s="108"/>
      <c r="G606" s="108"/>
      <c r="I606" s="20"/>
      <c r="J606" s="124"/>
    </row>
    <row r="607">
      <c r="A607" s="128"/>
      <c r="B607" s="129"/>
      <c r="C607" s="129"/>
      <c r="D607" s="20"/>
      <c r="E607" s="123"/>
      <c r="F607" s="108"/>
      <c r="G607" s="108"/>
      <c r="I607" s="20"/>
      <c r="J607" s="124"/>
    </row>
    <row r="608">
      <c r="A608" s="128"/>
      <c r="B608" s="129"/>
      <c r="C608" s="129"/>
      <c r="D608" s="20"/>
      <c r="E608" s="123"/>
      <c r="F608" s="108"/>
      <c r="G608" s="108"/>
      <c r="I608" s="20"/>
      <c r="J608" s="124"/>
    </row>
    <row r="609">
      <c r="A609" s="128"/>
      <c r="B609" s="129"/>
      <c r="C609" s="129"/>
      <c r="D609" s="20"/>
      <c r="E609" s="123"/>
      <c r="F609" s="108"/>
      <c r="G609" s="108"/>
      <c r="I609" s="20"/>
      <c r="J609" s="124"/>
    </row>
    <row r="610">
      <c r="A610" s="128"/>
      <c r="B610" s="129"/>
      <c r="C610" s="129"/>
      <c r="D610" s="20"/>
      <c r="E610" s="123"/>
      <c r="F610" s="108"/>
      <c r="G610" s="108"/>
      <c r="I610" s="20"/>
      <c r="J610" s="124"/>
    </row>
    <row r="611">
      <c r="A611" s="128"/>
      <c r="B611" s="129"/>
      <c r="C611" s="129"/>
      <c r="D611" s="20"/>
      <c r="E611" s="123"/>
      <c r="F611" s="108"/>
      <c r="G611" s="108"/>
      <c r="I611" s="20"/>
      <c r="J611" s="124"/>
    </row>
    <row r="612">
      <c r="A612" s="128"/>
      <c r="B612" s="129"/>
      <c r="C612" s="129"/>
      <c r="D612" s="20"/>
      <c r="E612" s="123"/>
      <c r="F612" s="108"/>
      <c r="G612" s="108"/>
      <c r="I612" s="20"/>
      <c r="J612" s="124"/>
    </row>
    <row r="613">
      <c r="A613" s="128"/>
      <c r="B613" s="129"/>
      <c r="C613" s="129"/>
      <c r="D613" s="20"/>
      <c r="E613" s="123"/>
      <c r="F613" s="108"/>
      <c r="G613" s="108"/>
      <c r="I613" s="20"/>
      <c r="J613" s="124"/>
    </row>
    <row r="614">
      <c r="A614" s="128"/>
      <c r="B614" s="129"/>
      <c r="C614" s="129"/>
      <c r="D614" s="20"/>
      <c r="E614" s="123"/>
      <c r="F614" s="108"/>
      <c r="G614" s="108"/>
      <c r="I614" s="20"/>
      <c r="J614" s="124"/>
    </row>
    <row r="615">
      <c r="A615" s="128"/>
      <c r="B615" s="129"/>
      <c r="C615" s="129"/>
      <c r="D615" s="20"/>
      <c r="E615" s="123"/>
      <c r="F615" s="108"/>
      <c r="G615" s="108"/>
      <c r="I615" s="20"/>
      <c r="J615" s="124"/>
    </row>
    <row r="616">
      <c r="A616" s="128"/>
      <c r="B616" s="129"/>
      <c r="C616" s="129"/>
      <c r="D616" s="20"/>
      <c r="E616" s="123"/>
      <c r="F616" s="108"/>
      <c r="G616" s="108"/>
      <c r="I616" s="20"/>
      <c r="J616" s="124"/>
    </row>
    <row r="617">
      <c r="A617" s="128"/>
      <c r="B617" s="129"/>
      <c r="C617" s="129"/>
      <c r="D617" s="20"/>
      <c r="E617" s="123"/>
      <c r="F617" s="108"/>
      <c r="G617" s="108"/>
      <c r="I617" s="20"/>
      <c r="J617" s="124"/>
    </row>
    <row r="618">
      <c r="A618" s="128"/>
      <c r="B618" s="129"/>
      <c r="C618" s="129"/>
      <c r="D618" s="20"/>
      <c r="E618" s="123"/>
      <c r="F618" s="108"/>
      <c r="G618" s="108"/>
      <c r="I618" s="20"/>
      <c r="J618" s="124"/>
    </row>
    <row r="619">
      <c r="A619" s="128"/>
      <c r="B619" s="129"/>
      <c r="C619" s="129"/>
      <c r="D619" s="20"/>
      <c r="E619" s="123"/>
      <c r="F619" s="108"/>
      <c r="G619" s="108"/>
      <c r="I619" s="20"/>
      <c r="J619" s="124"/>
    </row>
    <row r="620">
      <c r="A620" s="128"/>
      <c r="B620" s="129"/>
      <c r="C620" s="129"/>
      <c r="D620" s="20"/>
      <c r="E620" s="123"/>
      <c r="F620" s="108"/>
      <c r="G620" s="108"/>
      <c r="I620" s="20"/>
      <c r="J620" s="124"/>
    </row>
    <row r="621">
      <c r="A621" s="128"/>
      <c r="B621" s="129"/>
      <c r="C621" s="129"/>
      <c r="D621" s="20"/>
      <c r="E621" s="123"/>
      <c r="F621" s="108"/>
      <c r="G621" s="108"/>
      <c r="I621" s="20"/>
      <c r="J621" s="124"/>
    </row>
    <row r="622">
      <c r="A622" s="128"/>
      <c r="B622" s="129"/>
      <c r="C622" s="129"/>
      <c r="D622" s="20"/>
      <c r="E622" s="123"/>
      <c r="F622" s="108"/>
      <c r="G622" s="108"/>
      <c r="I622" s="20"/>
      <c r="J622" s="124"/>
    </row>
    <row r="623">
      <c r="A623" s="128"/>
      <c r="B623" s="129"/>
      <c r="C623" s="129"/>
      <c r="D623" s="20"/>
      <c r="E623" s="123"/>
      <c r="F623" s="108"/>
      <c r="G623" s="108"/>
      <c r="I623" s="20"/>
      <c r="J623" s="124"/>
    </row>
    <row r="624">
      <c r="A624" s="128"/>
      <c r="B624" s="129"/>
      <c r="C624" s="129"/>
      <c r="D624" s="20"/>
      <c r="E624" s="123"/>
      <c r="F624" s="108"/>
      <c r="G624" s="108"/>
      <c r="I624" s="20"/>
      <c r="J624" s="124"/>
    </row>
    <row r="625">
      <c r="A625" s="128"/>
      <c r="B625" s="129"/>
      <c r="C625" s="129"/>
      <c r="D625" s="20"/>
      <c r="E625" s="123"/>
      <c r="F625" s="108"/>
      <c r="G625" s="108"/>
      <c r="I625" s="20"/>
      <c r="J625" s="124"/>
    </row>
    <row r="626">
      <c r="A626" s="128"/>
      <c r="B626" s="129"/>
      <c r="C626" s="129"/>
      <c r="D626" s="20"/>
      <c r="E626" s="123"/>
      <c r="F626" s="108"/>
      <c r="G626" s="108"/>
      <c r="I626" s="20"/>
      <c r="J626" s="124"/>
    </row>
    <row r="627">
      <c r="A627" s="128"/>
      <c r="B627" s="129"/>
      <c r="C627" s="129"/>
      <c r="D627" s="20"/>
      <c r="E627" s="123"/>
      <c r="F627" s="108"/>
      <c r="G627" s="108"/>
      <c r="I627" s="20"/>
      <c r="J627" s="124"/>
    </row>
    <row r="628">
      <c r="A628" s="128"/>
      <c r="B628" s="129"/>
      <c r="C628" s="129"/>
      <c r="D628" s="20"/>
      <c r="E628" s="123"/>
      <c r="F628" s="108"/>
      <c r="G628" s="108"/>
      <c r="I628" s="20"/>
      <c r="J628" s="124"/>
    </row>
    <row r="629">
      <c r="A629" s="128"/>
      <c r="B629" s="129"/>
      <c r="C629" s="129"/>
      <c r="D629" s="20"/>
      <c r="E629" s="123"/>
      <c r="F629" s="108"/>
      <c r="G629" s="108"/>
      <c r="I629" s="20"/>
      <c r="J629" s="124"/>
    </row>
    <row r="630">
      <c r="A630" s="128"/>
      <c r="B630" s="129"/>
      <c r="C630" s="129"/>
      <c r="D630" s="20"/>
      <c r="E630" s="123"/>
      <c r="F630" s="108"/>
      <c r="G630" s="108"/>
      <c r="I630" s="20"/>
      <c r="J630" s="124"/>
    </row>
    <row r="631">
      <c r="A631" s="128"/>
      <c r="B631" s="129"/>
      <c r="C631" s="129"/>
      <c r="D631" s="20"/>
      <c r="E631" s="123"/>
      <c r="F631" s="108"/>
      <c r="G631" s="108"/>
      <c r="I631" s="20"/>
      <c r="J631" s="124"/>
    </row>
    <row r="632">
      <c r="A632" s="128"/>
      <c r="B632" s="129"/>
      <c r="C632" s="129"/>
      <c r="D632" s="20"/>
      <c r="E632" s="123"/>
      <c r="F632" s="108"/>
      <c r="G632" s="108"/>
      <c r="I632" s="20"/>
      <c r="J632" s="124"/>
    </row>
    <row r="633">
      <c r="A633" s="128"/>
      <c r="B633" s="129"/>
      <c r="C633" s="129"/>
      <c r="D633" s="20"/>
      <c r="E633" s="123"/>
      <c r="F633" s="108"/>
      <c r="G633" s="108"/>
      <c r="I633" s="20"/>
      <c r="J633" s="124"/>
    </row>
    <row r="634">
      <c r="A634" s="128"/>
      <c r="B634" s="129"/>
      <c r="C634" s="129"/>
      <c r="D634" s="20"/>
      <c r="E634" s="123"/>
      <c r="F634" s="108"/>
      <c r="G634" s="108"/>
      <c r="I634" s="20"/>
      <c r="J634" s="124"/>
    </row>
    <row r="635">
      <c r="A635" s="128"/>
      <c r="B635" s="129"/>
      <c r="C635" s="129"/>
      <c r="D635" s="20"/>
      <c r="E635" s="123"/>
      <c r="F635" s="108"/>
      <c r="G635" s="108"/>
      <c r="I635" s="20"/>
      <c r="J635" s="124"/>
    </row>
    <row r="636">
      <c r="A636" s="128"/>
      <c r="B636" s="129"/>
      <c r="C636" s="129"/>
      <c r="D636" s="20"/>
      <c r="E636" s="123"/>
      <c r="F636" s="108"/>
      <c r="G636" s="108"/>
      <c r="I636" s="20"/>
      <c r="J636" s="124"/>
    </row>
    <row r="637">
      <c r="A637" s="128"/>
      <c r="B637" s="129"/>
      <c r="C637" s="129"/>
      <c r="D637" s="20"/>
      <c r="E637" s="123"/>
      <c r="F637" s="108"/>
      <c r="G637" s="108"/>
      <c r="I637" s="20"/>
      <c r="J637" s="124"/>
    </row>
    <row r="638">
      <c r="A638" s="128"/>
      <c r="B638" s="129"/>
      <c r="C638" s="129"/>
      <c r="D638" s="20"/>
      <c r="E638" s="123"/>
      <c r="F638" s="108"/>
      <c r="G638" s="108"/>
      <c r="I638" s="20"/>
      <c r="J638" s="124"/>
    </row>
    <row r="639">
      <c r="A639" s="128"/>
      <c r="B639" s="129"/>
      <c r="C639" s="129"/>
      <c r="D639" s="20"/>
      <c r="E639" s="123"/>
      <c r="F639" s="108"/>
      <c r="G639" s="108"/>
      <c r="I639" s="20"/>
      <c r="J639" s="124"/>
    </row>
    <row r="640">
      <c r="A640" s="128"/>
      <c r="B640" s="129"/>
      <c r="C640" s="129"/>
      <c r="D640" s="20"/>
      <c r="E640" s="123"/>
      <c r="F640" s="108"/>
      <c r="G640" s="108"/>
      <c r="I640" s="20"/>
      <c r="J640" s="124"/>
    </row>
    <row r="641">
      <c r="A641" s="128"/>
      <c r="B641" s="129"/>
      <c r="C641" s="129"/>
      <c r="D641" s="20"/>
      <c r="E641" s="123"/>
      <c r="F641" s="108"/>
      <c r="G641" s="108"/>
      <c r="I641" s="20"/>
      <c r="J641" s="124"/>
    </row>
    <row r="642">
      <c r="A642" s="128"/>
      <c r="B642" s="129"/>
      <c r="C642" s="129"/>
      <c r="D642" s="20"/>
      <c r="E642" s="123"/>
      <c r="F642" s="108"/>
      <c r="G642" s="108"/>
      <c r="I642" s="20"/>
      <c r="J642" s="124"/>
    </row>
    <row r="643">
      <c r="A643" s="128"/>
      <c r="B643" s="129"/>
      <c r="C643" s="129"/>
      <c r="D643" s="20"/>
      <c r="E643" s="123"/>
      <c r="F643" s="108"/>
      <c r="G643" s="108"/>
      <c r="I643" s="20"/>
      <c r="J643" s="124"/>
    </row>
    <row r="644">
      <c r="A644" s="128"/>
      <c r="B644" s="129"/>
      <c r="C644" s="129"/>
      <c r="D644" s="20"/>
      <c r="E644" s="123"/>
      <c r="F644" s="108"/>
      <c r="G644" s="108"/>
      <c r="I644" s="20"/>
      <c r="J644" s="124"/>
    </row>
    <row r="645">
      <c r="A645" s="128"/>
      <c r="B645" s="129"/>
      <c r="C645" s="129"/>
      <c r="D645" s="20"/>
      <c r="E645" s="123"/>
      <c r="F645" s="108"/>
      <c r="G645" s="108"/>
      <c r="I645" s="20"/>
      <c r="J645" s="124"/>
    </row>
    <row r="646">
      <c r="A646" s="128"/>
      <c r="B646" s="129"/>
      <c r="C646" s="129"/>
      <c r="D646" s="20"/>
      <c r="E646" s="123"/>
      <c r="F646" s="108"/>
      <c r="G646" s="108"/>
      <c r="I646" s="20"/>
      <c r="J646" s="124"/>
    </row>
    <row r="647">
      <c r="A647" s="128"/>
      <c r="B647" s="129"/>
      <c r="C647" s="129"/>
      <c r="D647" s="20"/>
      <c r="E647" s="123"/>
      <c r="F647" s="108"/>
      <c r="G647" s="108"/>
      <c r="I647" s="20"/>
      <c r="J647" s="124"/>
    </row>
    <row r="648">
      <c r="A648" s="128"/>
      <c r="B648" s="129"/>
      <c r="C648" s="129"/>
      <c r="D648" s="20"/>
      <c r="E648" s="123"/>
      <c r="F648" s="108"/>
      <c r="G648" s="108"/>
      <c r="I648" s="20"/>
      <c r="J648" s="124"/>
    </row>
    <row r="649">
      <c r="A649" s="128"/>
      <c r="B649" s="129"/>
      <c r="C649" s="129"/>
      <c r="D649" s="20"/>
      <c r="E649" s="123"/>
      <c r="F649" s="108"/>
      <c r="G649" s="108"/>
      <c r="I649" s="20"/>
      <c r="J649" s="124"/>
    </row>
    <row r="650">
      <c r="A650" s="128"/>
      <c r="B650" s="129"/>
      <c r="C650" s="129"/>
      <c r="D650" s="20"/>
      <c r="E650" s="123"/>
      <c r="F650" s="108"/>
      <c r="G650" s="108"/>
      <c r="I650" s="20"/>
      <c r="J650" s="124"/>
    </row>
    <row r="651">
      <c r="A651" s="128"/>
      <c r="B651" s="129"/>
      <c r="C651" s="129"/>
      <c r="D651" s="20"/>
      <c r="E651" s="123"/>
      <c r="F651" s="108"/>
      <c r="G651" s="108"/>
      <c r="I651" s="20"/>
      <c r="J651" s="124"/>
    </row>
    <row r="652">
      <c r="A652" s="128"/>
      <c r="B652" s="129"/>
      <c r="C652" s="129"/>
      <c r="D652" s="20"/>
      <c r="E652" s="123"/>
      <c r="F652" s="108"/>
      <c r="G652" s="108"/>
      <c r="I652" s="20"/>
      <c r="J652" s="124"/>
    </row>
    <row r="653">
      <c r="A653" s="128"/>
      <c r="B653" s="129"/>
      <c r="C653" s="129"/>
      <c r="D653" s="20"/>
      <c r="E653" s="123"/>
      <c r="F653" s="108"/>
      <c r="G653" s="108"/>
      <c r="I653" s="20"/>
      <c r="J653" s="124"/>
    </row>
    <row r="654">
      <c r="A654" s="128"/>
      <c r="B654" s="129"/>
      <c r="C654" s="129"/>
      <c r="D654" s="20"/>
      <c r="E654" s="123"/>
      <c r="F654" s="108"/>
      <c r="G654" s="108"/>
      <c r="I654" s="20"/>
      <c r="J654" s="124"/>
    </row>
    <row r="655">
      <c r="A655" s="128"/>
      <c r="B655" s="129"/>
      <c r="C655" s="129"/>
      <c r="D655" s="20"/>
      <c r="E655" s="123"/>
      <c r="F655" s="108"/>
      <c r="G655" s="108"/>
      <c r="I655" s="20"/>
      <c r="J655" s="124"/>
    </row>
    <row r="656">
      <c r="A656" s="128"/>
      <c r="B656" s="129"/>
      <c r="C656" s="129"/>
      <c r="D656" s="20"/>
      <c r="E656" s="123"/>
      <c r="F656" s="108"/>
      <c r="G656" s="108"/>
      <c r="I656" s="20"/>
      <c r="J656" s="124"/>
    </row>
    <row r="657">
      <c r="A657" s="128"/>
      <c r="B657" s="129"/>
      <c r="C657" s="129"/>
      <c r="D657" s="20"/>
      <c r="E657" s="123"/>
      <c r="F657" s="108"/>
      <c r="G657" s="108"/>
      <c r="I657" s="20"/>
      <c r="J657" s="124"/>
    </row>
    <row r="658">
      <c r="A658" s="128"/>
      <c r="B658" s="129"/>
      <c r="C658" s="129"/>
      <c r="D658" s="20"/>
      <c r="E658" s="123"/>
      <c r="F658" s="108"/>
      <c r="G658" s="108"/>
      <c r="I658" s="20"/>
      <c r="J658" s="124"/>
    </row>
    <row r="659">
      <c r="A659" s="128"/>
      <c r="B659" s="129"/>
      <c r="C659" s="129"/>
      <c r="D659" s="20"/>
      <c r="E659" s="123"/>
      <c r="F659" s="108"/>
      <c r="G659" s="108"/>
      <c r="I659" s="20"/>
      <c r="J659" s="124"/>
    </row>
    <row r="660">
      <c r="A660" s="128"/>
      <c r="B660" s="129"/>
      <c r="C660" s="129"/>
      <c r="D660" s="20"/>
      <c r="E660" s="123"/>
      <c r="F660" s="108"/>
      <c r="G660" s="108"/>
      <c r="I660" s="20"/>
      <c r="J660" s="124"/>
    </row>
    <row r="661">
      <c r="A661" s="128"/>
      <c r="B661" s="129"/>
      <c r="C661" s="129"/>
      <c r="D661" s="20"/>
      <c r="E661" s="123"/>
      <c r="F661" s="108"/>
      <c r="G661" s="108"/>
      <c r="I661" s="20"/>
      <c r="J661" s="124"/>
    </row>
    <row r="662">
      <c r="A662" s="128"/>
      <c r="B662" s="129"/>
      <c r="C662" s="129"/>
      <c r="D662" s="20"/>
      <c r="E662" s="123"/>
      <c r="F662" s="108"/>
      <c r="G662" s="108"/>
      <c r="I662" s="20"/>
      <c r="J662" s="124"/>
    </row>
    <row r="663">
      <c r="A663" s="128"/>
      <c r="B663" s="129"/>
      <c r="C663" s="129"/>
      <c r="D663" s="20"/>
      <c r="E663" s="123"/>
      <c r="F663" s="108"/>
      <c r="G663" s="108"/>
      <c r="I663" s="20"/>
      <c r="J663" s="124"/>
    </row>
    <row r="664">
      <c r="A664" s="128"/>
      <c r="B664" s="129"/>
      <c r="C664" s="129"/>
      <c r="D664" s="20"/>
      <c r="E664" s="123"/>
      <c r="F664" s="108"/>
      <c r="G664" s="108"/>
      <c r="I664" s="20"/>
      <c r="J664" s="124"/>
    </row>
    <row r="665">
      <c r="A665" s="128"/>
      <c r="B665" s="129"/>
      <c r="C665" s="129"/>
      <c r="D665" s="20"/>
      <c r="E665" s="123"/>
      <c r="F665" s="108"/>
      <c r="G665" s="108"/>
      <c r="I665" s="20"/>
      <c r="J665" s="124"/>
    </row>
    <row r="666">
      <c r="A666" s="128"/>
      <c r="B666" s="129"/>
      <c r="C666" s="129"/>
      <c r="D666" s="20"/>
      <c r="E666" s="123"/>
      <c r="F666" s="108"/>
      <c r="G666" s="108"/>
      <c r="I666" s="20"/>
      <c r="J666" s="124"/>
    </row>
    <row r="667">
      <c r="A667" s="128"/>
      <c r="B667" s="129"/>
      <c r="C667" s="129"/>
      <c r="D667" s="20"/>
      <c r="E667" s="123"/>
      <c r="F667" s="108"/>
      <c r="G667" s="108"/>
      <c r="I667" s="20"/>
      <c r="J667" s="124"/>
    </row>
    <row r="668">
      <c r="A668" s="128"/>
      <c r="B668" s="129"/>
      <c r="C668" s="129"/>
      <c r="D668" s="20"/>
      <c r="E668" s="123"/>
      <c r="F668" s="108"/>
      <c r="G668" s="108"/>
      <c r="I668" s="20"/>
      <c r="J668" s="124"/>
    </row>
    <row r="669">
      <c r="A669" s="128"/>
      <c r="B669" s="129"/>
      <c r="C669" s="129"/>
      <c r="D669" s="20"/>
      <c r="E669" s="123"/>
      <c r="F669" s="108"/>
      <c r="G669" s="108"/>
      <c r="I669" s="20"/>
      <c r="J669" s="124"/>
    </row>
    <row r="670">
      <c r="A670" s="128"/>
      <c r="B670" s="129"/>
      <c r="C670" s="129"/>
      <c r="D670" s="20"/>
      <c r="E670" s="123"/>
      <c r="F670" s="108"/>
      <c r="G670" s="108"/>
      <c r="I670" s="20"/>
      <c r="J670" s="124"/>
    </row>
    <row r="671">
      <c r="A671" s="128"/>
      <c r="B671" s="129"/>
      <c r="C671" s="129"/>
      <c r="D671" s="20"/>
      <c r="E671" s="123"/>
      <c r="F671" s="108"/>
      <c r="G671" s="108"/>
      <c r="I671" s="20"/>
      <c r="J671" s="124"/>
    </row>
    <row r="672">
      <c r="A672" s="128"/>
      <c r="B672" s="129"/>
      <c r="C672" s="129"/>
      <c r="D672" s="20"/>
      <c r="E672" s="123"/>
      <c r="F672" s="108"/>
      <c r="G672" s="108"/>
      <c r="I672" s="20"/>
      <c r="J672" s="124"/>
    </row>
    <row r="673">
      <c r="A673" s="128"/>
      <c r="B673" s="129"/>
      <c r="C673" s="129"/>
      <c r="D673" s="20"/>
      <c r="E673" s="123"/>
      <c r="F673" s="108"/>
      <c r="G673" s="108"/>
      <c r="I673" s="20"/>
      <c r="J673" s="124"/>
    </row>
    <row r="674">
      <c r="A674" s="128"/>
      <c r="B674" s="129"/>
      <c r="C674" s="129"/>
      <c r="D674" s="20"/>
      <c r="E674" s="123"/>
      <c r="F674" s="108"/>
      <c r="G674" s="108"/>
      <c r="I674" s="20"/>
      <c r="J674" s="124"/>
    </row>
    <row r="675">
      <c r="A675" s="128"/>
      <c r="B675" s="129"/>
      <c r="C675" s="129"/>
      <c r="D675" s="20"/>
      <c r="E675" s="123"/>
      <c r="F675" s="108"/>
      <c r="G675" s="108"/>
      <c r="I675" s="20"/>
      <c r="J675" s="124"/>
    </row>
    <row r="676">
      <c r="A676" s="128"/>
      <c r="B676" s="129"/>
      <c r="C676" s="129"/>
      <c r="D676" s="20"/>
      <c r="E676" s="123"/>
      <c r="F676" s="108"/>
      <c r="G676" s="108"/>
      <c r="I676" s="20"/>
      <c r="J676" s="124"/>
    </row>
    <row r="677">
      <c r="A677" s="128"/>
      <c r="B677" s="129"/>
      <c r="C677" s="129"/>
      <c r="D677" s="20"/>
      <c r="E677" s="123"/>
      <c r="F677" s="108"/>
      <c r="G677" s="108"/>
      <c r="I677" s="20"/>
      <c r="J677" s="124"/>
    </row>
    <row r="678">
      <c r="A678" s="128"/>
      <c r="B678" s="129"/>
      <c r="C678" s="129"/>
      <c r="D678" s="20"/>
      <c r="E678" s="123"/>
      <c r="F678" s="108"/>
      <c r="G678" s="108"/>
      <c r="I678" s="20"/>
      <c r="J678" s="124"/>
    </row>
    <row r="679">
      <c r="A679" s="128"/>
      <c r="B679" s="129"/>
      <c r="C679" s="129"/>
      <c r="D679" s="20"/>
      <c r="E679" s="123"/>
      <c r="F679" s="108"/>
      <c r="G679" s="108"/>
      <c r="I679" s="20"/>
      <c r="J679" s="124"/>
    </row>
    <row r="680">
      <c r="A680" s="128"/>
      <c r="B680" s="129"/>
      <c r="C680" s="129"/>
      <c r="D680" s="20"/>
      <c r="E680" s="123"/>
      <c r="F680" s="108"/>
      <c r="G680" s="108"/>
      <c r="I680" s="20"/>
      <c r="J680" s="124"/>
    </row>
    <row r="681">
      <c r="A681" s="128"/>
      <c r="B681" s="129"/>
      <c r="C681" s="129"/>
      <c r="D681" s="20"/>
      <c r="E681" s="123"/>
      <c r="F681" s="108"/>
      <c r="G681" s="108"/>
      <c r="I681" s="20"/>
      <c r="J681" s="124"/>
    </row>
    <row r="682">
      <c r="A682" s="128"/>
      <c r="B682" s="129"/>
      <c r="C682" s="129"/>
      <c r="D682" s="20"/>
      <c r="E682" s="123"/>
      <c r="F682" s="108"/>
      <c r="G682" s="108"/>
      <c r="I682" s="20"/>
      <c r="J682" s="124"/>
    </row>
    <row r="683">
      <c r="A683" s="128"/>
      <c r="B683" s="129"/>
      <c r="C683" s="129"/>
      <c r="D683" s="20"/>
      <c r="E683" s="123"/>
      <c r="F683" s="108"/>
      <c r="G683" s="108"/>
      <c r="I683" s="20"/>
      <c r="J683" s="124"/>
    </row>
    <row r="684">
      <c r="A684" s="128"/>
      <c r="B684" s="129"/>
      <c r="C684" s="129"/>
      <c r="D684" s="20"/>
      <c r="E684" s="123"/>
      <c r="F684" s="108"/>
      <c r="G684" s="108"/>
      <c r="I684" s="20"/>
      <c r="J684" s="124"/>
    </row>
    <row r="685">
      <c r="A685" s="128"/>
      <c r="B685" s="129"/>
      <c r="C685" s="129"/>
      <c r="D685" s="20"/>
      <c r="E685" s="123"/>
      <c r="F685" s="108"/>
      <c r="G685" s="108"/>
      <c r="I685" s="20"/>
      <c r="J685" s="124"/>
    </row>
    <row r="686">
      <c r="A686" s="128"/>
      <c r="B686" s="129"/>
      <c r="C686" s="129"/>
      <c r="D686" s="20"/>
      <c r="E686" s="123"/>
      <c r="F686" s="108"/>
      <c r="G686" s="108"/>
      <c r="I686" s="20"/>
      <c r="J686" s="124"/>
    </row>
    <row r="687">
      <c r="A687" s="128"/>
      <c r="B687" s="129"/>
      <c r="C687" s="129"/>
      <c r="D687" s="20"/>
      <c r="E687" s="123"/>
      <c r="F687" s="108"/>
      <c r="G687" s="108"/>
      <c r="I687" s="20"/>
      <c r="J687" s="124"/>
    </row>
    <row r="688">
      <c r="A688" s="128"/>
      <c r="B688" s="129"/>
      <c r="C688" s="129"/>
      <c r="D688" s="20"/>
      <c r="E688" s="123"/>
      <c r="F688" s="108"/>
      <c r="G688" s="108"/>
      <c r="I688" s="20"/>
      <c r="J688" s="124"/>
    </row>
    <row r="689">
      <c r="A689" s="128"/>
      <c r="B689" s="129"/>
      <c r="C689" s="129"/>
      <c r="D689" s="20"/>
      <c r="E689" s="123"/>
      <c r="F689" s="108"/>
      <c r="G689" s="108"/>
      <c r="I689" s="20"/>
      <c r="J689" s="124"/>
    </row>
    <row r="690">
      <c r="A690" s="128"/>
      <c r="B690" s="129"/>
      <c r="C690" s="129"/>
      <c r="D690" s="20"/>
      <c r="E690" s="123"/>
      <c r="F690" s="108"/>
      <c r="G690" s="108"/>
      <c r="I690" s="20"/>
      <c r="J690" s="124"/>
    </row>
    <row r="691">
      <c r="A691" s="128"/>
      <c r="B691" s="129"/>
      <c r="C691" s="129"/>
      <c r="D691" s="20"/>
      <c r="E691" s="123"/>
      <c r="F691" s="108"/>
      <c r="G691" s="108"/>
      <c r="I691" s="20"/>
      <c r="J691" s="124"/>
    </row>
    <row r="692">
      <c r="A692" s="128"/>
      <c r="B692" s="129"/>
      <c r="C692" s="129"/>
      <c r="D692" s="20"/>
      <c r="E692" s="123"/>
      <c r="F692" s="108"/>
      <c r="G692" s="108"/>
      <c r="I692" s="20"/>
      <c r="J692" s="124"/>
    </row>
    <row r="693">
      <c r="A693" s="128"/>
      <c r="B693" s="129"/>
      <c r="C693" s="129"/>
      <c r="D693" s="20"/>
      <c r="E693" s="123"/>
      <c r="F693" s="108"/>
      <c r="G693" s="108"/>
      <c r="I693" s="20"/>
      <c r="J693" s="124"/>
    </row>
    <row r="694">
      <c r="A694" s="128"/>
      <c r="B694" s="129"/>
      <c r="C694" s="129"/>
      <c r="D694" s="20"/>
      <c r="E694" s="123"/>
      <c r="F694" s="108"/>
      <c r="G694" s="108"/>
      <c r="I694" s="20"/>
      <c r="J694" s="124"/>
    </row>
    <row r="695">
      <c r="A695" s="128"/>
      <c r="B695" s="129"/>
      <c r="C695" s="129"/>
      <c r="D695" s="20"/>
      <c r="E695" s="123"/>
      <c r="F695" s="108"/>
      <c r="G695" s="108"/>
      <c r="I695" s="20"/>
      <c r="J695" s="124"/>
    </row>
    <row r="696">
      <c r="A696" s="128"/>
      <c r="B696" s="129"/>
      <c r="C696" s="129"/>
      <c r="D696" s="20"/>
      <c r="E696" s="123"/>
      <c r="F696" s="108"/>
      <c r="G696" s="108"/>
      <c r="I696" s="20"/>
      <c r="J696" s="124"/>
    </row>
    <row r="697">
      <c r="A697" s="128"/>
      <c r="B697" s="129"/>
      <c r="C697" s="129"/>
      <c r="D697" s="20"/>
      <c r="E697" s="123"/>
      <c r="F697" s="108"/>
      <c r="G697" s="108"/>
      <c r="I697" s="20"/>
      <c r="J697" s="124"/>
    </row>
    <row r="698">
      <c r="A698" s="128"/>
      <c r="B698" s="129"/>
      <c r="C698" s="129"/>
      <c r="D698" s="20"/>
      <c r="E698" s="123"/>
      <c r="F698" s="108"/>
      <c r="G698" s="108"/>
      <c r="I698" s="20"/>
      <c r="J698" s="124"/>
    </row>
    <row r="699">
      <c r="A699" s="128"/>
      <c r="B699" s="129"/>
      <c r="C699" s="129"/>
      <c r="D699" s="20"/>
      <c r="E699" s="123"/>
      <c r="F699" s="108"/>
      <c r="G699" s="108"/>
      <c r="I699" s="20"/>
      <c r="J699" s="124"/>
    </row>
    <row r="700">
      <c r="A700" s="128"/>
      <c r="B700" s="129"/>
      <c r="C700" s="129"/>
      <c r="D700" s="20"/>
      <c r="E700" s="123"/>
      <c r="F700" s="108"/>
      <c r="G700" s="108"/>
      <c r="I700" s="20"/>
      <c r="J700" s="124"/>
    </row>
    <row r="701">
      <c r="A701" s="128"/>
      <c r="B701" s="129"/>
      <c r="C701" s="129"/>
      <c r="D701" s="20"/>
      <c r="E701" s="123"/>
      <c r="F701" s="108"/>
      <c r="G701" s="108"/>
      <c r="I701" s="20"/>
      <c r="J701" s="124"/>
    </row>
    <row r="702">
      <c r="A702" s="128"/>
      <c r="B702" s="129"/>
      <c r="C702" s="129"/>
      <c r="D702" s="20"/>
      <c r="E702" s="123"/>
      <c r="F702" s="108"/>
      <c r="G702" s="108"/>
      <c r="I702" s="20"/>
      <c r="J702" s="124"/>
    </row>
    <row r="703">
      <c r="A703" s="128"/>
      <c r="B703" s="129"/>
      <c r="C703" s="129"/>
      <c r="D703" s="20"/>
      <c r="E703" s="123"/>
      <c r="F703" s="108"/>
      <c r="G703" s="108"/>
      <c r="I703" s="20"/>
      <c r="J703" s="124"/>
    </row>
    <row r="704">
      <c r="A704" s="128"/>
      <c r="B704" s="129"/>
      <c r="C704" s="129"/>
      <c r="D704" s="20"/>
      <c r="E704" s="123"/>
      <c r="F704" s="108"/>
      <c r="G704" s="108"/>
      <c r="I704" s="20"/>
      <c r="J704" s="124"/>
    </row>
    <row r="705">
      <c r="A705" s="128"/>
      <c r="B705" s="129"/>
      <c r="C705" s="129"/>
      <c r="D705" s="20"/>
      <c r="E705" s="123"/>
      <c r="F705" s="108"/>
      <c r="G705" s="108"/>
      <c r="I705" s="20"/>
      <c r="J705" s="124"/>
    </row>
    <row r="706">
      <c r="A706" s="128"/>
      <c r="B706" s="129"/>
      <c r="C706" s="129"/>
      <c r="D706" s="20"/>
      <c r="E706" s="123"/>
      <c r="F706" s="108"/>
      <c r="G706" s="108"/>
      <c r="I706" s="20"/>
      <c r="J706" s="124"/>
    </row>
    <row r="707">
      <c r="A707" s="128"/>
      <c r="B707" s="129"/>
      <c r="C707" s="129"/>
      <c r="D707" s="20"/>
      <c r="E707" s="123"/>
      <c r="F707" s="108"/>
      <c r="G707" s="108"/>
      <c r="I707" s="20"/>
      <c r="J707" s="124"/>
    </row>
    <row r="708">
      <c r="A708" s="128"/>
      <c r="B708" s="129"/>
      <c r="C708" s="129"/>
      <c r="D708" s="20"/>
      <c r="E708" s="123"/>
      <c r="F708" s="108"/>
      <c r="G708" s="108"/>
      <c r="I708" s="20"/>
      <c r="J708" s="124"/>
    </row>
    <row r="709">
      <c r="A709" s="128"/>
      <c r="B709" s="129"/>
      <c r="C709" s="129"/>
      <c r="D709" s="20"/>
      <c r="E709" s="123"/>
      <c r="F709" s="108"/>
      <c r="G709" s="108"/>
      <c r="I709" s="20"/>
      <c r="J709" s="124"/>
    </row>
    <row r="710">
      <c r="A710" s="128"/>
      <c r="B710" s="129"/>
      <c r="C710" s="129"/>
      <c r="D710" s="20"/>
      <c r="E710" s="123"/>
      <c r="F710" s="108"/>
      <c r="G710" s="108"/>
      <c r="I710" s="20"/>
      <c r="J710" s="124"/>
    </row>
    <row r="711">
      <c r="A711" s="128"/>
      <c r="B711" s="129"/>
      <c r="C711" s="129"/>
      <c r="D711" s="20"/>
      <c r="E711" s="123"/>
      <c r="F711" s="108"/>
      <c r="G711" s="108"/>
      <c r="I711" s="20"/>
      <c r="J711" s="124"/>
    </row>
    <row r="712">
      <c r="A712" s="128"/>
      <c r="B712" s="129"/>
      <c r="C712" s="129"/>
      <c r="D712" s="20"/>
      <c r="E712" s="123"/>
      <c r="F712" s="108"/>
      <c r="G712" s="108"/>
      <c r="I712" s="20"/>
      <c r="J712" s="124"/>
    </row>
    <row r="713">
      <c r="A713" s="128"/>
      <c r="B713" s="129"/>
      <c r="C713" s="129"/>
      <c r="D713" s="20"/>
      <c r="E713" s="123"/>
      <c r="F713" s="108"/>
      <c r="G713" s="108"/>
      <c r="I713" s="20"/>
      <c r="J713" s="124"/>
    </row>
    <row r="714">
      <c r="A714" s="128"/>
      <c r="B714" s="129"/>
      <c r="C714" s="129"/>
      <c r="D714" s="20"/>
      <c r="E714" s="123"/>
      <c r="F714" s="108"/>
      <c r="G714" s="108"/>
      <c r="I714" s="20"/>
      <c r="J714" s="124"/>
    </row>
    <row r="715">
      <c r="A715" s="128"/>
      <c r="B715" s="129"/>
      <c r="C715" s="129"/>
      <c r="D715" s="20"/>
      <c r="E715" s="123"/>
      <c r="F715" s="108"/>
      <c r="G715" s="108"/>
      <c r="I715" s="20"/>
      <c r="J715" s="124"/>
    </row>
    <row r="716">
      <c r="A716" s="128"/>
      <c r="B716" s="129"/>
      <c r="C716" s="129"/>
      <c r="D716" s="20"/>
      <c r="E716" s="123"/>
      <c r="F716" s="108"/>
      <c r="G716" s="108"/>
      <c r="I716" s="20"/>
      <c r="J716" s="124"/>
    </row>
    <row r="717">
      <c r="A717" s="128"/>
      <c r="B717" s="129"/>
      <c r="C717" s="129"/>
      <c r="D717" s="20"/>
      <c r="E717" s="123"/>
      <c r="F717" s="108"/>
      <c r="G717" s="108"/>
      <c r="I717" s="20"/>
      <c r="J717" s="124"/>
    </row>
    <row r="718">
      <c r="A718" s="128"/>
      <c r="B718" s="129"/>
      <c r="C718" s="129"/>
      <c r="D718" s="20"/>
      <c r="E718" s="123"/>
      <c r="F718" s="108"/>
      <c r="G718" s="108"/>
      <c r="I718" s="20"/>
      <c r="J718" s="124"/>
    </row>
    <row r="719">
      <c r="A719" s="128"/>
      <c r="B719" s="129"/>
      <c r="C719" s="129"/>
      <c r="D719" s="20"/>
      <c r="E719" s="123"/>
      <c r="F719" s="108"/>
      <c r="G719" s="108"/>
      <c r="I719" s="20"/>
      <c r="J719" s="124"/>
    </row>
    <row r="720">
      <c r="A720" s="128"/>
      <c r="B720" s="129"/>
      <c r="C720" s="129"/>
      <c r="D720" s="20"/>
      <c r="E720" s="123"/>
      <c r="F720" s="108"/>
      <c r="G720" s="108"/>
      <c r="I720" s="20"/>
      <c r="J720" s="124"/>
    </row>
    <row r="721">
      <c r="A721" s="128"/>
      <c r="B721" s="129"/>
      <c r="C721" s="129"/>
      <c r="D721" s="20"/>
      <c r="E721" s="123"/>
      <c r="F721" s="108"/>
      <c r="G721" s="108"/>
      <c r="I721" s="20"/>
      <c r="J721" s="124"/>
    </row>
    <row r="722">
      <c r="A722" s="128"/>
      <c r="B722" s="129"/>
      <c r="C722" s="129"/>
      <c r="D722" s="20"/>
      <c r="E722" s="123"/>
      <c r="F722" s="108"/>
      <c r="G722" s="108"/>
      <c r="I722" s="20"/>
      <c r="J722" s="124"/>
    </row>
    <row r="723">
      <c r="A723" s="128"/>
      <c r="B723" s="129"/>
      <c r="C723" s="129"/>
      <c r="D723" s="20"/>
      <c r="E723" s="123"/>
      <c r="F723" s="108"/>
      <c r="G723" s="108"/>
      <c r="I723" s="20"/>
      <c r="J723" s="124"/>
    </row>
    <row r="724">
      <c r="A724" s="128"/>
      <c r="B724" s="129"/>
      <c r="C724" s="129"/>
      <c r="D724" s="20"/>
      <c r="E724" s="123"/>
      <c r="F724" s="108"/>
      <c r="G724" s="108"/>
      <c r="I724" s="20"/>
      <c r="J724" s="124"/>
    </row>
    <row r="725">
      <c r="A725" s="128"/>
      <c r="B725" s="129"/>
      <c r="C725" s="129"/>
      <c r="D725" s="20"/>
      <c r="E725" s="123"/>
      <c r="F725" s="108"/>
      <c r="G725" s="108"/>
      <c r="I725" s="20"/>
      <c r="J725" s="124"/>
    </row>
    <row r="726">
      <c r="A726" s="128"/>
      <c r="B726" s="129"/>
      <c r="C726" s="129"/>
      <c r="D726" s="20"/>
      <c r="E726" s="123"/>
      <c r="F726" s="108"/>
      <c r="G726" s="108"/>
      <c r="I726" s="20"/>
      <c r="J726" s="124"/>
    </row>
    <row r="727">
      <c r="A727" s="128"/>
      <c r="B727" s="129"/>
      <c r="C727" s="129"/>
      <c r="D727" s="20"/>
      <c r="E727" s="123"/>
      <c r="F727" s="108"/>
      <c r="G727" s="108"/>
      <c r="I727" s="20"/>
      <c r="J727" s="124"/>
    </row>
    <row r="728">
      <c r="A728" s="128"/>
      <c r="B728" s="129"/>
      <c r="C728" s="129"/>
      <c r="D728" s="20"/>
      <c r="E728" s="123"/>
      <c r="F728" s="108"/>
      <c r="G728" s="108"/>
      <c r="I728" s="20"/>
      <c r="J728" s="124"/>
    </row>
    <row r="729">
      <c r="A729" s="128"/>
      <c r="B729" s="129"/>
      <c r="C729" s="129"/>
      <c r="D729" s="20"/>
      <c r="E729" s="123"/>
      <c r="F729" s="108"/>
      <c r="G729" s="108"/>
      <c r="I729" s="20"/>
      <c r="J729" s="124"/>
    </row>
    <row r="730">
      <c r="A730" s="128"/>
      <c r="B730" s="129"/>
      <c r="C730" s="129"/>
      <c r="D730" s="20"/>
      <c r="E730" s="123"/>
      <c r="F730" s="108"/>
      <c r="G730" s="108"/>
      <c r="I730" s="20"/>
      <c r="J730" s="124"/>
    </row>
    <row r="731">
      <c r="A731" s="128"/>
      <c r="B731" s="129"/>
      <c r="C731" s="129"/>
      <c r="D731" s="20"/>
      <c r="E731" s="123"/>
      <c r="F731" s="108"/>
      <c r="G731" s="108"/>
      <c r="I731" s="20"/>
      <c r="J731" s="124"/>
    </row>
    <row r="732">
      <c r="A732" s="128"/>
      <c r="B732" s="129"/>
      <c r="C732" s="129"/>
      <c r="D732" s="20"/>
      <c r="E732" s="123"/>
      <c r="F732" s="108"/>
      <c r="G732" s="108"/>
      <c r="I732" s="20"/>
      <c r="J732" s="124"/>
    </row>
    <row r="733">
      <c r="A733" s="128"/>
      <c r="B733" s="129"/>
      <c r="C733" s="129"/>
      <c r="D733" s="20"/>
      <c r="E733" s="123"/>
      <c r="F733" s="108"/>
      <c r="G733" s="108"/>
      <c r="I733" s="20"/>
      <c r="J733" s="124"/>
    </row>
    <row r="734">
      <c r="A734" s="128"/>
      <c r="B734" s="129"/>
      <c r="C734" s="129"/>
      <c r="D734" s="20"/>
      <c r="E734" s="123"/>
      <c r="F734" s="108"/>
      <c r="G734" s="108"/>
      <c r="I734" s="20"/>
      <c r="J734" s="124"/>
    </row>
    <row r="735">
      <c r="A735" s="128"/>
      <c r="B735" s="129"/>
      <c r="C735" s="129"/>
      <c r="D735" s="20"/>
      <c r="E735" s="123"/>
      <c r="F735" s="108"/>
      <c r="G735" s="108"/>
      <c r="I735" s="20"/>
      <c r="J735" s="124"/>
    </row>
    <row r="736">
      <c r="A736" s="128"/>
      <c r="B736" s="129"/>
      <c r="C736" s="129"/>
      <c r="D736" s="20"/>
      <c r="E736" s="123"/>
      <c r="F736" s="108"/>
      <c r="G736" s="108"/>
      <c r="I736" s="20"/>
      <c r="J736" s="124"/>
    </row>
    <row r="737">
      <c r="A737" s="128"/>
      <c r="B737" s="129"/>
      <c r="C737" s="129"/>
      <c r="D737" s="20"/>
      <c r="E737" s="123"/>
      <c r="F737" s="108"/>
      <c r="G737" s="108"/>
      <c r="I737" s="20"/>
      <c r="J737" s="124"/>
    </row>
    <row r="738">
      <c r="A738" s="128"/>
      <c r="B738" s="129"/>
      <c r="C738" s="129"/>
      <c r="D738" s="20"/>
      <c r="E738" s="123"/>
      <c r="F738" s="108"/>
      <c r="G738" s="108"/>
      <c r="I738" s="20"/>
      <c r="J738" s="124"/>
    </row>
    <row r="739">
      <c r="A739" s="128"/>
      <c r="B739" s="129"/>
      <c r="C739" s="129"/>
      <c r="D739" s="20"/>
      <c r="E739" s="123"/>
      <c r="F739" s="108"/>
      <c r="G739" s="108"/>
      <c r="I739" s="20"/>
      <c r="J739" s="124"/>
    </row>
    <row r="740">
      <c r="A740" s="128"/>
      <c r="B740" s="129"/>
      <c r="C740" s="129"/>
      <c r="D740" s="20"/>
      <c r="E740" s="123"/>
      <c r="F740" s="108"/>
      <c r="G740" s="108"/>
      <c r="I740" s="20"/>
      <c r="J740" s="124"/>
    </row>
    <row r="741">
      <c r="A741" s="128"/>
      <c r="B741" s="129"/>
      <c r="C741" s="129"/>
      <c r="D741" s="20"/>
      <c r="E741" s="123"/>
      <c r="F741" s="108"/>
      <c r="G741" s="108"/>
      <c r="I741" s="20"/>
      <c r="J741" s="124"/>
    </row>
    <row r="742">
      <c r="A742" s="128"/>
      <c r="B742" s="129"/>
      <c r="C742" s="129"/>
      <c r="D742" s="20"/>
      <c r="E742" s="123"/>
      <c r="F742" s="108"/>
      <c r="G742" s="108"/>
      <c r="I742" s="20"/>
      <c r="J742" s="124"/>
    </row>
    <row r="743">
      <c r="A743" s="128"/>
      <c r="B743" s="129"/>
      <c r="C743" s="129"/>
      <c r="D743" s="20"/>
      <c r="E743" s="123"/>
      <c r="F743" s="108"/>
      <c r="G743" s="108"/>
      <c r="I743" s="20"/>
      <c r="J743" s="124"/>
    </row>
    <row r="744">
      <c r="A744" s="128"/>
      <c r="B744" s="129"/>
      <c r="C744" s="129"/>
      <c r="D744" s="20"/>
      <c r="E744" s="123"/>
      <c r="F744" s="108"/>
      <c r="G744" s="108"/>
      <c r="I744" s="20"/>
      <c r="J744" s="124"/>
    </row>
    <row r="745">
      <c r="A745" s="128"/>
      <c r="B745" s="129"/>
      <c r="C745" s="129"/>
      <c r="D745" s="20"/>
      <c r="E745" s="123"/>
      <c r="F745" s="108"/>
      <c r="G745" s="108"/>
      <c r="I745" s="20"/>
      <c r="J745" s="124"/>
    </row>
    <row r="746">
      <c r="A746" s="128"/>
      <c r="B746" s="129"/>
      <c r="C746" s="129"/>
      <c r="D746" s="20"/>
      <c r="E746" s="123"/>
      <c r="F746" s="108"/>
      <c r="G746" s="108"/>
      <c r="I746" s="20"/>
      <c r="J746" s="124"/>
    </row>
    <row r="747">
      <c r="A747" s="128"/>
      <c r="B747" s="129"/>
      <c r="C747" s="129"/>
      <c r="D747" s="20"/>
      <c r="E747" s="123"/>
      <c r="F747" s="108"/>
      <c r="G747" s="108"/>
      <c r="I747" s="20"/>
      <c r="J747" s="124"/>
    </row>
    <row r="748">
      <c r="A748" s="128"/>
      <c r="B748" s="129"/>
      <c r="C748" s="129"/>
      <c r="D748" s="20"/>
      <c r="E748" s="123"/>
      <c r="F748" s="108"/>
      <c r="G748" s="108"/>
      <c r="I748" s="20"/>
      <c r="J748" s="124"/>
    </row>
    <row r="749">
      <c r="A749" s="128"/>
      <c r="B749" s="129"/>
      <c r="C749" s="129"/>
      <c r="D749" s="20"/>
      <c r="E749" s="123"/>
      <c r="F749" s="108"/>
      <c r="G749" s="108"/>
      <c r="I749" s="20"/>
      <c r="J749" s="124"/>
    </row>
    <row r="750">
      <c r="A750" s="128"/>
      <c r="B750" s="129"/>
      <c r="C750" s="129"/>
      <c r="D750" s="20"/>
      <c r="E750" s="123"/>
      <c r="F750" s="108"/>
      <c r="G750" s="108"/>
      <c r="I750" s="20"/>
      <c r="J750" s="124"/>
    </row>
    <row r="751">
      <c r="A751" s="128"/>
      <c r="B751" s="129"/>
      <c r="C751" s="129"/>
      <c r="D751" s="20"/>
      <c r="E751" s="123"/>
      <c r="F751" s="108"/>
      <c r="G751" s="108"/>
      <c r="I751" s="20"/>
      <c r="J751" s="124"/>
    </row>
    <row r="752">
      <c r="A752" s="128"/>
      <c r="B752" s="129"/>
      <c r="C752" s="129"/>
      <c r="D752" s="20"/>
      <c r="E752" s="123"/>
      <c r="F752" s="108"/>
      <c r="G752" s="108"/>
      <c r="I752" s="20"/>
      <c r="J752" s="124"/>
    </row>
    <row r="753">
      <c r="A753" s="128"/>
      <c r="B753" s="129"/>
      <c r="C753" s="129"/>
      <c r="D753" s="20"/>
      <c r="E753" s="123"/>
      <c r="F753" s="108"/>
      <c r="G753" s="108"/>
      <c r="I753" s="20"/>
      <c r="J753" s="124"/>
    </row>
    <row r="754">
      <c r="A754" s="128"/>
      <c r="B754" s="129"/>
      <c r="C754" s="129"/>
      <c r="D754" s="20"/>
      <c r="E754" s="123"/>
      <c r="F754" s="108"/>
      <c r="G754" s="108"/>
      <c r="I754" s="20"/>
      <c r="J754" s="124"/>
    </row>
    <row r="755">
      <c r="A755" s="128"/>
      <c r="B755" s="129"/>
      <c r="C755" s="129"/>
      <c r="D755" s="20"/>
      <c r="E755" s="123"/>
      <c r="F755" s="108"/>
      <c r="G755" s="108"/>
      <c r="I755" s="20"/>
      <c r="J755" s="124"/>
    </row>
    <row r="756">
      <c r="A756" s="128"/>
      <c r="B756" s="129"/>
      <c r="C756" s="129"/>
      <c r="D756" s="20"/>
      <c r="E756" s="123"/>
      <c r="F756" s="108"/>
      <c r="G756" s="108"/>
      <c r="I756" s="20"/>
      <c r="J756" s="124"/>
    </row>
    <row r="757">
      <c r="A757" s="128"/>
      <c r="B757" s="129"/>
      <c r="C757" s="129"/>
      <c r="D757" s="20"/>
      <c r="E757" s="123"/>
      <c r="F757" s="108"/>
      <c r="G757" s="108"/>
      <c r="I757" s="20"/>
      <c r="J757" s="124"/>
    </row>
    <row r="758">
      <c r="A758" s="128"/>
      <c r="B758" s="129"/>
      <c r="C758" s="129"/>
      <c r="D758" s="20"/>
      <c r="E758" s="123"/>
      <c r="F758" s="108"/>
      <c r="G758" s="108"/>
      <c r="I758" s="20"/>
      <c r="J758" s="124"/>
    </row>
    <row r="759">
      <c r="A759" s="128"/>
      <c r="B759" s="129"/>
      <c r="C759" s="129"/>
      <c r="D759" s="20"/>
      <c r="E759" s="123"/>
      <c r="F759" s="108"/>
      <c r="G759" s="108"/>
      <c r="I759" s="20"/>
      <c r="J759" s="124"/>
    </row>
    <row r="760">
      <c r="A760" s="128"/>
      <c r="B760" s="129"/>
      <c r="C760" s="129"/>
      <c r="D760" s="20"/>
      <c r="E760" s="123"/>
      <c r="F760" s="108"/>
      <c r="G760" s="108"/>
      <c r="I760" s="20"/>
      <c r="J760" s="124"/>
    </row>
    <row r="761">
      <c r="A761" s="128"/>
      <c r="B761" s="129"/>
      <c r="C761" s="129"/>
      <c r="D761" s="20"/>
      <c r="E761" s="123"/>
      <c r="F761" s="108"/>
      <c r="G761" s="108"/>
      <c r="I761" s="20"/>
      <c r="J761" s="124"/>
    </row>
    <row r="762">
      <c r="A762" s="128"/>
      <c r="B762" s="129"/>
      <c r="C762" s="129"/>
      <c r="D762" s="20"/>
      <c r="E762" s="123"/>
      <c r="F762" s="108"/>
      <c r="G762" s="108"/>
      <c r="I762" s="20"/>
      <c r="J762" s="124"/>
    </row>
    <row r="763">
      <c r="A763" s="128"/>
      <c r="B763" s="129"/>
      <c r="C763" s="129"/>
      <c r="D763" s="20"/>
      <c r="E763" s="123"/>
      <c r="F763" s="108"/>
      <c r="G763" s="108"/>
      <c r="I763" s="20"/>
      <c r="J763" s="124"/>
    </row>
    <row r="764">
      <c r="A764" s="128"/>
      <c r="B764" s="129"/>
      <c r="C764" s="129"/>
      <c r="D764" s="20"/>
      <c r="E764" s="123"/>
      <c r="F764" s="108"/>
      <c r="G764" s="108"/>
      <c r="I764" s="20"/>
      <c r="J764" s="124"/>
    </row>
    <row r="765">
      <c r="A765" s="128"/>
      <c r="B765" s="129"/>
      <c r="C765" s="129"/>
      <c r="D765" s="20"/>
      <c r="E765" s="123"/>
      <c r="F765" s="108"/>
      <c r="G765" s="108"/>
      <c r="I765" s="20"/>
      <c r="J765" s="124"/>
    </row>
    <row r="766">
      <c r="A766" s="128"/>
      <c r="B766" s="129"/>
      <c r="C766" s="129"/>
      <c r="D766" s="20"/>
      <c r="E766" s="123"/>
      <c r="F766" s="108"/>
      <c r="G766" s="108"/>
      <c r="I766" s="20"/>
      <c r="J766" s="124"/>
    </row>
    <row r="767">
      <c r="A767" s="128"/>
      <c r="B767" s="129"/>
      <c r="C767" s="129"/>
      <c r="D767" s="20"/>
      <c r="E767" s="123"/>
      <c r="F767" s="108"/>
      <c r="G767" s="108"/>
      <c r="I767" s="20"/>
      <c r="J767" s="124"/>
    </row>
    <row r="768">
      <c r="A768" s="128"/>
      <c r="B768" s="129"/>
      <c r="C768" s="129"/>
      <c r="D768" s="20"/>
      <c r="E768" s="123"/>
      <c r="F768" s="108"/>
      <c r="G768" s="108"/>
      <c r="I768" s="20"/>
      <c r="J768" s="124"/>
    </row>
    <row r="769">
      <c r="A769" s="128"/>
      <c r="B769" s="129"/>
      <c r="C769" s="129"/>
      <c r="D769" s="20"/>
      <c r="E769" s="123"/>
      <c r="F769" s="108"/>
      <c r="G769" s="108"/>
      <c r="I769" s="20"/>
      <c r="J769" s="124"/>
    </row>
    <row r="770">
      <c r="A770" s="128"/>
      <c r="B770" s="129"/>
      <c r="C770" s="129"/>
      <c r="D770" s="20"/>
      <c r="E770" s="123"/>
      <c r="F770" s="108"/>
      <c r="G770" s="108"/>
      <c r="I770" s="20"/>
      <c r="J770" s="124"/>
    </row>
    <row r="771">
      <c r="A771" s="128"/>
      <c r="B771" s="129"/>
      <c r="C771" s="129"/>
      <c r="D771" s="20"/>
      <c r="E771" s="123"/>
      <c r="F771" s="108"/>
      <c r="G771" s="108"/>
      <c r="I771" s="20"/>
      <c r="J771" s="124"/>
    </row>
    <row r="772">
      <c r="A772" s="128"/>
      <c r="B772" s="129"/>
      <c r="C772" s="129"/>
      <c r="D772" s="20"/>
      <c r="E772" s="123"/>
      <c r="F772" s="108"/>
      <c r="G772" s="108"/>
      <c r="I772" s="20"/>
      <c r="J772" s="124"/>
    </row>
    <row r="773">
      <c r="A773" s="128"/>
      <c r="B773" s="129"/>
      <c r="C773" s="129"/>
      <c r="D773" s="20"/>
      <c r="E773" s="123"/>
      <c r="F773" s="108"/>
      <c r="G773" s="108"/>
      <c r="I773" s="20"/>
      <c r="J773" s="124"/>
    </row>
    <row r="774">
      <c r="A774" s="128"/>
      <c r="B774" s="129"/>
      <c r="C774" s="129"/>
      <c r="D774" s="20"/>
      <c r="E774" s="123"/>
      <c r="F774" s="108"/>
      <c r="G774" s="108"/>
      <c r="I774" s="20"/>
      <c r="J774" s="124"/>
    </row>
    <row r="775">
      <c r="A775" s="128"/>
      <c r="B775" s="129"/>
      <c r="C775" s="129"/>
      <c r="D775" s="20"/>
      <c r="E775" s="123"/>
      <c r="F775" s="108"/>
      <c r="G775" s="108"/>
      <c r="I775" s="20"/>
      <c r="J775" s="124"/>
    </row>
    <row r="776">
      <c r="A776" s="128"/>
      <c r="B776" s="129"/>
      <c r="C776" s="129"/>
      <c r="D776" s="20"/>
      <c r="E776" s="123"/>
      <c r="F776" s="108"/>
      <c r="G776" s="108"/>
      <c r="I776" s="20"/>
      <c r="J776" s="124"/>
    </row>
    <row r="777">
      <c r="A777" s="128"/>
      <c r="B777" s="129"/>
      <c r="C777" s="129"/>
      <c r="D777" s="20"/>
      <c r="E777" s="123"/>
      <c r="F777" s="108"/>
      <c r="G777" s="108"/>
      <c r="I777" s="20"/>
      <c r="J777" s="124"/>
    </row>
    <row r="778">
      <c r="A778" s="128"/>
      <c r="B778" s="129"/>
      <c r="C778" s="129"/>
      <c r="D778" s="20"/>
      <c r="E778" s="123"/>
      <c r="F778" s="108"/>
      <c r="G778" s="108"/>
      <c r="I778" s="20"/>
      <c r="J778" s="124"/>
    </row>
    <row r="779">
      <c r="A779" s="128"/>
      <c r="B779" s="129"/>
      <c r="C779" s="129"/>
      <c r="D779" s="20"/>
      <c r="E779" s="123"/>
      <c r="F779" s="108"/>
      <c r="G779" s="108"/>
      <c r="I779" s="20"/>
      <c r="J779" s="124"/>
    </row>
    <row r="780">
      <c r="A780" s="128"/>
      <c r="B780" s="129"/>
      <c r="C780" s="129"/>
      <c r="D780" s="20"/>
      <c r="E780" s="123"/>
      <c r="F780" s="108"/>
      <c r="G780" s="108"/>
      <c r="I780" s="20"/>
      <c r="J780" s="124"/>
    </row>
    <row r="781">
      <c r="A781" s="128"/>
      <c r="B781" s="129"/>
      <c r="C781" s="129"/>
      <c r="D781" s="20"/>
      <c r="E781" s="123"/>
      <c r="F781" s="108"/>
      <c r="G781" s="108"/>
      <c r="I781" s="20"/>
      <c r="J781" s="124"/>
    </row>
    <row r="782">
      <c r="A782" s="128"/>
      <c r="B782" s="129"/>
      <c r="C782" s="129"/>
      <c r="D782" s="20"/>
      <c r="E782" s="123"/>
      <c r="F782" s="108"/>
      <c r="G782" s="108"/>
      <c r="I782" s="20"/>
      <c r="J782" s="124"/>
    </row>
    <row r="783">
      <c r="A783" s="128"/>
      <c r="B783" s="129"/>
      <c r="C783" s="129"/>
      <c r="D783" s="20"/>
      <c r="E783" s="123"/>
      <c r="F783" s="108"/>
      <c r="G783" s="108"/>
      <c r="I783" s="20"/>
      <c r="J783" s="124"/>
    </row>
    <row r="784">
      <c r="A784" s="128"/>
      <c r="B784" s="129"/>
      <c r="C784" s="129"/>
      <c r="D784" s="20"/>
      <c r="E784" s="123"/>
      <c r="F784" s="108"/>
      <c r="G784" s="108"/>
      <c r="I784" s="20"/>
      <c r="J784" s="124"/>
    </row>
    <row r="785">
      <c r="A785" s="128"/>
      <c r="B785" s="129"/>
      <c r="C785" s="129"/>
      <c r="D785" s="20"/>
      <c r="E785" s="123"/>
      <c r="F785" s="108"/>
      <c r="G785" s="108"/>
      <c r="I785" s="20"/>
      <c r="J785" s="124"/>
    </row>
    <row r="786">
      <c r="A786" s="128"/>
      <c r="B786" s="129"/>
      <c r="C786" s="129"/>
      <c r="D786" s="20"/>
      <c r="E786" s="123"/>
      <c r="F786" s="108"/>
      <c r="G786" s="108"/>
      <c r="I786" s="20"/>
      <c r="J786" s="124"/>
    </row>
    <row r="787">
      <c r="A787" s="128"/>
      <c r="B787" s="129"/>
      <c r="C787" s="129"/>
      <c r="D787" s="20"/>
      <c r="E787" s="123"/>
      <c r="F787" s="108"/>
      <c r="G787" s="108"/>
      <c r="I787" s="20"/>
      <c r="J787" s="124"/>
    </row>
    <row r="788">
      <c r="A788" s="128"/>
      <c r="B788" s="129"/>
      <c r="C788" s="129"/>
      <c r="D788" s="20"/>
      <c r="E788" s="123"/>
      <c r="F788" s="108"/>
      <c r="G788" s="108"/>
      <c r="I788" s="20"/>
      <c r="J788" s="124"/>
    </row>
    <row r="789">
      <c r="A789" s="128"/>
      <c r="B789" s="129"/>
      <c r="C789" s="129"/>
      <c r="D789" s="20"/>
      <c r="E789" s="123"/>
      <c r="F789" s="108"/>
      <c r="G789" s="108"/>
      <c r="I789" s="20"/>
      <c r="J789" s="124"/>
    </row>
    <row r="790">
      <c r="A790" s="128"/>
      <c r="B790" s="129"/>
      <c r="C790" s="129"/>
      <c r="D790" s="20"/>
      <c r="E790" s="123"/>
      <c r="F790" s="108"/>
      <c r="G790" s="108"/>
      <c r="I790" s="20"/>
      <c r="J790" s="124"/>
    </row>
    <row r="791">
      <c r="A791" s="128"/>
      <c r="B791" s="129"/>
      <c r="C791" s="129"/>
      <c r="D791" s="20"/>
      <c r="E791" s="123"/>
      <c r="F791" s="108"/>
      <c r="G791" s="108"/>
      <c r="I791" s="20"/>
      <c r="J791" s="124"/>
    </row>
    <row r="792">
      <c r="A792" s="128"/>
      <c r="B792" s="129"/>
      <c r="C792" s="129"/>
      <c r="D792" s="20"/>
      <c r="E792" s="123"/>
      <c r="F792" s="108"/>
      <c r="G792" s="108"/>
      <c r="I792" s="20"/>
      <c r="J792" s="124"/>
    </row>
    <row r="793">
      <c r="A793" s="128"/>
      <c r="B793" s="129"/>
      <c r="C793" s="129"/>
      <c r="D793" s="20"/>
      <c r="E793" s="123"/>
      <c r="F793" s="108"/>
      <c r="G793" s="108"/>
      <c r="I793" s="20"/>
      <c r="J793" s="124"/>
    </row>
    <row r="794">
      <c r="A794" s="128"/>
      <c r="B794" s="129"/>
      <c r="C794" s="129"/>
      <c r="D794" s="20"/>
      <c r="E794" s="123"/>
      <c r="F794" s="108"/>
      <c r="G794" s="108"/>
      <c r="I794" s="20"/>
      <c r="J794" s="124"/>
    </row>
    <row r="795">
      <c r="A795" s="128"/>
      <c r="B795" s="129"/>
      <c r="C795" s="129"/>
      <c r="D795" s="20"/>
      <c r="E795" s="123"/>
      <c r="F795" s="108"/>
      <c r="G795" s="108"/>
      <c r="I795" s="20"/>
      <c r="J795" s="124"/>
    </row>
    <row r="796">
      <c r="A796" s="128"/>
      <c r="B796" s="129"/>
      <c r="C796" s="129"/>
      <c r="D796" s="20"/>
      <c r="E796" s="123"/>
      <c r="F796" s="108"/>
      <c r="G796" s="108"/>
      <c r="I796" s="20"/>
      <c r="J796" s="124"/>
    </row>
    <row r="797">
      <c r="A797" s="128"/>
      <c r="B797" s="129"/>
      <c r="C797" s="129"/>
      <c r="D797" s="20"/>
      <c r="E797" s="123"/>
      <c r="F797" s="108"/>
      <c r="G797" s="108"/>
      <c r="I797" s="20"/>
      <c r="J797" s="124"/>
    </row>
    <row r="798">
      <c r="A798" s="128"/>
      <c r="B798" s="129"/>
      <c r="C798" s="129"/>
      <c r="D798" s="20"/>
      <c r="E798" s="123"/>
      <c r="F798" s="108"/>
      <c r="G798" s="108"/>
      <c r="I798" s="20"/>
      <c r="J798" s="124"/>
    </row>
    <row r="799">
      <c r="A799" s="128"/>
      <c r="B799" s="129"/>
      <c r="C799" s="129"/>
      <c r="D799" s="20"/>
      <c r="E799" s="123"/>
      <c r="F799" s="108"/>
      <c r="G799" s="108"/>
      <c r="I799" s="20"/>
      <c r="J799" s="124"/>
    </row>
    <row r="800">
      <c r="A800" s="128"/>
      <c r="B800" s="129"/>
      <c r="C800" s="129"/>
      <c r="D800" s="20"/>
      <c r="E800" s="123"/>
      <c r="F800" s="108"/>
      <c r="G800" s="108"/>
      <c r="I800" s="20"/>
      <c r="J800" s="124"/>
    </row>
    <row r="801">
      <c r="A801" s="128"/>
      <c r="B801" s="129"/>
      <c r="C801" s="129"/>
      <c r="D801" s="20"/>
      <c r="E801" s="123"/>
      <c r="F801" s="108"/>
      <c r="G801" s="108"/>
      <c r="I801" s="20"/>
      <c r="J801" s="124"/>
    </row>
    <row r="802">
      <c r="A802" s="128"/>
      <c r="B802" s="129"/>
      <c r="C802" s="129"/>
      <c r="D802" s="20"/>
      <c r="E802" s="123"/>
      <c r="F802" s="108"/>
      <c r="G802" s="108"/>
      <c r="I802" s="20"/>
      <c r="J802" s="124"/>
    </row>
    <row r="803">
      <c r="A803" s="128"/>
      <c r="B803" s="129"/>
      <c r="C803" s="129"/>
      <c r="D803" s="20"/>
      <c r="E803" s="123"/>
      <c r="F803" s="108"/>
      <c r="G803" s="108"/>
      <c r="I803" s="20"/>
      <c r="J803" s="124"/>
    </row>
    <row r="804">
      <c r="A804" s="128"/>
      <c r="B804" s="129"/>
      <c r="C804" s="129"/>
      <c r="D804" s="20"/>
      <c r="E804" s="123"/>
      <c r="F804" s="108"/>
      <c r="G804" s="108"/>
      <c r="I804" s="20"/>
      <c r="J804" s="124"/>
    </row>
    <row r="805">
      <c r="A805" s="128"/>
      <c r="B805" s="129"/>
      <c r="C805" s="129"/>
      <c r="D805" s="20"/>
      <c r="E805" s="123"/>
      <c r="F805" s="108"/>
      <c r="G805" s="108"/>
      <c r="I805" s="20"/>
      <c r="J805" s="124"/>
    </row>
    <row r="806">
      <c r="A806" s="128"/>
      <c r="B806" s="129"/>
      <c r="C806" s="129"/>
      <c r="D806" s="20"/>
      <c r="E806" s="123"/>
      <c r="F806" s="108"/>
      <c r="G806" s="108"/>
      <c r="I806" s="20"/>
      <c r="J806" s="124"/>
    </row>
    <row r="807">
      <c r="A807" s="128"/>
      <c r="B807" s="129"/>
      <c r="C807" s="129"/>
      <c r="D807" s="20"/>
      <c r="E807" s="123"/>
      <c r="F807" s="108"/>
      <c r="G807" s="108"/>
      <c r="I807" s="20"/>
      <c r="J807" s="124"/>
    </row>
    <row r="808">
      <c r="A808" s="128"/>
      <c r="B808" s="129"/>
      <c r="C808" s="129"/>
      <c r="D808" s="20"/>
      <c r="E808" s="123"/>
      <c r="F808" s="108"/>
      <c r="G808" s="108"/>
      <c r="I808" s="20"/>
      <c r="J808" s="124"/>
    </row>
    <row r="809">
      <c r="A809" s="128"/>
      <c r="B809" s="129"/>
      <c r="C809" s="129"/>
      <c r="D809" s="20"/>
      <c r="E809" s="123"/>
      <c r="F809" s="108"/>
      <c r="G809" s="108"/>
      <c r="I809" s="20"/>
      <c r="J809" s="124"/>
    </row>
    <row r="810">
      <c r="A810" s="128"/>
      <c r="B810" s="129"/>
      <c r="C810" s="129"/>
      <c r="D810" s="20"/>
      <c r="E810" s="123"/>
      <c r="F810" s="108"/>
      <c r="G810" s="108"/>
      <c r="I810" s="20"/>
      <c r="J810" s="124"/>
    </row>
    <row r="811">
      <c r="A811" s="128"/>
      <c r="B811" s="129"/>
      <c r="C811" s="129"/>
      <c r="D811" s="20"/>
      <c r="E811" s="123"/>
      <c r="F811" s="108"/>
      <c r="G811" s="108"/>
      <c r="I811" s="20"/>
      <c r="J811" s="124"/>
    </row>
    <row r="812">
      <c r="A812" s="128"/>
      <c r="B812" s="129"/>
      <c r="C812" s="129"/>
      <c r="D812" s="20"/>
      <c r="E812" s="123"/>
      <c r="F812" s="108"/>
      <c r="G812" s="108"/>
      <c r="I812" s="20"/>
      <c r="J812" s="124"/>
    </row>
    <row r="813">
      <c r="A813" s="128"/>
      <c r="B813" s="129"/>
      <c r="C813" s="129"/>
      <c r="D813" s="20"/>
      <c r="E813" s="123"/>
      <c r="F813" s="108"/>
      <c r="G813" s="108"/>
      <c r="I813" s="20"/>
      <c r="J813" s="124"/>
    </row>
    <row r="814">
      <c r="A814" s="128"/>
      <c r="B814" s="129"/>
      <c r="C814" s="129"/>
      <c r="D814" s="20"/>
      <c r="E814" s="123"/>
      <c r="F814" s="108"/>
      <c r="G814" s="108"/>
      <c r="I814" s="20"/>
      <c r="J814" s="124"/>
    </row>
    <row r="815">
      <c r="A815" s="128"/>
      <c r="B815" s="129"/>
      <c r="C815" s="129"/>
      <c r="D815" s="20"/>
      <c r="E815" s="123"/>
      <c r="F815" s="108"/>
      <c r="G815" s="108"/>
      <c r="I815" s="20"/>
      <c r="J815" s="124"/>
    </row>
    <row r="816">
      <c r="A816" s="128"/>
      <c r="B816" s="129"/>
      <c r="C816" s="129"/>
      <c r="D816" s="20"/>
      <c r="E816" s="123"/>
      <c r="F816" s="108"/>
      <c r="G816" s="108"/>
      <c r="I816" s="20"/>
      <c r="J816" s="124"/>
    </row>
    <row r="817">
      <c r="A817" s="128"/>
      <c r="B817" s="129"/>
      <c r="C817" s="129"/>
      <c r="D817" s="20"/>
      <c r="E817" s="123"/>
      <c r="F817" s="108"/>
      <c r="G817" s="108"/>
      <c r="I817" s="20"/>
      <c r="J817" s="124"/>
    </row>
    <row r="818">
      <c r="A818" s="128"/>
      <c r="B818" s="129"/>
      <c r="C818" s="129"/>
      <c r="D818" s="20"/>
      <c r="E818" s="123"/>
      <c r="F818" s="108"/>
      <c r="G818" s="108"/>
      <c r="I818" s="20"/>
      <c r="J818" s="124"/>
    </row>
    <row r="819">
      <c r="A819" s="128"/>
      <c r="B819" s="129"/>
      <c r="C819" s="129"/>
      <c r="D819" s="20"/>
      <c r="E819" s="123"/>
      <c r="F819" s="108"/>
      <c r="G819" s="108"/>
      <c r="I819" s="20"/>
      <c r="J819" s="124"/>
    </row>
    <row r="820">
      <c r="A820" s="128"/>
      <c r="B820" s="129"/>
      <c r="C820" s="129"/>
      <c r="D820" s="20"/>
      <c r="E820" s="123"/>
      <c r="F820" s="108"/>
      <c r="G820" s="108"/>
      <c r="I820" s="20"/>
      <c r="J820" s="124"/>
    </row>
    <row r="821">
      <c r="A821" s="128"/>
      <c r="B821" s="129"/>
      <c r="C821" s="129"/>
      <c r="D821" s="20"/>
      <c r="E821" s="123"/>
      <c r="F821" s="108"/>
      <c r="G821" s="108"/>
      <c r="I821" s="20"/>
      <c r="J821" s="124"/>
    </row>
    <row r="822">
      <c r="A822" s="128"/>
      <c r="B822" s="129"/>
      <c r="C822" s="129"/>
      <c r="D822" s="20"/>
      <c r="E822" s="123"/>
      <c r="F822" s="108"/>
      <c r="G822" s="108"/>
      <c r="I822" s="20"/>
      <c r="J822" s="124"/>
    </row>
    <row r="823">
      <c r="A823" s="128"/>
      <c r="B823" s="129"/>
      <c r="C823" s="129"/>
      <c r="D823" s="20"/>
      <c r="E823" s="123"/>
      <c r="F823" s="108"/>
      <c r="G823" s="108"/>
      <c r="I823" s="20"/>
      <c r="J823" s="124"/>
    </row>
    <row r="824">
      <c r="A824" s="128"/>
      <c r="B824" s="129"/>
      <c r="C824" s="129"/>
      <c r="D824" s="20"/>
      <c r="E824" s="123"/>
      <c r="F824" s="108"/>
      <c r="G824" s="108"/>
      <c r="I824" s="20"/>
      <c r="J824" s="124"/>
    </row>
    <row r="825">
      <c r="A825" s="128"/>
      <c r="B825" s="129"/>
      <c r="C825" s="129"/>
      <c r="D825" s="20"/>
      <c r="E825" s="123"/>
      <c r="F825" s="108"/>
      <c r="G825" s="108"/>
      <c r="I825" s="20"/>
      <c r="J825" s="124"/>
    </row>
    <row r="826">
      <c r="A826" s="128"/>
      <c r="B826" s="129"/>
      <c r="C826" s="129"/>
      <c r="D826" s="20"/>
      <c r="E826" s="123"/>
      <c r="F826" s="108"/>
      <c r="G826" s="108"/>
      <c r="I826" s="20"/>
      <c r="J826" s="124"/>
    </row>
    <row r="827">
      <c r="A827" s="128"/>
      <c r="B827" s="129"/>
      <c r="C827" s="129"/>
      <c r="D827" s="20"/>
      <c r="E827" s="123"/>
      <c r="F827" s="108"/>
      <c r="G827" s="108"/>
      <c r="I827" s="20"/>
      <c r="J827" s="124"/>
    </row>
    <row r="828">
      <c r="A828" s="128"/>
      <c r="B828" s="129"/>
      <c r="C828" s="129"/>
      <c r="D828" s="20"/>
      <c r="E828" s="123"/>
      <c r="F828" s="108"/>
      <c r="G828" s="108"/>
      <c r="I828" s="20"/>
      <c r="J828" s="124"/>
    </row>
    <row r="829">
      <c r="A829" s="128"/>
      <c r="B829" s="129"/>
      <c r="C829" s="129"/>
      <c r="D829" s="20"/>
      <c r="E829" s="123"/>
      <c r="F829" s="108"/>
      <c r="G829" s="108"/>
      <c r="I829" s="20"/>
      <c r="J829" s="124"/>
    </row>
    <row r="830">
      <c r="A830" s="128"/>
      <c r="B830" s="129"/>
      <c r="C830" s="129"/>
      <c r="D830" s="20"/>
      <c r="E830" s="123"/>
      <c r="F830" s="108"/>
      <c r="G830" s="108"/>
      <c r="I830" s="20"/>
      <c r="J830" s="124"/>
    </row>
    <row r="831">
      <c r="A831" s="128"/>
      <c r="B831" s="129"/>
      <c r="C831" s="129"/>
      <c r="D831" s="20"/>
      <c r="E831" s="123"/>
      <c r="F831" s="108"/>
      <c r="G831" s="108"/>
      <c r="I831" s="20"/>
      <c r="J831" s="124"/>
    </row>
    <row r="832">
      <c r="A832" s="128"/>
      <c r="B832" s="129"/>
      <c r="C832" s="129"/>
      <c r="D832" s="20"/>
      <c r="E832" s="123"/>
      <c r="F832" s="108"/>
      <c r="G832" s="108"/>
      <c r="I832" s="20"/>
      <c r="J832" s="124"/>
    </row>
    <row r="833">
      <c r="A833" s="128"/>
      <c r="B833" s="129"/>
      <c r="C833" s="129"/>
      <c r="D833" s="20"/>
      <c r="E833" s="123"/>
      <c r="F833" s="108"/>
      <c r="G833" s="108"/>
      <c r="I833" s="20"/>
      <c r="J833" s="124"/>
    </row>
    <row r="834">
      <c r="A834" s="128"/>
      <c r="B834" s="129"/>
      <c r="C834" s="129"/>
      <c r="D834" s="20"/>
      <c r="E834" s="123"/>
      <c r="F834" s="108"/>
      <c r="G834" s="108"/>
      <c r="I834" s="20"/>
      <c r="J834" s="124"/>
    </row>
    <row r="835">
      <c r="A835" s="128"/>
      <c r="B835" s="129"/>
      <c r="C835" s="129"/>
      <c r="D835" s="20"/>
      <c r="E835" s="123"/>
      <c r="F835" s="108"/>
      <c r="G835" s="108"/>
      <c r="I835" s="20"/>
      <c r="J835" s="124"/>
    </row>
    <row r="836">
      <c r="A836" s="128"/>
      <c r="B836" s="129"/>
      <c r="C836" s="129"/>
      <c r="D836" s="20"/>
      <c r="E836" s="123"/>
      <c r="F836" s="108"/>
      <c r="G836" s="108"/>
      <c r="I836" s="20"/>
      <c r="J836" s="124"/>
    </row>
    <row r="837">
      <c r="A837" s="128"/>
      <c r="B837" s="129"/>
      <c r="C837" s="129"/>
      <c r="D837" s="20"/>
      <c r="E837" s="123"/>
      <c r="F837" s="108"/>
      <c r="G837" s="108"/>
      <c r="I837" s="20"/>
      <c r="J837" s="124"/>
    </row>
    <row r="838">
      <c r="A838" s="128"/>
      <c r="B838" s="129"/>
      <c r="C838" s="129"/>
      <c r="D838" s="20"/>
      <c r="E838" s="123"/>
      <c r="F838" s="108"/>
      <c r="G838" s="108"/>
      <c r="I838" s="20"/>
      <c r="J838" s="124"/>
    </row>
    <row r="839">
      <c r="A839" s="128"/>
      <c r="B839" s="129"/>
      <c r="C839" s="129"/>
      <c r="D839" s="20"/>
      <c r="E839" s="123"/>
      <c r="F839" s="108"/>
      <c r="G839" s="108"/>
      <c r="I839" s="20"/>
      <c r="J839" s="124"/>
    </row>
    <row r="840">
      <c r="A840" s="128"/>
      <c r="B840" s="129"/>
      <c r="C840" s="129"/>
      <c r="D840" s="20"/>
      <c r="E840" s="123"/>
      <c r="F840" s="108"/>
      <c r="G840" s="108"/>
      <c r="I840" s="20"/>
      <c r="J840" s="124"/>
    </row>
    <row r="841">
      <c r="A841" s="128"/>
      <c r="B841" s="129"/>
      <c r="C841" s="129"/>
      <c r="D841" s="20"/>
      <c r="E841" s="123"/>
      <c r="F841" s="108"/>
      <c r="G841" s="108"/>
      <c r="I841" s="20"/>
      <c r="J841" s="124"/>
    </row>
    <row r="842">
      <c r="A842" s="128"/>
      <c r="B842" s="129"/>
      <c r="C842" s="129"/>
      <c r="D842" s="20"/>
      <c r="E842" s="123"/>
      <c r="F842" s="108"/>
      <c r="G842" s="108"/>
      <c r="I842" s="20"/>
      <c r="J842" s="124"/>
    </row>
    <row r="843">
      <c r="A843" s="128"/>
      <c r="B843" s="129"/>
      <c r="C843" s="129"/>
      <c r="D843" s="20"/>
      <c r="E843" s="123"/>
      <c r="F843" s="108"/>
      <c r="G843" s="108"/>
      <c r="I843" s="20"/>
      <c r="J843" s="124"/>
    </row>
    <row r="844">
      <c r="A844" s="128"/>
      <c r="B844" s="129"/>
      <c r="C844" s="129"/>
      <c r="D844" s="20"/>
      <c r="E844" s="123"/>
      <c r="F844" s="108"/>
      <c r="G844" s="108"/>
      <c r="I844" s="20"/>
      <c r="J844" s="124"/>
    </row>
    <row r="845">
      <c r="A845" s="128"/>
      <c r="B845" s="129"/>
      <c r="C845" s="129"/>
      <c r="D845" s="20"/>
      <c r="E845" s="123"/>
      <c r="F845" s="108"/>
      <c r="G845" s="108"/>
      <c r="I845" s="20"/>
      <c r="J845" s="124"/>
    </row>
    <row r="846">
      <c r="A846" s="128"/>
      <c r="B846" s="129"/>
      <c r="C846" s="129"/>
      <c r="D846" s="20"/>
      <c r="E846" s="123"/>
      <c r="F846" s="108"/>
      <c r="G846" s="108"/>
      <c r="I846" s="20"/>
      <c r="J846" s="124"/>
    </row>
    <row r="847">
      <c r="A847" s="128"/>
      <c r="B847" s="129"/>
      <c r="C847" s="129"/>
      <c r="D847" s="20"/>
      <c r="E847" s="123"/>
      <c r="F847" s="108"/>
      <c r="G847" s="108"/>
      <c r="I847" s="20"/>
      <c r="J847" s="124"/>
    </row>
    <row r="848">
      <c r="A848" s="128"/>
      <c r="B848" s="129"/>
      <c r="C848" s="129"/>
      <c r="D848" s="20"/>
      <c r="E848" s="123"/>
      <c r="F848" s="108"/>
      <c r="G848" s="108"/>
      <c r="I848" s="20"/>
      <c r="J848" s="124"/>
    </row>
    <row r="849">
      <c r="A849" s="128"/>
      <c r="B849" s="129"/>
      <c r="C849" s="129"/>
      <c r="D849" s="20"/>
      <c r="E849" s="123"/>
      <c r="F849" s="108"/>
      <c r="G849" s="108"/>
      <c r="I849" s="20"/>
      <c r="J849" s="124"/>
    </row>
    <row r="850">
      <c r="A850" s="128"/>
      <c r="B850" s="129"/>
      <c r="C850" s="129"/>
      <c r="D850" s="20"/>
      <c r="E850" s="123"/>
      <c r="F850" s="108"/>
      <c r="G850" s="108"/>
      <c r="I850" s="20"/>
      <c r="J850" s="124"/>
    </row>
    <row r="851">
      <c r="A851" s="128"/>
      <c r="B851" s="129"/>
      <c r="C851" s="129"/>
      <c r="D851" s="20"/>
      <c r="E851" s="123"/>
      <c r="F851" s="108"/>
      <c r="G851" s="108"/>
      <c r="I851" s="20"/>
      <c r="J851" s="124"/>
    </row>
    <row r="852">
      <c r="A852" s="128"/>
      <c r="B852" s="129"/>
      <c r="C852" s="129"/>
      <c r="D852" s="20"/>
      <c r="E852" s="123"/>
      <c r="F852" s="108"/>
      <c r="G852" s="108"/>
      <c r="I852" s="20"/>
      <c r="J852" s="124"/>
    </row>
    <row r="853">
      <c r="A853" s="128"/>
      <c r="B853" s="129"/>
      <c r="C853" s="129"/>
      <c r="D853" s="20"/>
      <c r="E853" s="123"/>
      <c r="F853" s="108"/>
      <c r="G853" s="108"/>
      <c r="I853" s="20"/>
      <c r="J853" s="124"/>
    </row>
    <row r="854">
      <c r="A854" s="128"/>
      <c r="B854" s="129"/>
      <c r="C854" s="129"/>
      <c r="D854" s="20"/>
      <c r="E854" s="123"/>
      <c r="F854" s="108"/>
      <c r="G854" s="108"/>
      <c r="I854" s="20"/>
      <c r="J854" s="124"/>
    </row>
    <row r="855">
      <c r="A855" s="128"/>
      <c r="B855" s="129"/>
      <c r="C855" s="129"/>
      <c r="D855" s="20"/>
      <c r="E855" s="123"/>
      <c r="F855" s="108"/>
      <c r="G855" s="108"/>
      <c r="I855" s="20"/>
      <c r="J855" s="124"/>
    </row>
    <row r="856">
      <c r="A856" s="128"/>
      <c r="B856" s="129"/>
      <c r="C856" s="129"/>
      <c r="D856" s="20"/>
      <c r="E856" s="123"/>
      <c r="F856" s="108"/>
      <c r="G856" s="108"/>
      <c r="I856" s="20"/>
      <c r="J856" s="124"/>
    </row>
    <row r="857">
      <c r="A857" s="128"/>
      <c r="B857" s="129"/>
      <c r="C857" s="129"/>
      <c r="D857" s="20"/>
      <c r="E857" s="123"/>
      <c r="F857" s="108"/>
      <c r="G857" s="108"/>
      <c r="I857" s="20"/>
      <c r="J857" s="124"/>
    </row>
    <row r="858">
      <c r="A858" s="128"/>
      <c r="B858" s="129"/>
      <c r="C858" s="129"/>
      <c r="D858" s="20"/>
      <c r="E858" s="123"/>
      <c r="F858" s="108"/>
      <c r="G858" s="108"/>
      <c r="I858" s="20"/>
      <c r="J858" s="124"/>
    </row>
    <row r="859">
      <c r="A859" s="128"/>
      <c r="B859" s="129"/>
      <c r="C859" s="129"/>
      <c r="D859" s="20"/>
      <c r="E859" s="123"/>
      <c r="F859" s="108"/>
      <c r="G859" s="108"/>
      <c r="I859" s="20"/>
      <c r="J859" s="124"/>
    </row>
    <row r="860">
      <c r="A860" s="128"/>
      <c r="B860" s="129"/>
      <c r="C860" s="129"/>
      <c r="D860" s="20"/>
      <c r="E860" s="123"/>
      <c r="F860" s="108"/>
      <c r="G860" s="108"/>
      <c r="I860" s="20"/>
      <c r="J860" s="124"/>
    </row>
    <row r="861">
      <c r="A861" s="128"/>
      <c r="B861" s="129"/>
      <c r="C861" s="129"/>
      <c r="D861" s="20"/>
      <c r="E861" s="123"/>
      <c r="F861" s="108"/>
      <c r="G861" s="108"/>
      <c r="I861" s="20"/>
      <c r="J861" s="124"/>
    </row>
    <row r="862">
      <c r="A862" s="128"/>
      <c r="B862" s="129"/>
      <c r="C862" s="129"/>
      <c r="D862" s="20"/>
      <c r="E862" s="123"/>
      <c r="F862" s="108"/>
      <c r="G862" s="108"/>
      <c r="I862" s="20"/>
      <c r="J862" s="124"/>
    </row>
    <row r="863">
      <c r="A863" s="128"/>
      <c r="B863" s="129"/>
      <c r="C863" s="129"/>
      <c r="D863" s="20"/>
      <c r="E863" s="123"/>
      <c r="F863" s="108"/>
      <c r="G863" s="108"/>
      <c r="I863" s="20"/>
      <c r="J863" s="124"/>
    </row>
    <row r="864">
      <c r="A864" s="128"/>
      <c r="B864" s="129"/>
      <c r="C864" s="129"/>
      <c r="D864" s="20"/>
      <c r="E864" s="123"/>
      <c r="F864" s="108"/>
      <c r="G864" s="108"/>
      <c r="I864" s="20"/>
      <c r="J864" s="124"/>
    </row>
    <row r="865">
      <c r="A865" s="128"/>
      <c r="B865" s="129"/>
      <c r="C865" s="129"/>
      <c r="D865" s="20"/>
      <c r="E865" s="123"/>
      <c r="F865" s="108"/>
      <c r="G865" s="108"/>
      <c r="I865" s="20"/>
      <c r="J865" s="124"/>
    </row>
    <row r="866">
      <c r="A866" s="128"/>
      <c r="B866" s="129"/>
      <c r="C866" s="129"/>
      <c r="D866" s="20"/>
      <c r="E866" s="123"/>
      <c r="F866" s="108"/>
      <c r="G866" s="108"/>
      <c r="I866" s="20"/>
      <c r="J866" s="124"/>
    </row>
    <row r="867">
      <c r="A867" s="128"/>
      <c r="B867" s="129"/>
      <c r="C867" s="129"/>
      <c r="D867" s="20"/>
      <c r="E867" s="123"/>
      <c r="F867" s="108"/>
      <c r="G867" s="108"/>
      <c r="I867" s="20"/>
      <c r="J867" s="124"/>
    </row>
    <row r="868">
      <c r="A868" s="128"/>
      <c r="B868" s="129"/>
      <c r="C868" s="129"/>
      <c r="D868" s="20"/>
      <c r="E868" s="123"/>
      <c r="F868" s="108"/>
      <c r="G868" s="108"/>
      <c r="I868" s="20"/>
      <c r="J868" s="124"/>
    </row>
    <row r="869">
      <c r="A869" s="128"/>
      <c r="B869" s="129"/>
      <c r="C869" s="129"/>
      <c r="D869" s="20"/>
      <c r="E869" s="123"/>
      <c r="F869" s="108"/>
      <c r="G869" s="108"/>
      <c r="I869" s="20"/>
      <c r="J869" s="124"/>
    </row>
    <row r="870">
      <c r="A870" s="128"/>
      <c r="B870" s="129"/>
      <c r="C870" s="129"/>
      <c r="D870" s="20"/>
      <c r="E870" s="123"/>
      <c r="F870" s="108"/>
      <c r="G870" s="108"/>
      <c r="I870" s="20"/>
      <c r="J870" s="124"/>
    </row>
    <row r="871">
      <c r="A871" s="128"/>
      <c r="B871" s="129"/>
      <c r="C871" s="129"/>
      <c r="D871" s="20"/>
      <c r="E871" s="123"/>
      <c r="F871" s="108"/>
      <c r="G871" s="108"/>
      <c r="I871" s="20"/>
      <c r="J871" s="124"/>
    </row>
    <row r="872">
      <c r="A872" s="128"/>
      <c r="B872" s="129"/>
      <c r="C872" s="129"/>
      <c r="D872" s="20"/>
      <c r="E872" s="123"/>
      <c r="F872" s="108"/>
      <c r="G872" s="108"/>
      <c r="I872" s="20"/>
      <c r="J872" s="124"/>
    </row>
    <row r="873">
      <c r="A873" s="128"/>
      <c r="B873" s="129"/>
      <c r="C873" s="129"/>
      <c r="D873" s="20"/>
      <c r="E873" s="123"/>
      <c r="F873" s="108"/>
      <c r="G873" s="108"/>
      <c r="I873" s="20"/>
      <c r="J873" s="124"/>
    </row>
    <row r="874">
      <c r="A874" s="128"/>
      <c r="B874" s="129"/>
      <c r="C874" s="129"/>
      <c r="D874" s="20"/>
      <c r="E874" s="123"/>
      <c r="F874" s="108"/>
      <c r="G874" s="108"/>
      <c r="I874" s="20"/>
      <c r="J874" s="124"/>
    </row>
    <row r="875">
      <c r="A875" s="128"/>
      <c r="B875" s="129"/>
      <c r="C875" s="129"/>
      <c r="D875" s="20"/>
      <c r="E875" s="123"/>
      <c r="F875" s="108"/>
      <c r="G875" s="108"/>
      <c r="I875" s="20"/>
      <c r="J875" s="124"/>
    </row>
    <row r="876">
      <c r="A876" s="128"/>
      <c r="B876" s="129"/>
      <c r="C876" s="129"/>
      <c r="D876" s="20"/>
      <c r="E876" s="123"/>
      <c r="F876" s="108"/>
      <c r="G876" s="108"/>
      <c r="I876" s="20"/>
      <c r="J876" s="124"/>
    </row>
    <row r="877">
      <c r="A877" s="128"/>
      <c r="B877" s="129"/>
      <c r="C877" s="129"/>
      <c r="D877" s="20"/>
      <c r="E877" s="123"/>
      <c r="F877" s="108"/>
      <c r="G877" s="108"/>
      <c r="I877" s="20"/>
      <c r="J877" s="124"/>
    </row>
    <row r="878">
      <c r="A878" s="128"/>
      <c r="B878" s="129"/>
      <c r="C878" s="129"/>
      <c r="D878" s="20"/>
      <c r="E878" s="123"/>
      <c r="F878" s="108"/>
      <c r="G878" s="108"/>
      <c r="I878" s="20"/>
      <c r="J878" s="124"/>
    </row>
    <row r="879">
      <c r="A879" s="128"/>
      <c r="B879" s="129"/>
      <c r="C879" s="129"/>
      <c r="D879" s="20"/>
      <c r="E879" s="123"/>
      <c r="F879" s="108"/>
      <c r="G879" s="108"/>
      <c r="I879" s="20"/>
      <c r="J879" s="124"/>
    </row>
    <row r="880">
      <c r="A880" s="128"/>
      <c r="B880" s="129"/>
      <c r="C880" s="129"/>
      <c r="D880" s="20"/>
      <c r="E880" s="123"/>
      <c r="F880" s="108"/>
      <c r="G880" s="108"/>
      <c r="I880" s="20"/>
      <c r="J880" s="124"/>
    </row>
    <row r="881">
      <c r="A881" s="128"/>
      <c r="B881" s="129"/>
      <c r="C881" s="129"/>
      <c r="D881" s="20"/>
      <c r="E881" s="123"/>
      <c r="F881" s="108"/>
      <c r="G881" s="108"/>
      <c r="I881" s="20"/>
      <c r="J881" s="124"/>
    </row>
    <row r="882">
      <c r="A882" s="128"/>
      <c r="B882" s="129"/>
      <c r="C882" s="129"/>
      <c r="D882" s="20"/>
      <c r="E882" s="123"/>
      <c r="F882" s="108"/>
      <c r="G882" s="108"/>
      <c r="I882" s="20"/>
      <c r="J882" s="124"/>
    </row>
    <row r="883">
      <c r="A883" s="128"/>
      <c r="B883" s="129"/>
      <c r="C883" s="129"/>
      <c r="D883" s="20"/>
      <c r="E883" s="123"/>
      <c r="F883" s="108"/>
      <c r="G883" s="108"/>
      <c r="I883" s="20"/>
      <c r="J883" s="124"/>
    </row>
    <row r="884">
      <c r="A884" s="128"/>
      <c r="B884" s="129"/>
      <c r="C884" s="129"/>
      <c r="D884" s="20"/>
      <c r="E884" s="123"/>
      <c r="F884" s="108"/>
      <c r="G884" s="108"/>
      <c r="I884" s="20"/>
      <c r="J884" s="124"/>
    </row>
    <row r="885">
      <c r="A885" s="128"/>
      <c r="B885" s="129"/>
      <c r="C885" s="129"/>
      <c r="D885" s="20"/>
      <c r="E885" s="123"/>
      <c r="F885" s="108"/>
      <c r="G885" s="108"/>
      <c r="I885" s="20"/>
      <c r="J885" s="124"/>
    </row>
    <row r="886">
      <c r="A886" s="128"/>
      <c r="B886" s="129"/>
      <c r="C886" s="129"/>
      <c r="D886" s="20"/>
      <c r="E886" s="123"/>
      <c r="F886" s="108"/>
      <c r="G886" s="108"/>
      <c r="I886" s="20"/>
      <c r="J886" s="124"/>
    </row>
    <row r="887">
      <c r="A887" s="128"/>
      <c r="B887" s="129"/>
      <c r="C887" s="129"/>
      <c r="D887" s="20"/>
      <c r="E887" s="123"/>
      <c r="F887" s="108"/>
      <c r="G887" s="108"/>
      <c r="I887" s="20"/>
      <c r="J887" s="124"/>
    </row>
    <row r="888">
      <c r="A888" s="128"/>
      <c r="B888" s="129"/>
      <c r="C888" s="129"/>
      <c r="D888" s="20"/>
      <c r="E888" s="123"/>
      <c r="F888" s="108"/>
      <c r="G888" s="108"/>
      <c r="I888" s="20"/>
      <c r="J888" s="124"/>
    </row>
    <row r="889">
      <c r="A889" s="128"/>
      <c r="B889" s="129"/>
      <c r="C889" s="129"/>
      <c r="D889" s="20"/>
      <c r="E889" s="123"/>
      <c r="F889" s="108"/>
      <c r="G889" s="108"/>
      <c r="I889" s="20"/>
      <c r="J889" s="124"/>
    </row>
    <row r="890">
      <c r="A890" s="128"/>
      <c r="B890" s="129"/>
      <c r="C890" s="129"/>
      <c r="D890" s="20"/>
      <c r="E890" s="123"/>
      <c r="F890" s="108"/>
      <c r="G890" s="108"/>
      <c r="I890" s="20"/>
      <c r="J890" s="124"/>
    </row>
    <row r="891">
      <c r="A891" s="128"/>
      <c r="B891" s="129"/>
      <c r="C891" s="129"/>
      <c r="D891" s="20"/>
      <c r="E891" s="123"/>
      <c r="F891" s="108"/>
      <c r="G891" s="108"/>
      <c r="I891" s="20"/>
      <c r="J891" s="124"/>
    </row>
    <row r="892">
      <c r="A892" s="128"/>
      <c r="B892" s="129"/>
      <c r="C892" s="129"/>
      <c r="D892" s="20"/>
      <c r="E892" s="123"/>
      <c r="F892" s="108"/>
      <c r="G892" s="108"/>
      <c r="I892" s="20"/>
      <c r="J892" s="124"/>
    </row>
    <row r="893">
      <c r="A893" s="128"/>
      <c r="B893" s="129"/>
      <c r="C893" s="129"/>
      <c r="D893" s="20"/>
      <c r="E893" s="123"/>
      <c r="F893" s="108"/>
      <c r="G893" s="108"/>
      <c r="I893" s="20"/>
      <c r="J893" s="124"/>
    </row>
    <row r="894">
      <c r="A894" s="128"/>
      <c r="B894" s="129"/>
      <c r="C894" s="129"/>
      <c r="D894" s="20"/>
      <c r="E894" s="123"/>
      <c r="F894" s="108"/>
      <c r="G894" s="108"/>
      <c r="I894" s="20"/>
      <c r="J894" s="124"/>
    </row>
    <row r="895">
      <c r="A895" s="128"/>
      <c r="B895" s="129"/>
      <c r="C895" s="129"/>
      <c r="D895" s="20"/>
      <c r="E895" s="123"/>
      <c r="F895" s="108"/>
      <c r="G895" s="108"/>
      <c r="I895" s="20"/>
      <c r="J895" s="124"/>
    </row>
    <row r="896">
      <c r="A896" s="128"/>
      <c r="B896" s="129"/>
      <c r="C896" s="129"/>
      <c r="D896" s="20"/>
      <c r="E896" s="123"/>
      <c r="F896" s="108"/>
      <c r="G896" s="108"/>
      <c r="I896" s="20"/>
      <c r="J896" s="124"/>
    </row>
    <row r="897">
      <c r="A897" s="128"/>
      <c r="B897" s="129"/>
      <c r="C897" s="129"/>
      <c r="D897" s="20"/>
      <c r="E897" s="123"/>
      <c r="F897" s="108"/>
      <c r="G897" s="108"/>
      <c r="I897" s="20"/>
      <c r="J897" s="124"/>
    </row>
    <row r="898">
      <c r="A898" s="128"/>
      <c r="B898" s="129"/>
      <c r="C898" s="129"/>
      <c r="D898" s="20"/>
      <c r="E898" s="123"/>
      <c r="F898" s="108"/>
      <c r="G898" s="108"/>
      <c r="I898" s="20"/>
      <c r="J898" s="124"/>
    </row>
    <row r="899">
      <c r="A899" s="128"/>
      <c r="B899" s="129"/>
      <c r="C899" s="129"/>
      <c r="D899" s="20"/>
      <c r="E899" s="123"/>
      <c r="F899" s="108"/>
      <c r="G899" s="108"/>
      <c r="I899" s="20"/>
      <c r="J899" s="124"/>
    </row>
    <row r="900">
      <c r="A900" s="128"/>
      <c r="B900" s="129"/>
      <c r="C900" s="129"/>
      <c r="D900" s="20"/>
      <c r="E900" s="123"/>
      <c r="F900" s="108"/>
      <c r="G900" s="108"/>
      <c r="I900" s="20"/>
      <c r="J900" s="124"/>
    </row>
    <row r="901">
      <c r="A901" s="128"/>
      <c r="B901" s="129"/>
      <c r="C901" s="129"/>
      <c r="D901" s="20"/>
      <c r="E901" s="123"/>
      <c r="F901" s="108"/>
      <c r="G901" s="108"/>
      <c r="I901" s="20"/>
      <c r="J901" s="124"/>
    </row>
    <row r="902">
      <c r="A902" s="128"/>
      <c r="B902" s="129"/>
      <c r="C902" s="129"/>
      <c r="D902" s="20"/>
      <c r="E902" s="123"/>
      <c r="F902" s="108"/>
      <c r="G902" s="108"/>
      <c r="I902" s="20"/>
      <c r="J902" s="124"/>
    </row>
    <row r="903">
      <c r="A903" s="128"/>
      <c r="B903" s="129"/>
      <c r="C903" s="129"/>
      <c r="D903" s="20"/>
      <c r="E903" s="123"/>
      <c r="F903" s="108"/>
      <c r="G903" s="108"/>
      <c r="I903" s="20"/>
      <c r="J903" s="124"/>
    </row>
    <row r="904">
      <c r="A904" s="128"/>
      <c r="B904" s="129"/>
      <c r="C904" s="129"/>
      <c r="D904" s="20"/>
      <c r="E904" s="123"/>
      <c r="F904" s="108"/>
      <c r="G904" s="108"/>
      <c r="I904" s="20"/>
      <c r="J904" s="124"/>
    </row>
    <row r="905">
      <c r="A905" s="128"/>
      <c r="B905" s="129"/>
      <c r="C905" s="129"/>
      <c r="D905" s="20"/>
      <c r="E905" s="123"/>
      <c r="F905" s="108"/>
      <c r="G905" s="108"/>
      <c r="I905" s="20"/>
      <c r="J905" s="124"/>
    </row>
    <row r="906">
      <c r="A906" s="128"/>
      <c r="B906" s="129"/>
      <c r="C906" s="129"/>
      <c r="D906" s="20"/>
      <c r="E906" s="123"/>
      <c r="F906" s="108"/>
      <c r="G906" s="108"/>
      <c r="I906" s="20"/>
      <c r="J906" s="124"/>
    </row>
    <row r="907">
      <c r="A907" s="128"/>
      <c r="B907" s="129"/>
      <c r="C907" s="129"/>
      <c r="D907" s="20"/>
      <c r="E907" s="123"/>
      <c r="F907" s="108"/>
      <c r="G907" s="108"/>
      <c r="I907" s="20"/>
      <c r="J907" s="124"/>
    </row>
    <row r="908">
      <c r="A908" s="128"/>
      <c r="B908" s="129"/>
      <c r="C908" s="129"/>
      <c r="D908" s="20"/>
      <c r="E908" s="123"/>
      <c r="F908" s="108"/>
      <c r="G908" s="108"/>
      <c r="I908" s="20"/>
      <c r="J908" s="124"/>
    </row>
    <row r="909">
      <c r="A909" s="128"/>
      <c r="B909" s="129"/>
      <c r="C909" s="129"/>
      <c r="D909" s="20"/>
      <c r="E909" s="123"/>
      <c r="F909" s="108"/>
      <c r="G909" s="108"/>
      <c r="I909" s="20"/>
      <c r="J909" s="124"/>
    </row>
    <row r="910">
      <c r="A910" s="128"/>
      <c r="B910" s="129"/>
      <c r="C910" s="129"/>
      <c r="D910" s="20"/>
      <c r="E910" s="123"/>
      <c r="F910" s="108"/>
      <c r="G910" s="108"/>
      <c r="I910" s="20"/>
      <c r="J910" s="124"/>
    </row>
    <row r="911">
      <c r="A911" s="128"/>
      <c r="B911" s="129"/>
      <c r="C911" s="129"/>
      <c r="D911" s="20"/>
      <c r="E911" s="123"/>
      <c r="F911" s="108"/>
      <c r="G911" s="108"/>
      <c r="I911" s="20"/>
      <c r="J911" s="124"/>
    </row>
    <row r="912">
      <c r="A912" s="128"/>
      <c r="B912" s="129"/>
      <c r="C912" s="129"/>
      <c r="D912" s="20"/>
      <c r="E912" s="123"/>
      <c r="F912" s="108"/>
      <c r="G912" s="108"/>
      <c r="I912" s="20"/>
      <c r="J912" s="124"/>
    </row>
    <row r="913">
      <c r="A913" s="128"/>
      <c r="B913" s="129"/>
      <c r="C913" s="129"/>
      <c r="D913" s="20"/>
      <c r="E913" s="123"/>
      <c r="F913" s="108"/>
      <c r="G913" s="108"/>
      <c r="I913" s="20"/>
      <c r="J913" s="124"/>
    </row>
    <row r="914">
      <c r="A914" s="128"/>
      <c r="B914" s="129"/>
      <c r="C914" s="129"/>
      <c r="D914" s="20"/>
      <c r="E914" s="123"/>
      <c r="F914" s="108"/>
      <c r="G914" s="108"/>
      <c r="I914" s="20"/>
      <c r="J914" s="124"/>
    </row>
    <row r="915">
      <c r="A915" s="128"/>
      <c r="B915" s="129"/>
      <c r="C915" s="129"/>
      <c r="D915" s="20"/>
      <c r="E915" s="123"/>
      <c r="F915" s="108"/>
      <c r="G915" s="108"/>
      <c r="I915" s="20"/>
      <c r="J915" s="124"/>
    </row>
    <row r="916">
      <c r="A916" s="128"/>
      <c r="B916" s="129"/>
      <c r="C916" s="129"/>
      <c r="D916" s="20"/>
      <c r="E916" s="123"/>
      <c r="F916" s="108"/>
      <c r="G916" s="108"/>
      <c r="I916" s="20"/>
      <c r="J916" s="124"/>
    </row>
    <row r="917">
      <c r="A917" s="128"/>
      <c r="B917" s="129"/>
      <c r="C917" s="129"/>
      <c r="D917" s="20"/>
      <c r="E917" s="123"/>
      <c r="F917" s="108"/>
      <c r="G917" s="108"/>
      <c r="I917" s="20"/>
      <c r="J917" s="124"/>
    </row>
    <row r="918">
      <c r="A918" s="128"/>
      <c r="B918" s="129"/>
      <c r="C918" s="129"/>
      <c r="D918" s="20"/>
      <c r="E918" s="123"/>
      <c r="F918" s="108"/>
      <c r="G918" s="108"/>
      <c r="I918" s="20"/>
      <c r="J918" s="124"/>
    </row>
    <row r="919">
      <c r="A919" s="128"/>
      <c r="B919" s="129"/>
      <c r="C919" s="129"/>
      <c r="D919" s="20"/>
      <c r="E919" s="123"/>
      <c r="F919" s="108"/>
      <c r="G919" s="108"/>
      <c r="I919" s="20"/>
      <c r="J919" s="124"/>
    </row>
    <row r="920">
      <c r="A920" s="128"/>
      <c r="B920" s="129"/>
      <c r="C920" s="129"/>
      <c r="D920" s="20"/>
      <c r="E920" s="123"/>
      <c r="F920" s="108"/>
      <c r="G920" s="108"/>
      <c r="I920" s="20"/>
      <c r="J920" s="124"/>
    </row>
    <row r="921">
      <c r="A921" s="128"/>
      <c r="B921" s="129"/>
      <c r="C921" s="129"/>
      <c r="D921" s="20"/>
      <c r="E921" s="123"/>
      <c r="F921" s="108"/>
      <c r="G921" s="108"/>
      <c r="I921" s="20"/>
      <c r="J921" s="124"/>
    </row>
    <row r="922">
      <c r="A922" s="128"/>
      <c r="B922" s="129"/>
      <c r="C922" s="129"/>
      <c r="D922" s="20"/>
      <c r="E922" s="123"/>
      <c r="F922" s="108"/>
      <c r="G922" s="108"/>
      <c r="I922" s="20"/>
      <c r="J922" s="124"/>
    </row>
    <row r="923">
      <c r="A923" s="128"/>
      <c r="B923" s="129"/>
      <c r="C923" s="129"/>
      <c r="D923" s="20"/>
      <c r="E923" s="123"/>
      <c r="F923" s="108"/>
      <c r="G923" s="108"/>
      <c r="I923" s="20"/>
      <c r="J923" s="124"/>
    </row>
    <row r="924">
      <c r="A924" s="128"/>
      <c r="B924" s="129"/>
      <c r="C924" s="129"/>
      <c r="D924" s="20"/>
      <c r="E924" s="123"/>
      <c r="F924" s="108"/>
      <c r="G924" s="108"/>
      <c r="I924" s="20"/>
      <c r="J924" s="124"/>
    </row>
    <row r="925">
      <c r="A925" s="128"/>
      <c r="B925" s="129"/>
      <c r="C925" s="129"/>
      <c r="D925" s="20"/>
      <c r="E925" s="123"/>
      <c r="F925" s="108"/>
      <c r="G925" s="108"/>
      <c r="I925" s="20"/>
      <c r="J925" s="124"/>
    </row>
    <row r="926">
      <c r="A926" s="128"/>
      <c r="B926" s="129"/>
      <c r="C926" s="129"/>
      <c r="D926" s="20"/>
      <c r="E926" s="123"/>
      <c r="F926" s="108"/>
      <c r="G926" s="108"/>
      <c r="I926" s="20"/>
      <c r="J926" s="124"/>
    </row>
    <row r="927">
      <c r="A927" s="128"/>
      <c r="B927" s="129"/>
      <c r="C927" s="129"/>
      <c r="D927" s="20"/>
      <c r="E927" s="123"/>
      <c r="F927" s="108"/>
      <c r="G927" s="108"/>
      <c r="I927" s="20"/>
      <c r="J927" s="124"/>
    </row>
    <row r="928">
      <c r="A928" s="128"/>
      <c r="B928" s="129"/>
      <c r="C928" s="129"/>
      <c r="D928" s="20"/>
      <c r="E928" s="123"/>
      <c r="F928" s="108"/>
      <c r="G928" s="108"/>
      <c r="I928" s="20"/>
      <c r="J928" s="124"/>
    </row>
    <row r="929">
      <c r="A929" s="128"/>
      <c r="B929" s="129"/>
      <c r="C929" s="129"/>
      <c r="D929" s="20"/>
      <c r="E929" s="123"/>
      <c r="F929" s="108"/>
      <c r="G929" s="108"/>
      <c r="I929" s="20"/>
      <c r="J929" s="124"/>
    </row>
    <row r="930">
      <c r="A930" s="128"/>
      <c r="B930" s="129"/>
      <c r="C930" s="129"/>
      <c r="D930" s="20"/>
      <c r="E930" s="123"/>
      <c r="F930" s="108"/>
      <c r="G930" s="108"/>
      <c r="I930" s="20"/>
      <c r="J930" s="124"/>
    </row>
    <row r="931">
      <c r="A931" s="128"/>
      <c r="B931" s="129"/>
      <c r="C931" s="129"/>
      <c r="D931" s="20"/>
      <c r="E931" s="123"/>
      <c r="F931" s="108"/>
      <c r="G931" s="108"/>
      <c r="I931" s="20"/>
      <c r="J931" s="124"/>
    </row>
    <row r="932">
      <c r="A932" s="128"/>
      <c r="B932" s="129"/>
      <c r="C932" s="129"/>
      <c r="D932" s="20"/>
      <c r="E932" s="123"/>
      <c r="F932" s="108"/>
      <c r="G932" s="108"/>
      <c r="I932" s="20"/>
      <c r="J932" s="124"/>
    </row>
    <row r="933">
      <c r="A933" s="128"/>
      <c r="B933" s="129"/>
      <c r="C933" s="129"/>
      <c r="D933" s="20"/>
      <c r="E933" s="123"/>
      <c r="F933" s="108"/>
      <c r="G933" s="108"/>
      <c r="I933" s="20"/>
      <c r="J933" s="124"/>
    </row>
    <row r="934">
      <c r="A934" s="128"/>
      <c r="B934" s="129"/>
      <c r="C934" s="129"/>
      <c r="D934" s="20"/>
      <c r="E934" s="123"/>
      <c r="F934" s="108"/>
      <c r="G934" s="108"/>
      <c r="I934" s="20"/>
      <c r="J934" s="124"/>
    </row>
    <row r="935">
      <c r="A935" s="128"/>
      <c r="B935" s="129"/>
      <c r="C935" s="129"/>
      <c r="D935" s="20"/>
      <c r="E935" s="123"/>
      <c r="F935" s="108"/>
      <c r="G935" s="108"/>
      <c r="I935" s="20"/>
      <c r="J935" s="124"/>
    </row>
    <row r="936">
      <c r="A936" s="128"/>
      <c r="B936" s="129"/>
      <c r="C936" s="129"/>
      <c r="D936" s="20"/>
      <c r="E936" s="123"/>
      <c r="F936" s="108"/>
      <c r="G936" s="108"/>
      <c r="I936" s="20"/>
      <c r="J936" s="124"/>
    </row>
    <row r="937">
      <c r="A937" s="128"/>
      <c r="B937" s="129"/>
      <c r="C937" s="129"/>
      <c r="D937" s="20"/>
      <c r="E937" s="123"/>
      <c r="F937" s="108"/>
      <c r="G937" s="108"/>
      <c r="I937" s="20"/>
      <c r="J937" s="124"/>
    </row>
    <row r="938">
      <c r="A938" s="128"/>
      <c r="B938" s="129"/>
      <c r="C938" s="129"/>
      <c r="D938" s="20"/>
      <c r="E938" s="123"/>
      <c r="F938" s="108"/>
      <c r="G938" s="108"/>
      <c r="I938" s="20"/>
      <c r="J938" s="124"/>
    </row>
    <row r="939">
      <c r="A939" s="128"/>
      <c r="B939" s="129"/>
      <c r="C939" s="129"/>
      <c r="D939" s="20"/>
      <c r="E939" s="123"/>
      <c r="F939" s="108"/>
      <c r="G939" s="108"/>
      <c r="I939" s="20"/>
      <c r="J939" s="124"/>
    </row>
    <row r="940">
      <c r="A940" s="128"/>
      <c r="B940" s="129"/>
      <c r="C940" s="129"/>
      <c r="D940" s="20"/>
      <c r="E940" s="123"/>
      <c r="F940" s="108"/>
      <c r="G940" s="108"/>
      <c r="I940" s="20"/>
      <c r="J940" s="124"/>
    </row>
    <row r="941">
      <c r="A941" s="128"/>
      <c r="B941" s="129"/>
      <c r="C941" s="129"/>
      <c r="D941" s="20"/>
      <c r="E941" s="123"/>
      <c r="F941" s="108"/>
      <c r="G941" s="108"/>
      <c r="I941" s="20"/>
      <c r="J941" s="124"/>
    </row>
    <row r="942">
      <c r="A942" s="128"/>
      <c r="B942" s="129"/>
      <c r="C942" s="129"/>
      <c r="D942" s="20"/>
      <c r="E942" s="123"/>
      <c r="F942" s="108"/>
      <c r="G942" s="108"/>
      <c r="I942" s="20"/>
      <c r="J942" s="124"/>
    </row>
    <row r="943">
      <c r="A943" s="128"/>
      <c r="B943" s="129"/>
      <c r="C943" s="129"/>
      <c r="D943" s="20"/>
      <c r="E943" s="123"/>
      <c r="F943" s="108"/>
      <c r="G943" s="108"/>
      <c r="I943" s="20"/>
      <c r="J943" s="124"/>
    </row>
    <row r="944">
      <c r="A944" s="128"/>
      <c r="B944" s="129"/>
      <c r="C944" s="129"/>
      <c r="D944" s="20"/>
      <c r="E944" s="123"/>
      <c r="F944" s="108"/>
      <c r="G944" s="108"/>
      <c r="I944" s="20"/>
      <c r="J944" s="124"/>
    </row>
    <row r="945">
      <c r="A945" s="128"/>
      <c r="B945" s="129"/>
      <c r="C945" s="129"/>
      <c r="D945" s="20"/>
      <c r="E945" s="123"/>
      <c r="F945" s="108"/>
      <c r="G945" s="108"/>
      <c r="I945" s="20"/>
      <c r="J945" s="124"/>
    </row>
    <row r="946">
      <c r="A946" s="128"/>
      <c r="B946" s="129"/>
      <c r="C946" s="129"/>
      <c r="D946" s="20"/>
      <c r="E946" s="123"/>
      <c r="F946" s="108"/>
      <c r="G946" s="108"/>
      <c r="I946" s="20"/>
      <c r="J946" s="124"/>
    </row>
    <row r="947">
      <c r="A947" s="128"/>
      <c r="B947" s="129"/>
      <c r="C947" s="129"/>
      <c r="D947" s="20"/>
      <c r="E947" s="123"/>
      <c r="F947" s="108"/>
      <c r="G947" s="108"/>
      <c r="I947" s="20"/>
      <c r="J947" s="124"/>
    </row>
    <row r="948">
      <c r="A948" s="128"/>
      <c r="B948" s="129"/>
      <c r="C948" s="129"/>
      <c r="D948" s="20"/>
      <c r="E948" s="123"/>
      <c r="F948" s="108"/>
      <c r="G948" s="108"/>
      <c r="I948" s="20"/>
      <c r="J948" s="124"/>
    </row>
    <row r="949">
      <c r="A949" s="128"/>
      <c r="B949" s="129"/>
      <c r="C949" s="129"/>
      <c r="D949" s="20"/>
      <c r="E949" s="123"/>
      <c r="F949" s="108"/>
      <c r="G949" s="108"/>
      <c r="I949" s="20"/>
      <c r="J949" s="124"/>
    </row>
    <row r="950">
      <c r="A950" s="128"/>
      <c r="B950" s="129"/>
      <c r="C950" s="129"/>
      <c r="D950" s="20"/>
      <c r="E950" s="123"/>
      <c r="F950" s="108"/>
      <c r="G950" s="108"/>
      <c r="I950" s="20"/>
      <c r="J950" s="124"/>
    </row>
    <row r="951">
      <c r="A951" s="128"/>
      <c r="B951" s="129"/>
      <c r="C951" s="129"/>
      <c r="D951" s="20"/>
      <c r="E951" s="123"/>
      <c r="F951" s="108"/>
      <c r="G951" s="108"/>
      <c r="I951" s="20"/>
      <c r="J951" s="124"/>
    </row>
    <row r="952">
      <c r="A952" s="128"/>
      <c r="B952" s="129"/>
      <c r="C952" s="129"/>
      <c r="D952" s="20"/>
      <c r="E952" s="123"/>
      <c r="F952" s="108"/>
      <c r="G952" s="108"/>
      <c r="I952" s="20"/>
      <c r="J952" s="124"/>
    </row>
    <row r="953">
      <c r="A953" s="128"/>
      <c r="B953" s="129"/>
      <c r="C953" s="129"/>
      <c r="D953" s="20"/>
      <c r="E953" s="123"/>
      <c r="F953" s="108"/>
      <c r="G953" s="108"/>
      <c r="I953" s="20"/>
      <c r="J953" s="124"/>
    </row>
    <row r="954">
      <c r="A954" s="128"/>
      <c r="B954" s="129"/>
      <c r="C954" s="129"/>
      <c r="D954" s="20"/>
      <c r="E954" s="123"/>
      <c r="F954" s="108"/>
      <c r="G954" s="108"/>
      <c r="I954" s="20"/>
      <c r="J954" s="124"/>
    </row>
    <row r="955">
      <c r="A955" s="128"/>
      <c r="B955" s="129"/>
      <c r="C955" s="129"/>
      <c r="D955" s="20"/>
      <c r="E955" s="123"/>
      <c r="F955" s="108"/>
      <c r="G955" s="108"/>
      <c r="I955" s="20"/>
      <c r="J955" s="124"/>
    </row>
    <row r="956">
      <c r="A956" s="128"/>
      <c r="B956" s="129"/>
      <c r="C956" s="129"/>
      <c r="D956" s="20"/>
      <c r="E956" s="123"/>
      <c r="F956" s="108"/>
      <c r="G956" s="108"/>
      <c r="I956" s="20"/>
      <c r="J956" s="124"/>
    </row>
    <row r="957">
      <c r="A957" s="128"/>
      <c r="B957" s="129"/>
      <c r="C957" s="129"/>
      <c r="D957" s="20"/>
      <c r="E957" s="123"/>
      <c r="F957" s="108"/>
      <c r="G957" s="108"/>
      <c r="I957" s="20"/>
      <c r="J957" s="124"/>
    </row>
    <row r="958">
      <c r="A958" s="128"/>
      <c r="B958" s="129"/>
      <c r="C958" s="129"/>
      <c r="D958" s="20"/>
      <c r="E958" s="123"/>
      <c r="F958" s="108"/>
      <c r="G958" s="108"/>
      <c r="I958" s="20"/>
      <c r="J958" s="124"/>
    </row>
    <row r="959">
      <c r="A959" s="128"/>
      <c r="B959" s="129"/>
      <c r="C959" s="129"/>
      <c r="D959" s="20"/>
      <c r="E959" s="123"/>
      <c r="F959" s="108"/>
      <c r="G959" s="108"/>
      <c r="I959" s="20"/>
      <c r="J959" s="124"/>
    </row>
    <row r="960">
      <c r="A960" s="128"/>
      <c r="B960" s="129"/>
      <c r="C960" s="129"/>
      <c r="D960" s="20"/>
      <c r="E960" s="123"/>
      <c r="F960" s="108"/>
      <c r="G960" s="108"/>
      <c r="I960" s="20"/>
      <c r="J960" s="124"/>
    </row>
    <row r="961">
      <c r="A961" s="128"/>
      <c r="B961" s="129"/>
      <c r="C961" s="129"/>
      <c r="D961" s="20"/>
      <c r="E961" s="123"/>
      <c r="F961" s="108"/>
      <c r="G961" s="108"/>
      <c r="I961" s="20"/>
      <c r="J961" s="124"/>
    </row>
    <row r="962">
      <c r="A962" s="128"/>
      <c r="B962" s="129"/>
      <c r="C962" s="129"/>
      <c r="D962" s="20"/>
      <c r="E962" s="123"/>
      <c r="F962" s="108"/>
      <c r="G962" s="108"/>
      <c r="I962" s="20"/>
      <c r="J962" s="124"/>
    </row>
    <row r="963">
      <c r="A963" s="128"/>
      <c r="B963" s="129"/>
      <c r="C963" s="129"/>
      <c r="D963" s="20"/>
      <c r="E963" s="123"/>
      <c r="F963" s="108"/>
      <c r="G963" s="108"/>
      <c r="I963" s="20"/>
      <c r="J963" s="124"/>
    </row>
    <row r="964">
      <c r="A964" s="128"/>
      <c r="B964" s="129"/>
      <c r="C964" s="129"/>
      <c r="D964" s="20"/>
      <c r="E964" s="123"/>
      <c r="F964" s="108"/>
      <c r="G964" s="108"/>
      <c r="I964" s="20"/>
      <c r="J964" s="124"/>
    </row>
    <row r="965">
      <c r="A965" s="128"/>
      <c r="B965" s="129"/>
      <c r="C965" s="129"/>
      <c r="D965" s="20"/>
      <c r="E965" s="123"/>
      <c r="F965" s="108"/>
      <c r="G965" s="108"/>
      <c r="I965" s="20"/>
      <c r="J965" s="124"/>
    </row>
    <row r="966">
      <c r="A966" s="128"/>
      <c r="B966" s="129"/>
      <c r="C966" s="129"/>
      <c r="D966" s="20"/>
      <c r="E966" s="123"/>
      <c r="F966" s="108"/>
      <c r="G966" s="108"/>
      <c r="I966" s="20"/>
      <c r="J966" s="124"/>
    </row>
    <row r="967">
      <c r="A967" s="128"/>
      <c r="B967" s="129"/>
      <c r="C967" s="129"/>
      <c r="D967" s="20"/>
      <c r="E967" s="123"/>
      <c r="F967" s="108"/>
      <c r="G967" s="108"/>
      <c r="I967" s="20"/>
      <c r="J967" s="124"/>
    </row>
    <row r="968">
      <c r="A968" s="128"/>
      <c r="B968" s="129"/>
      <c r="C968" s="129"/>
      <c r="D968" s="20"/>
      <c r="E968" s="123"/>
      <c r="F968" s="108"/>
      <c r="G968" s="108"/>
      <c r="I968" s="20"/>
      <c r="J968" s="124"/>
    </row>
    <row r="969">
      <c r="A969" s="128"/>
      <c r="B969" s="129"/>
      <c r="C969" s="129"/>
      <c r="D969" s="20"/>
      <c r="E969" s="123"/>
      <c r="F969" s="108"/>
      <c r="G969" s="108"/>
      <c r="I969" s="20"/>
      <c r="J969" s="124"/>
    </row>
    <row r="970">
      <c r="A970" s="128"/>
      <c r="B970" s="129"/>
      <c r="C970" s="129"/>
      <c r="D970" s="20"/>
      <c r="E970" s="123"/>
      <c r="F970" s="108"/>
      <c r="G970" s="108"/>
      <c r="I970" s="20"/>
      <c r="J970" s="124"/>
    </row>
    <row r="971">
      <c r="A971" s="128"/>
      <c r="B971" s="129"/>
      <c r="C971" s="129"/>
      <c r="D971" s="20"/>
      <c r="E971" s="123"/>
      <c r="F971" s="108"/>
      <c r="G971" s="108"/>
      <c r="I971" s="20"/>
      <c r="J971" s="124"/>
    </row>
    <row r="972">
      <c r="A972" s="128"/>
      <c r="B972" s="129"/>
      <c r="C972" s="129"/>
      <c r="D972" s="20"/>
      <c r="E972" s="123"/>
      <c r="F972" s="108"/>
      <c r="G972" s="108"/>
      <c r="I972" s="20"/>
      <c r="J972" s="124"/>
    </row>
    <row r="973">
      <c r="A973" s="128"/>
      <c r="B973" s="129"/>
      <c r="C973" s="129"/>
      <c r="D973" s="20"/>
      <c r="E973" s="123"/>
      <c r="F973" s="108"/>
      <c r="G973" s="108"/>
      <c r="I973" s="20"/>
      <c r="J973" s="124"/>
    </row>
    <row r="974">
      <c r="A974" s="128"/>
      <c r="B974" s="129"/>
      <c r="C974" s="129"/>
      <c r="D974" s="20"/>
      <c r="E974" s="123"/>
      <c r="F974" s="108"/>
      <c r="G974" s="108"/>
      <c r="I974" s="20"/>
      <c r="J974" s="124"/>
    </row>
    <row r="975">
      <c r="A975" s="128"/>
      <c r="B975" s="129"/>
      <c r="C975" s="129"/>
      <c r="D975" s="20"/>
      <c r="E975" s="123"/>
      <c r="F975" s="108"/>
      <c r="G975" s="108"/>
      <c r="I975" s="20"/>
      <c r="J975" s="124"/>
    </row>
    <row r="976">
      <c r="A976" s="128"/>
      <c r="B976" s="129"/>
      <c r="C976" s="129"/>
      <c r="D976" s="20"/>
      <c r="E976" s="123"/>
      <c r="F976" s="108"/>
      <c r="G976" s="108"/>
      <c r="I976" s="20"/>
      <c r="J976" s="124"/>
    </row>
    <row r="977">
      <c r="A977" s="128"/>
      <c r="B977" s="129"/>
      <c r="C977" s="129"/>
      <c r="D977" s="20"/>
      <c r="E977" s="123"/>
      <c r="F977" s="108"/>
      <c r="G977" s="108"/>
      <c r="I977" s="20"/>
      <c r="J977" s="124"/>
    </row>
    <row r="978">
      <c r="A978" s="128"/>
      <c r="B978" s="129"/>
      <c r="C978" s="129"/>
      <c r="D978" s="20"/>
      <c r="E978" s="123"/>
      <c r="F978" s="108"/>
      <c r="G978" s="108"/>
      <c r="I978" s="20"/>
      <c r="J978" s="124"/>
    </row>
    <row r="979">
      <c r="A979" s="128"/>
      <c r="B979" s="129"/>
      <c r="C979" s="129"/>
      <c r="D979" s="20"/>
      <c r="E979" s="123"/>
      <c r="F979" s="108"/>
      <c r="G979" s="108"/>
      <c r="I979" s="20"/>
      <c r="J979" s="124"/>
    </row>
    <row r="980">
      <c r="A980" s="128"/>
      <c r="B980" s="129"/>
      <c r="C980" s="129"/>
      <c r="D980" s="20"/>
      <c r="E980" s="123"/>
      <c r="F980" s="108"/>
      <c r="G980" s="108"/>
      <c r="I980" s="20"/>
      <c r="J980" s="124"/>
    </row>
    <row r="981">
      <c r="A981" s="128"/>
      <c r="B981" s="129"/>
      <c r="C981" s="129"/>
      <c r="D981" s="20"/>
      <c r="E981" s="123"/>
      <c r="F981" s="108"/>
      <c r="G981" s="108"/>
      <c r="I981" s="20"/>
      <c r="J981" s="124"/>
    </row>
    <row r="982">
      <c r="A982" s="128"/>
      <c r="B982" s="129"/>
      <c r="C982" s="129"/>
      <c r="D982" s="20"/>
      <c r="E982" s="123"/>
      <c r="F982" s="108"/>
      <c r="G982" s="108"/>
      <c r="I982" s="20"/>
      <c r="J982" s="124"/>
    </row>
    <row r="983">
      <c r="A983" s="128"/>
      <c r="B983" s="129"/>
      <c r="C983" s="129"/>
      <c r="D983" s="20"/>
      <c r="E983" s="123"/>
      <c r="F983" s="108"/>
      <c r="G983" s="108"/>
      <c r="I983" s="20"/>
      <c r="J983" s="124"/>
    </row>
    <row r="984">
      <c r="A984" s="128"/>
      <c r="B984" s="129"/>
      <c r="C984" s="129"/>
      <c r="D984" s="20"/>
      <c r="E984" s="123"/>
      <c r="F984" s="108"/>
      <c r="G984" s="108"/>
      <c r="I984" s="20"/>
      <c r="J984" s="124"/>
    </row>
    <row r="985">
      <c r="A985" s="128"/>
      <c r="B985" s="129"/>
      <c r="C985" s="129"/>
      <c r="D985" s="20"/>
      <c r="E985" s="123"/>
      <c r="F985" s="108"/>
      <c r="G985" s="108"/>
      <c r="I985" s="20"/>
      <c r="J985" s="124"/>
    </row>
    <row r="986">
      <c r="A986" s="128"/>
      <c r="B986" s="129"/>
      <c r="C986" s="129"/>
      <c r="D986" s="20"/>
      <c r="E986" s="123"/>
      <c r="F986" s="108"/>
      <c r="G986" s="108"/>
      <c r="I986" s="20"/>
      <c r="J986" s="124"/>
    </row>
    <row r="987">
      <c r="A987" s="128"/>
      <c r="B987" s="129"/>
      <c r="C987" s="129"/>
      <c r="D987" s="20"/>
      <c r="E987" s="123"/>
      <c r="F987" s="108"/>
      <c r="G987" s="108"/>
      <c r="I987" s="20"/>
      <c r="J987" s="124"/>
    </row>
    <row r="988">
      <c r="A988" s="128"/>
      <c r="B988" s="129"/>
      <c r="C988" s="129"/>
      <c r="D988" s="20"/>
      <c r="E988" s="123"/>
      <c r="F988" s="108"/>
      <c r="G988" s="108"/>
      <c r="I988" s="20"/>
      <c r="J988" s="124"/>
    </row>
    <row r="989">
      <c r="A989" s="128"/>
      <c r="B989" s="129"/>
      <c r="C989" s="129"/>
      <c r="D989" s="20"/>
      <c r="E989" s="123"/>
      <c r="F989" s="108"/>
      <c r="G989" s="108"/>
      <c r="I989" s="20"/>
      <c r="J989" s="124"/>
    </row>
    <row r="990">
      <c r="A990" s="128"/>
      <c r="B990" s="129"/>
      <c r="C990" s="129"/>
      <c r="D990" s="20"/>
      <c r="E990" s="123"/>
      <c r="F990" s="108"/>
      <c r="G990" s="108"/>
      <c r="I990" s="20"/>
      <c r="J990" s="124"/>
    </row>
    <row r="991">
      <c r="A991" s="128"/>
      <c r="B991" s="129"/>
      <c r="C991" s="129"/>
      <c r="D991" s="20"/>
      <c r="E991" s="123"/>
      <c r="F991" s="108"/>
      <c r="G991" s="108"/>
      <c r="I991" s="20"/>
      <c r="J991" s="124"/>
    </row>
    <row r="992">
      <c r="A992" s="128"/>
      <c r="B992" s="129"/>
      <c r="C992" s="129"/>
      <c r="D992" s="20"/>
      <c r="E992" s="123"/>
      <c r="F992" s="108"/>
      <c r="G992" s="108"/>
      <c r="I992" s="20"/>
      <c r="J992" s="124"/>
    </row>
    <row r="993">
      <c r="A993" s="128"/>
      <c r="B993" s="129"/>
      <c r="C993" s="129"/>
      <c r="D993" s="20"/>
      <c r="E993" s="123"/>
      <c r="F993" s="108"/>
      <c r="G993" s="108"/>
      <c r="I993" s="20"/>
      <c r="J993" s="124"/>
    </row>
    <row r="994">
      <c r="A994" s="128"/>
      <c r="B994" s="129"/>
      <c r="C994" s="129"/>
      <c r="D994" s="20"/>
      <c r="E994" s="123"/>
      <c r="F994" s="108"/>
      <c r="G994" s="108"/>
      <c r="I994" s="20"/>
      <c r="J994" s="124"/>
    </row>
    <row r="995">
      <c r="A995" s="128"/>
      <c r="B995" s="129"/>
      <c r="C995" s="129"/>
      <c r="D995" s="20"/>
      <c r="E995" s="123"/>
      <c r="F995" s="108"/>
      <c r="G995" s="108"/>
      <c r="I995" s="20"/>
      <c r="J995" s="124"/>
    </row>
    <row r="996">
      <c r="A996" s="128"/>
      <c r="B996" s="129"/>
      <c r="C996" s="129"/>
      <c r="D996" s="20"/>
      <c r="E996" s="123"/>
      <c r="F996" s="108"/>
      <c r="G996" s="108"/>
      <c r="I996" s="20"/>
      <c r="J996" s="124"/>
    </row>
    <row r="997">
      <c r="A997" s="128"/>
      <c r="B997" s="129"/>
      <c r="C997" s="129"/>
      <c r="D997" s="20"/>
      <c r="E997" s="123"/>
      <c r="F997" s="108"/>
      <c r="G997" s="108"/>
      <c r="I997" s="20"/>
      <c r="J997" s="124"/>
    </row>
    <row r="998">
      <c r="A998" s="128"/>
      <c r="B998" s="129"/>
      <c r="C998" s="129"/>
      <c r="D998" s="20"/>
      <c r="E998" s="123"/>
      <c r="F998" s="108"/>
      <c r="G998" s="108"/>
      <c r="I998" s="20"/>
      <c r="J998" s="124"/>
    </row>
    <row r="999">
      <c r="A999" s="128"/>
      <c r="B999" s="129"/>
      <c r="C999" s="129"/>
      <c r="D999" s="20"/>
      <c r="E999" s="123"/>
      <c r="F999" s="108"/>
      <c r="G999" s="108"/>
      <c r="I999" s="20"/>
      <c r="J999" s="124"/>
    </row>
    <row r="1000">
      <c r="A1000" s="128"/>
      <c r="B1000" s="129"/>
      <c r="C1000" s="129"/>
      <c r="D1000" s="20"/>
      <c r="E1000" s="123"/>
      <c r="F1000" s="108"/>
      <c r="G1000" s="108"/>
      <c r="I1000" s="20"/>
      <c r="J1000" s="124"/>
    </row>
    <row r="1001">
      <c r="A1001" s="128"/>
      <c r="B1001" s="129"/>
      <c r="C1001" s="129"/>
      <c r="D1001" s="20"/>
      <c r="E1001" s="123"/>
      <c r="F1001" s="108"/>
      <c r="G1001" s="108"/>
      <c r="I1001" s="20"/>
      <c r="J1001" s="124"/>
    </row>
    <row r="1002">
      <c r="A1002" s="128"/>
      <c r="B1002" s="129"/>
      <c r="C1002" s="129"/>
      <c r="D1002" s="20"/>
      <c r="E1002" s="123"/>
      <c r="F1002" s="108"/>
      <c r="G1002" s="108"/>
      <c r="I1002" s="20"/>
      <c r="J1002" s="124"/>
    </row>
    <row r="1003">
      <c r="A1003" s="128"/>
      <c r="B1003" s="129"/>
      <c r="C1003" s="129"/>
      <c r="D1003" s="20"/>
      <c r="E1003" s="123"/>
      <c r="F1003" s="108"/>
      <c r="G1003" s="108"/>
      <c r="I1003" s="20"/>
      <c r="J1003" s="124"/>
    </row>
  </sheetData>
  <mergeCells count="42">
    <mergeCell ref="G1:J1"/>
    <mergeCell ref="A2:C2"/>
    <mergeCell ref="D18:D19"/>
    <mergeCell ref="E18:E19"/>
    <mergeCell ref="F18:F19"/>
    <mergeCell ref="G18:G19"/>
    <mergeCell ref="D28:D29"/>
    <mergeCell ref="G28:G29"/>
    <mergeCell ref="E28:E29"/>
    <mergeCell ref="F28:F29"/>
    <mergeCell ref="D32:D33"/>
    <mergeCell ref="E32:E33"/>
    <mergeCell ref="F32:F33"/>
    <mergeCell ref="G32:G33"/>
    <mergeCell ref="D64:D65"/>
    <mergeCell ref="G64:G65"/>
    <mergeCell ref="E64:E65"/>
    <mergeCell ref="F64:F65"/>
    <mergeCell ref="D91:D92"/>
    <mergeCell ref="E91:E92"/>
    <mergeCell ref="F91:F92"/>
    <mergeCell ref="G91:G92"/>
    <mergeCell ref="D100:D101"/>
    <mergeCell ref="G100:G101"/>
    <mergeCell ref="E100:E101"/>
    <mergeCell ref="F100:F101"/>
    <mergeCell ref="D107:D108"/>
    <mergeCell ref="E107:E108"/>
    <mergeCell ref="F107:F108"/>
    <mergeCell ref="G107:G108"/>
    <mergeCell ref="D111:D112"/>
    <mergeCell ref="G111:G112"/>
    <mergeCell ref="E139:E141"/>
    <mergeCell ref="F139:F141"/>
    <mergeCell ref="E111:E112"/>
    <mergeCell ref="F111:F112"/>
    <mergeCell ref="D136:D137"/>
    <mergeCell ref="E136:E137"/>
    <mergeCell ref="F136:F137"/>
    <mergeCell ref="G136:G137"/>
    <mergeCell ref="D139:D141"/>
    <mergeCell ref="G139:G141"/>
  </mergeCells>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onlyoffice/9.2.1.8</Application>
  <DocSecurity>0</DocSecurity>
  <ScaleCrop>0</ScaleCrop>
  <HeadingPairs>
    <vt:vector size="0" baseType="variant"/>
  </HeadingPairs>
  <TitlesOfParts>
    <vt:vector size="0" baseType="lpstr"/>
  </TitlesOfParts>
  <LinksUpToDate>0</LinksUpToDate>
  <SharedDoc>0</SharedDoc>
  <HyperlinksChanged>0</HyperlinksChanged>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Anonymous</cp:lastModifiedBy>
  <cp:revision>52</cp:revision>
  <dcterms:modified xsi:type="dcterms:W3CDTF">2026-01-01T20:30:44Z</dcterms:modified>
</cp:coreProperties>
</file>