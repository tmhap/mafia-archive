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" sheetId="1" r:id="rId3"/>
  </sheets>
  <definedNames/>
  <calcPr/>
</workbook>
</file>

<file path=xl/sharedStrings.xml><?xml version="1.0" encoding="utf-8"?>
<sst xmlns="http://schemas.openxmlformats.org/spreadsheetml/2006/main" count="243" uniqueCount="118">
  <si>
    <t>Block &gt; Jail &gt; Watch/Track &gt; Amnesiac &gt; Investigate &gt; Message &gt; Motivate &gt; Save &gt; Kill &gt; Dream/Medium</t>
  </si>
  <si>
    <t>&lt;- change the condition when 312c turns</t>
  </si>
  <si>
    <t>No Kill</t>
  </si>
  <si>
    <t>No Lynch</t>
  </si>
  <si>
    <t>Vilhelm is killed</t>
  </si>
  <si>
    <t>Xerophobia is lynched**</t>
  </si>
  <si>
    <t>gandy93 and oppides are killed</t>
  </si>
  <si>
    <t>312c is lynched**</t>
  </si>
  <si>
    <t>sithlordseth is killed</t>
  </si>
  <si>
    <t>mixtapexchange is lynched</t>
  </si>
  <si>
    <t>alcarithemad is killed</t>
  </si>
  <si>
    <t>n</t>
  </si>
  <si>
    <t>Player</t>
  </si>
  <si>
    <t>Role</t>
  </si>
  <si>
    <t>N0</t>
  </si>
  <si>
    <t>D1</t>
  </si>
  <si>
    <t>N1</t>
  </si>
  <si>
    <t>D2</t>
  </si>
  <si>
    <t>N2</t>
  </si>
  <si>
    <t>D3</t>
  </si>
  <si>
    <t>N3</t>
  </si>
  <si>
    <t>D4</t>
  </si>
  <si>
    <t>N4</t>
  </si>
  <si>
    <t>Soulpopped</t>
  </si>
  <si>
    <t>Vanilla Townie</t>
  </si>
  <si>
    <t>-</t>
  </si>
  <si>
    <t>Vote: Vilhelm</t>
  </si>
  <si>
    <t>Vote: alcarithemad</t>
  </si>
  <si>
    <t>Vote: 312c</t>
  </si>
  <si>
    <t>Vote: joede224</t>
  </si>
  <si>
    <t>Vilhelm</t>
  </si>
  <si>
    <t>[DEAD!]</t>
  </si>
  <si>
    <t>Vote: No Lynch</t>
  </si>
  <si>
    <t>/////////////////////////////////////////</t>
  </si>
  <si>
    <t>///////////////////////////////////////////////////////</t>
  </si>
  <si>
    <t>//////////////////////////////////////////</t>
  </si>
  <si>
    <t>/////////////////////////////////////////////////////</t>
  </si>
  <si>
    <t>/////////////////////////////////////////////</t>
  </si>
  <si>
    <t>alcarithemad</t>
  </si>
  <si>
    <t>Town Roleblocker</t>
  </si>
  <si>
    <t>n/a</t>
  </si>
  <si>
    <t>Vote: Xerophobia</t>
  </si>
  <si>
    <t>block: GReysun</t>
  </si>
  <si>
    <t>block: w1r3d</t>
  </si>
  <si>
    <t>IDHO</t>
  </si>
  <si>
    <t>Not voting</t>
  </si>
  <si>
    <t>garbageface</t>
  </si>
  <si>
    <t>Town Watcher</t>
  </si>
  <si>
    <t>watch: GReysun</t>
  </si>
  <si>
    <t>watch: oppides</t>
  </si>
  <si>
    <t>Vote: Soulpopped</t>
  </si>
  <si>
    <t>watch: alcarithemad</t>
  </si>
  <si>
    <t>watch: sithlordseth</t>
  </si>
  <si>
    <t>mixtapexchange</t>
  </si>
  <si>
    <t>Town Vigilante</t>
  </si>
  <si>
    <t>INACTIVE</t>
  </si>
  <si>
    <t>kill: oppides</t>
  </si>
  <si>
    <t>Vote:garbageface</t>
  </si>
  <si>
    <t>oppides</t>
  </si>
  <si>
    <t>Siege</t>
  </si>
  <si>
    <t>Town Medium</t>
  </si>
  <si>
    <t>learns that all N0 actions were successful</t>
  </si>
  <si>
    <t>Vote: Divius</t>
  </si>
  <si>
    <t>learns that there is no sensor or dreamer, and that there's only one cop</t>
  </si>
  <si>
    <t>gandy93</t>
  </si>
  <si>
    <t>Town Cop</t>
  </si>
  <si>
    <t>investigate: Voltaire</t>
  </si>
  <si>
    <t xml:space="preserve">investigate: Vilhelm*
</t>
  </si>
  <si>
    <t>investigate: alcarithemad</t>
  </si>
  <si>
    <t>Whatsthis</t>
  </si>
  <si>
    <t>Town Doctor</t>
  </si>
  <si>
    <t>save: alcarithemad</t>
  </si>
  <si>
    <t>Vote: oppides</t>
  </si>
  <si>
    <t>save: Peeble</t>
  </si>
  <si>
    <t>Vote: mitapexchange</t>
  </si>
  <si>
    <t>save: IDHO</t>
  </si>
  <si>
    <t>Vote: mixtapexchange</t>
  </si>
  <si>
    <t>save: Soulpopped</t>
  </si>
  <si>
    <t>sithlordseth</t>
  </si>
  <si>
    <t>Town Tracker</t>
  </si>
  <si>
    <t>track: Soulpopped</t>
  </si>
  <si>
    <t>track: garbageface</t>
  </si>
  <si>
    <t>track: w1r3d</t>
  </si>
  <si>
    <t>Xerophobia</t>
  </si>
  <si>
    <t>joede224</t>
  </si>
  <si>
    <t>Mafia Roleblocker</t>
  </si>
  <si>
    <t>block: Vilhelm</t>
  </si>
  <si>
    <t>block: gandy93</t>
  </si>
  <si>
    <t>block: alcarithemad</t>
  </si>
  <si>
    <t>block: Whatsthis</t>
  </si>
  <si>
    <t>w1r3d</t>
  </si>
  <si>
    <t>Mafia Godfather</t>
  </si>
  <si>
    <t>Peeble</t>
  </si>
  <si>
    <t>Mafia JOST</t>
  </si>
  <si>
    <t>gunsmith: IDHO</t>
  </si>
  <si>
    <t>track: oppides</t>
  </si>
  <si>
    <t>block: garbageface</t>
  </si>
  <si>
    <t>watch: garbageface</t>
  </si>
  <si>
    <t>Divius</t>
  </si>
  <si>
    <t>Mafia Ninja</t>
  </si>
  <si>
    <t>kill: Vilhelm</t>
  </si>
  <si>
    <t>kill: gandy93</t>
  </si>
  <si>
    <t>Vote: Peeble</t>
  </si>
  <si>
    <t>kill: sithlordseth</t>
  </si>
  <si>
    <t>kill: alcarithemad</t>
  </si>
  <si>
    <t>Voltaire</t>
  </si>
  <si>
    <t>Mafia Doctor</t>
  </si>
  <si>
    <t>save: 312c</t>
  </si>
  <si>
    <t>save: GReysun</t>
  </si>
  <si>
    <t>GReysun</t>
  </si>
  <si>
    <t>Mafia Amnesiac</t>
  </si>
  <si>
    <t>312c</t>
  </si>
  <si>
    <t>Amnesiac</t>
  </si>
  <si>
    <t>* unsuccessful</t>
  </si>
  <si>
    <t>** majority lynch</t>
  </si>
  <si>
    <t>With</t>
  </si>
  <si>
    <t>alive it takes</t>
  </si>
  <si>
    <t>to lynch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</si>
</sst>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##########"/>
  </numFmts>
  <fonts count="14">
    <font>
      <sz val="10.0"/>
      <color rgb="FF000000"/>
      <name val="Arial"/>
    </font>
    <font/>
    <font>
      <b/>
      <sz val="10.0"/>
    </font>
    <font>
      <b/>
      <sz val="14.0"/>
    </font>
    <font>
      <strike/>
      <sz val="9.0"/>
    </font>
    <font>
      <b/>
      <sz val="12.0"/>
    </font>
    <font>
      <b/>
      <sz val="10.0"/>
      <color rgb="FF2DFF28"/>
    </font>
    <font>
      <b/>
      <sz val="10.0"/>
      <color rgb="FFFF0000"/>
    </font>
    <font>
      <sz val="10.0"/>
      <color rgb="FF2DFF28"/>
    </font>
    <font>
      <b/>
      <sz val="10.0"/>
      <color rgb="FFFFFF00"/>
    </font>
    <font>
      <b/>
      <i/>
      <sz val="10.0"/>
    </font>
    <font>
      <b/>
      <sz val="10.0"/>
      <color rgb="FFBC2EFF"/>
    </font>
    <font>
      <sz val="10.0"/>
      <color rgb="FFBC2EFF"/>
    </font>
    <font>
      <b/>
      <sz val="10.0"/>
      <color rgb="FFEFEFEF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3D85C6"/>
        <bgColor rgb="FF3D85C6"/>
      </patternFill>
    </fill>
    <fill>
      <patternFill patternType="solid">
        <fgColor rgb="FFF1C232"/>
        <bgColor rgb="FFF1C232"/>
      </patternFill>
    </fill>
    <fill>
      <patternFill patternType="solid">
        <fgColor rgb="FF999999"/>
        <bgColor rgb="FF999999"/>
      </patternFill>
    </fill>
    <fill>
      <patternFill patternType="solid">
        <fgColor rgb="FF2DFF28"/>
        <bgColor rgb="FF2DFF28"/>
      </patternFill>
    </fill>
    <fill>
      <patternFill patternType="solid">
        <fgColor rgb="FF000000"/>
        <bgColor rgb="FF000000"/>
      </patternFill>
    </fill>
    <fill>
      <patternFill patternType="solid">
        <fgColor rgb="FFFF3333"/>
        <bgColor rgb="FFFF3333"/>
      </patternFill>
    </fill>
  </fills>
  <borders count="12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2" fontId="2" numFmtId="0" xfId="0" applyAlignment="1" applyBorder="1" applyFill="1" applyFont="1">
      <alignment horizontal="center" readingOrder="0" shrinkToFit="0" vertical="bottom" wrapText="1"/>
    </xf>
    <xf borderId="4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7" fillId="0" fontId="3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horizontal="center" shrinkToFit="0" vertical="bottom" wrapText="1"/>
    </xf>
    <xf borderId="8" fillId="3" fontId="2" numFmtId="0" xfId="0" applyAlignment="1" applyBorder="1" applyFill="1" applyFont="1">
      <alignment horizontal="center" readingOrder="0" shrinkToFit="0" vertical="bottom" wrapText="1"/>
    </xf>
    <xf borderId="8" fillId="3" fontId="2" numFmtId="0" xfId="0" applyAlignment="1" applyBorder="1" applyFont="1">
      <alignment horizontal="center" readingOrder="0" shrinkToFit="0" vertical="center" wrapText="1"/>
    </xf>
    <xf borderId="8" fillId="4" fontId="2" numFmtId="0" xfId="0" applyAlignment="1" applyBorder="1" applyFill="1" applyFont="1">
      <alignment horizontal="center" readingOrder="0" shrinkToFit="0" vertical="bottom" wrapText="1"/>
    </xf>
    <xf borderId="8" fillId="4" fontId="2" numFmtId="0" xfId="0" applyAlignment="1" applyBorder="1" applyFont="1">
      <alignment horizontal="center" readingOrder="0" shrinkToFit="0" vertical="center" wrapText="1"/>
    </xf>
    <xf borderId="8" fillId="5" fontId="5" numFmtId="0" xfId="0" applyAlignment="1" applyBorder="1" applyFill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9" fillId="6" fontId="2" numFmtId="0" xfId="0" applyAlignment="1" applyBorder="1" applyFill="1" applyFont="1">
      <alignment readingOrder="0" shrinkToFit="0" wrapText="1"/>
    </xf>
    <xf borderId="6" fillId="0" fontId="1" numFmtId="0" xfId="0" applyAlignment="1" applyBorder="1" applyFont="1">
      <alignment horizontal="center" shrinkToFit="0" vertical="bottom" wrapText="1"/>
    </xf>
    <xf borderId="8" fillId="6" fontId="2" numFmtId="0" xfId="0" applyAlignment="1" applyBorder="1" applyFont="1">
      <alignment readingOrder="0" shrinkToFit="0" wrapText="1"/>
    </xf>
    <xf borderId="8" fillId="6" fontId="2" numFmtId="0" xfId="0" applyAlignment="1" applyBorder="1" applyFont="1">
      <alignment shrinkToFit="0" wrapText="1"/>
    </xf>
    <xf borderId="10" fillId="7" fontId="6" numFmtId="0" xfId="0" applyAlignment="1" applyBorder="1" applyFill="1" applyFont="1">
      <alignment readingOrder="0" shrinkToFit="0" wrapText="1"/>
    </xf>
    <xf borderId="6" fillId="7" fontId="7" numFmtId="0" xfId="0" applyAlignment="1" applyBorder="1" applyFont="1">
      <alignment horizontal="center" readingOrder="0" shrinkToFit="0" vertical="center" wrapText="1"/>
    </xf>
    <xf borderId="2" fillId="7" fontId="1" numFmtId="0" xfId="0" applyAlignment="1" applyBorder="1" applyFont="1">
      <alignment shrinkToFit="0" wrapText="1"/>
    </xf>
    <xf borderId="8" fillId="7" fontId="6" numFmtId="0" xfId="0" applyAlignment="1" applyBorder="1" applyFont="1">
      <alignment readingOrder="0" shrinkToFit="0" wrapText="1"/>
    </xf>
    <xf borderId="2" fillId="7" fontId="8" numFmtId="0" xfId="0" applyAlignment="1" applyBorder="1" applyFont="1">
      <alignment shrinkToFit="0" wrapText="1"/>
    </xf>
    <xf borderId="9" fillId="7" fontId="6" numFmtId="0" xfId="0" applyAlignment="1" applyBorder="1" applyFont="1">
      <alignment readingOrder="0" shrinkToFit="0" wrapText="1"/>
    </xf>
    <xf borderId="10" fillId="6" fontId="2" numFmtId="0" xfId="0" applyAlignment="1" applyBorder="1" applyFont="1">
      <alignment readingOrder="0" shrinkToFit="0" wrapText="1"/>
    </xf>
    <xf borderId="10" fillId="6" fontId="2" numFmtId="0" xfId="0" applyAlignment="1" applyBorder="1" applyFont="1">
      <alignment shrinkToFit="0" wrapText="1"/>
    </xf>
    <xf borderId="10" fillId="7" fontId="9" numFmtId="0" xfId="0" applyAlignment="1" applyBorder="1" applyFont="1">
      <alignment readingOrder="0" shrinkToFit="0" wrapText="1"/>
    </xf>
    <xf borderId="11" fillId="7" fontId="9" numFmtId="0" xfId="0" applyAlignment="1" applyBorder="1" applyFont="1">
      <alignment readingOrder="0" shrinkToFit="0" wrapText="1"/>
    </xf>
    <xf borderId="11" fillId="7" fontId="6" numFmtId="0" xfId="0" applyAlignment="1" applyBorder="1" applyFont="1">
      <alignment readingOrder="0" shrinkToFit="0" wrapText="1"/>
    </xf>
    <xf borderId="10" fillId="6" fontId="10" numFmtId="0" xfId="0" applyAlignment="1" applyBorder="1" applyFont="1">
      <alignment readingOrder="0" shrinkToFit="0" wrapText="1"/>
    </xf>
    <xf borderId="9" fillId="8" fontId="2" numFmtId="0" xfId="0" applyAlignment="1" applyBorder="1" applyFill="1" applyFont="1">
      <alignment readingOrder="0" shrinkToFit="0" wrapText="1"/>
    </xf>
    <xf borderId="10" fillId="8" fontId="2" numFmtId="0" xfId="0" applyAlignment="1" applyBorder="1" applyFont="1">
      <alignment readingOrder="0" shrinkToFit="0" wrapText="1"/>
    </xf>
    <xf borderId="11" fillId="8" fontId="2" numFmtId="0" xfId="0" applyAlignment="1" applyBorder="1" applyFont="1">
      <alignment readingOrder="0" shrinkToFit="0" wrapText="1"/>
    </xf>
    <xf borderId="8" fillId="8" fontId="2" numFmtId="0" xfId="0" applyAlignment="1" applyBorder="1" applyFont="1">
      <alignment readingOrder="0" shrinkToFit="0" wrapText="1"/>
    </xf>
    <xf borderId="8" fillId="7" fontId="11" numFmtId="0" xfId="0" applyAlignment="1" applyBorder="1" applyFont="1">
      <alignment readingOrder="0" shrinkToFit="0" wrapText="1"/>
    </xf>
    <xf borderId="2" fillId="7" fontId="12" numFmtId="0" xfId="0" applyAlignment="1" applyBorder="1" applyFont="1">
      <alignment shrinkToFit="0" wrapText="1"/>
    </xf>
    <xf borderId="11" fillId="7" fontId="11" numFmtId="0" xfId="0" applyAlignment="1" applyBorder="1" applyFont="1">
      <alignment readingOrder="0" shrinkToFit="0" wrapText="1"/>
    </xf>
    <xf borderId="7" fillId="0" fontId="1" numFmtId="0" xfId="0" applyAlignment="1" applyBorder="1" applyFont="1">
      <alignment readingOrder="0" shrinkToFit="0" wrapText="1"/>
    </xf>
    <xf borderId="7" fillId="0" fontId="1" numFmtId="0" xfId="0" applyAlignment="1" applyBorder="1" applyFont="1">
      <alignment horizontal="left" readingOrder="0" shrinkToFit="0" vertical="bottom" wrapText="1"/>
    </xf>
    <xf borderId="0" fillId="7" fontId="13" numFmtId="0" xfId="0" applyAlignment="1" applyFont="1">
      <alignment horizontal="right" readingOrder="0" shrinkToFit="0" vertical="bottom" wrapText="1"/>
    </xf>
    <xf borderId="0" fillId="7" fontId="13" numFmtId="164" xfId="0" applyAlignment="1" applyFont="1" applyNumberFormat="1">
      <alignment shrinkToFit="0" wrapText="1"/>
    </xf>
    <xf borderId="0" fillId="7" fontId="13" numFmtId="0" xfId="0" applyAlignment="1" applyFont="1">
      <alignment horizontal="center" readingOrder="0" shrinkToFit="0" vertical="bottom" wrapText="1"/>
    </xf>
    <xf borderId="0" fillId="7" fontId="13" numFmtId="3" xfId="0" applyAlignment="1" applyFont="1" applyNumberFormat="1">
      <alignment horizontal="left" shrinkToFit="0" vertical="bottom" wrapText="1"/>
    </xf>
    <xf borderId="0" fillId="7" fontId="13" numFmtId="0" xfId="0" applyAlignment="1" applyFont="1">
      <alignment readingOrder="0" shrinkToFit="0" wrapText="1"/>
    </xf>
  </cellXfs>
  <cellStyles count="1">
    <cellStyle xfId="0" name="Normal" builtinId="0"/>
  </cellStyles>
  <dxfs count="2">
    <dxf>
      <font/>
      <fill>
        <patternFill patternType="solid">
          <fgColor rgb="FF2DFF28"/>
          <bgColor rgb="FF2DFF28"/>
        </patternFill>
      </fill>
      <border/>
    </dxf>
    <dxf>
      <font/>
      <fill>
        <patternFill patternType="solid">
          <fgColor rgb="FFFF3333"/>
          <bgColor rgb="FFFF333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2" width="2.75"/>
    <col customWidth="1" min="4" max="4" width="16.13"/>
    <col customWidth="1" min="5" max="5" width="8.25"/>
    <col customWidth="1" min="6" max="6" width="4.88"/>
    <col customWidth="1" min="7" max="7" width="22.38"/>
    <col customWidth="1" min="9" max="9" width="18.38"/>
    <col customWidth="1" min="10" max="10" width="21.5"/>
    <col customWidth="1" min="11" max="11" width="28.75"/>
    <col customWidth="1" min="12" max="12" width="22.25"/>
    <col customWidth="1" min="13" max="13" width="27.5"/>
    <col customWidth="1" min="14" max="15" width="23.75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A2" s="2"/>
      <c r="B2" s="3" t="s">
        <v>0</v>
      </c>
      <c r="C2" s="4"/>
      <c r="D2" s="4"/>
      <c r="E2" s="4"/>
      <c r="F2" s="4"/>
      <c r="G2" s="4"/>
      <c r="H2" s="4"/>
      <c r="I2" s="4"/>
      <c r="J2" s="5"/>
      <c r="K2" s="6"/>
    </row>
    <row r="3">
      <c r="B3" s="7"/>
      <c r="C3" s="7"/>
      <c r="D3" s="7"/>
      <c r="E3" s="7"/>
      <c r="F3" s="7"/>
      <c r="G3" s="7"/>
      <c r="H3" s="7"/>
      <c r="I3" s="7"/>
      <c r="J3" s="8"/>
    </row>
    <row r="4">
      <c r="J4" s="9" t="str">
        <f>IF( COUNTIF(E20:E26, "")=0, "TOWN WON!", IF( COUNTIF(E20:E25, "") &gt; (COUNTIF(E8:E19, "") + COUNTIF(E26, "")) , "MAFIA WON!", "Still open..."))</f>
        <v>MAFIA WON!</v>
      </c>
      <c r="K4" s="10" t="s">
        <v>1</v>
      </c>
    </row>
    <row r="5">
      <c r="G5" s="1"/>
      <c r="H5" s="1"/>
      <c r="I5" s="1"/>
      <c r="J5" s="1"/>
      <c r="K5" s="1"/>
      <c r="L5" s="1"/>
      <c r="M5" s="1"/>
      <c r="N5" s="1"/>
      <c r="O5" s="1"/>
    </row>
    <row r="6">
      <c r="B6" s="1"/>
      <c r="C6" s="1"/>
      <c r="D6" s="1"/>
      <c r="E6" s="11"/>
      <c r="F6" s="2"/>
      <c r="G6" s="12" t="s">
        <v>2</v>
      </c>
      <c r="H6" s="13" t="s">
        <v>3</v>
      </c>
      <c r="I6" s="14" t="s">
        <v>4</v>
      </c>
      <c r="J6" s="14" t="s">
        <v>5</v>
      </c>
      <c r="K6" s="14" t="s">
        <v>6</v>
      </c>
      <c r="L6" s="15" t="s">
        <v>7</v>
      </c>
      <c r="M6" s="14" t="s">
        <v>8</v>
      </c>
      <c r="N6" s="14" t="s">
        <v>9</v>
      </c>
      <c r="O6" s="14" t="s">
        <v>10</v>
      </c>
      <c r="P6" s="6"/>
    </row>
    <row r="7">
      <c r="A7" s="2"/>
      <c r="B7" s="16" t="s">
        <v>11</v>
      </c>
      <c r="C7" s="16" t="s">
        <v>12</v>
      </c>
      <c r="D7" s="16" t="s">
        <v>13</v>
      </c>
      <c r="E7" s="6"/>
      <c r="F7" s="17"/>
      <c r="G7" s="16" t="s">
        <v>14</v>
      </c>
      <c r="H7" s="16" t="s">
        <v>15</v>
      </c>
      <c r="I7" s="16" t="s">
        <v>16</v>
      </c>
      <c r="J7" s="16" t="s">
        <v>17</v>
      </c>
      <c r="K7" s="16" t="s">
        <v>18</v>
      </c>
      <c r="L7" s="16" t="s">
        <v>19</v>
      </c>
      <c r="M7" s="16" t="s">
        <v>20</v>
      </c>
      <c r="N7" s="16" t="s">
        <v>21</v>
      </c>
      <c r="O7" s="16" t="s">
        <v>22</v>
      </c>
      <c r="P7" s="18"/>
      <c r="Q7" s="19"/>
      <c r="R7" s="19"/>
      <c r="S7" s="19"/>
      <c r="T7" s="19"/>
      <c r="U7" s="19"/>
      <c r="V7" s="19"/>
    </row>
    <row r="8">
      <c r="A8" s="2"/>
      <c r="B8" s="20">
        <v>1.0</v>
      </c>
      <c r="C8" s="20" t="s">
        <v>23</v>
      </c>
      <c r="D8" s="20" t="s">
        <v>24</v>
      </c>
      <c r="E8" s="21"/>
      <c r="F8" s="2"/>
      <c r="G8" s="20" t="s">
        <v>25</v>
      </c>
      <c r="H8" s="20" t="s">
        <v>26</v>
      </c>
      <c r="I8" s="20" t="s">
        <v>25</v>
      </c>
      <c r="J8" s="20" t="s">
        <v>27</v>
      </c>
      <c r="K8" s="20" t="s">
        <v>25</v>
      </c>
      <c r="L8" s="20" t="s">
        <v>28</v>
      </c>
      <c r="M8" s="20" t="s">
        <v>25</v>
      </c>
      <c r="N8" s="22" t="s">
        <v>29</v>
      </c>
      <c r="O8" s="23"/>
      <c r="P8" s="6"/>
    </row>
    <row r="9">
      <c r="A9" s="2"/>
      <c r="B9" s="24">
        <v>2.0</v>
      </c>
      <c r="C9" s="24" t="s">
        <v>30</v>
      </c>
      <c r="D9" s="24" t="s">
        <v>24</v>
      </c>
      <c r="E9" s="25" t="s">
        <v>31</v>
      </c>
      <c r="F9" s="26"/>
      <c r="G9" s="24" t="s">
        <v>25</v>
      </c>
      <c r="H9" s="24" t="s">
        <v>32</v>
      </c>
      <c r="I9" s="24" t="s">
        <v>25</v>
      </c>
      <c r="J9" s="24" t="s">
        <v>33</v>
      </c>
      <c r="K9" s="24" t="s">
        <v>34</v>
      </c>
      <c r="L9" s="24" t="s">
        <v>35</v>
      </c>
      <c r="M9" s="24" t="s">
        <v>36</v>
      </c>
      <c r="N9" s="27" t="s">
        <v>37</v>
      </c>
      <c r="O9" s="27" t="s">
        <v>37</v>
      </c>
      <c r="P9" s="6"/>
    </row>
    <row r="10">
      <c r="A10" s="2"/>
      <c r="B10" s="24">
        <v>4.0</v>
      </c>
      <c r="C10" s="24" t="s">
        <v>38</v>
      </c>
      <c r="D10" s="24" t="s">
        <v>39</v>
      </c>
      <c r="E10" s="25" t="s">
        <v>31</v>
      </c>
      <c r="F10" s="28"/>
      <c r="G10" s="24" t="s">
        <v>40</v>
      </c>
      <c r="H10" s="24" t="s">
        <v>32</v>
      </c>
      <c r="I10" s="24" t="s">
        <v>40</v>
      </c>
      <c r="J10" s="24" t="s">
        <v>41</v>
      </c>
      <c r="K10" s="24" t="s">
        <v>42</v>
      </c>
      <c r="L10" s="24" t="s">
        <v>28</v>
      </c>
      <c r="M10" s="24" t="s">
        <v>43</v>
      </c>
      <c r="N10" s="29" t="s">
        <v>29</v>
      </c>
      <c r="O10" s="29" t="s">
        <v>42</v>
      </c>
      <c r="P10" s="6"/>
    </row>
    <row r="11">
      <c r="A11" s="2"/>
      <c r="B11" s="30">
        <v>7.0</v>
      </c>
      <c r="C11" s="30" t="s">
        <v>44</v>
      </c>
      <c r="D11" s="30" t="s">
        <v>24</v>
      </c>
      <c r="E11" s="21"/>
      <c r="F11" s="2"/>
      <c r="G11" s="30" t="s">
        <v>25</v>
      </c>
      <c r="H11" s="30" t="s">
        <v>32</v>
      </c>
      <c r="I11" s="30" t="s">
        <v>25</v>
      </c>
      <c r="J11" s="30" t="s">
        <v>41</v>
      </c>
      <c r="K11" s="30" t="s">
        <v>25</v>
      </c>
      <c r="L11" s="30" t="s">
        <v>45</v>
      </c>
      <c r="M11" s="30" t="s">
        <v>25</v>
      </c>
      <c r="N11" s="30" t="s">
        <v>29</v>
      </c>
      <c r="O11" s="30" t="s">
        <v>25</v>
      </c>
      <c r="P11" s="6"/>
    </row>
    <row r="12">
      <c r="A12" s="2"/>
      <c r="B12" s="30">
        <v>8.0</v>
      </c>
      <c r="C12" s="30" t="s">
        <v>46</v>
      </c>
      <c r="D12" s="30" t="s">
        <v>47</v>
      </c>
      <c r="E12" s="21"/>
      <c r="F12" s="2"/>
      <c r="G12" s="30" t="s">
        <v>48</v>
      </c>
      <c r="H12" s="30" t="s">
        <v>26</v>
      </c>
      <c r="I12" s="30" t="s">
        <v>49</v>
      </c>
      <c r="J12" s="30" t="s">
        <v>50</v>
      </c>
      <c r="K12" s="30" t="s">
        <v>51</v>
      </c>
      <c r="L12" s="30" t="s">
        <v>28</v>
      </c>
      <c r="M12" s="30" t="s">
        <v>52</v>
      </c>
      <c r="N12" s="30" t="s">
        <v>29</v>
      </c>
      <c r="O12" s="31"/>
      <c r="P12" s="6"/>
    </row>
    <row r="13">
      <c r="A13" s="2"/>
      <c r="B13" s="24">
        <v>9.0</v>
      </c>
      <c r="C13" s="24" t="s">
        <v>53</v>
      </c>
      <c r="D13" s="24" t="s">
        <v>54</v>
      </c>
      <c r="E13" s="25" t="s">
        <v>31</v>
      </c>
      <c r="F13" s="28"/>
      <c r="G13" s="24" t="s">
        <v>25</v>
      </c>
      <c r="H13" s="24" t="s">
        <v>26</v>
      </c>
      <c r="I13" s="24" t="s">
        <v>40</v>
      </c>
      <c r="J13" s="32" t="s">
        <v>55</v>
      </c>
      <c r="K13" s="24" t="s">
        <v>56</v>
      </c>
      <c r="L13" s="24" t="s">
        <v>57</v>
      </c>
      <c r="M13" s="24" t="s">
        <v>40</v>
      </c>
      <c r="N13" s="33" t="s">
        <v>55</v>
      </c>
      <c r="O13" s="34" t="s">
        <v>37</v>
      </c>
      <c r="P13" s="6"/>
    </row>
    <row r="14">
      <c r="A14" s="2"/>
      <c r="B14" s="24">
        <v>10.0</v>
      </c>
      <c r="C14" s="24" t="s">
        <v>58</v>
      </c>
      <c r="D14" s="24" t="s">
        <v>24</v>
      </c>
      <c r="E14" s="25" t="s">
        <v>31</v>
      </c>
      <c r="F14" s="28"/>
      <c r="G14" s="24" t="s">
        <v>25</v>
      </c>
      <c r="H14" s="24" t="s">
        <v>26</v>
      </c>
      <c r="I14" s="24" t="s">
        <v>25</v>
      </c>
      <c r="J14" s="24" t="s">
        <v>32</v>
      </c>
      <c r="K14" s="24" t="s">
        <v>25</v>
      </c>
      <c r="L14" s="24" t="s">
        <v>35</v>
      </c>
      <c r="M14" s="24" t="s">
        <v>36</v>
      </c>
      <c r="N14" s="27" t="s">
        <v>37</v>
      </c>
      <c r="O14" s="27" t="s">
        <v>37</v>
      </c>
      <c r="P14" s="6"/>
    </row>
    <row r="15">
      <c r="A15" s="2"/>
      <c r="B15" s="30">
        <v>11.0</v>
      </c>
      <c r="C15" s="30" t="s">
        <v>59</v>
      </c>
      <c r="D15" s="30" t="s">
        <v>60</v>
      </c>
      <c r="E15" s="21"/>
      <c r="F15" s="2"/>
      <c r="G15" s="35" t="s">
        <v>61</v>
      </c>
      <c r="H15" s="30" t="s">
        <v>62</v>
      </c>
      <c r="I15" s="30" t="s">
        <v>25</v>
      </c>
      <c r="J15" s="30" t="s">
        <v>41</v>
      </c>
      <c r="K15" s="35" t="s">
        <v>63</v>
      </c>
      <c r="L15" s="30" t="s">
        <v>28</v>
      </c>
      <c r="M15" s="30" t="s">
        <v>25</v>
      </c>
      <c r="N15" s="22" t="s">
        <v>29</v>
      </c>
      <c r="O15" s="22" t="s">
        <v>25</v>
      </c>
      <c r="P15" s="6"/>
    </row>
    <row r="16">
      <c r="A16" s="2"/>
      <c r="B16" s="24">
        <v>13.0</v>
      </c>
      <c r="C16" s="24" t="s">
        <v>64</v>
      </c>
      <c r="D16" s="24" t="s">
        <v>65</v>
      </c>
      <c r="E16" s="25" t="s">
        <v>31</v>
      </c>
      <c r="F16" s="26"/>
      <c r="G16" s="24" t="s">
        <v>66</v>
      </c>
      <c r="H16" s="24" t="s">
        <v>32</v>
      </c>
      <c r="I16" s="24" t="s">
        <v>67</v>
      </c>
      <c r="J16" s="24" t="s">
        <v>41</v>
      </c>
      <c r="K16" s="24" t="s">
        <v>68</v>
      </c>
      <c r="L16" s="24" t="s">
        <v>35</v>
      </c>
      <c r="M16" s="24" t="s">
        <v>36</v>
      </c>
      <c r="N16" s="27" t="s">
        <v>37</v>
      </c>
      <c r="O16" s="27" t="s">
        <v>37</v>
      </c>
      <c r="P16" s="6"/>
    </row>
    <row r="17">
      <c r="A17" s="2"/>
      <c r="B17" s="30">
        <v>15.0</v>
      </c>
      <c r="C17" s="30" t="s">
        <v>69</v>
      </c>
      <c r="D17" s="30" t="s">
        <v>70</v>
      </c>
      <c r="E17" s="21"/>
      <c r="F17" s="2"/>
      <c r="G17" s="30" t="s">
        <v>40</v>
      </c>
      <c r="H17" s="30" t="s">
        <v>45</v>
      </c>
      <c r="I17" s="30" t="s">
        <v>71</v>
      </c>
      <c r="J17" s="30" t="s">
        <v>72</v>
      </c>
      <c r="K17" s="30" t="s">
        <v>73</v>
      </c>
      <c r="L17" s="30" t="s">
        <v>74</v>
      </c>
      <c r="M17" s="30" t="s">
        <v>75</v>
      </c>
      <c r="N17" s="20" t="s">
        <v>76</v>
      </c>
      <c r="O17" s="20" t="s">
        <v>77</v>
      </c>
      <c r="P17" s="6"/>
    </row>
    <row r="18">
      <c r="A18" s="2"/>
      <c r="B18" s="24">
        <v>16.0</v>
      </c>
      <c r="C18" s="24" t="s">
        <v>78</v>
      </c>
      <c r="D18" s="24" t="s">
        <v>79</v>
      </c>
      <c r="E18" s="25" t="s">
        <v>31</v>
      </c>
      <c r="F18" s="26"/>
      <c r="G18" s="24" t="s">
        <v>80</v>
      </c>
      <c r="H18" s="24" t="s">
        <v>32</v>
      </c>
      <c r="I18" s="24" t="s">
        <v>80</v>
      </c>
      <c r="J18" s="24" t="s">
        <v>50</v>
      </c>
      <c r="K18" s="24" t="s">
        <v>81</v>
      </c>
      <c r="L18" s="24" t="s">
        <v>28</v>
      </c>
      <c r="M18" s="24" t="s">
        <v>82</v>
      </c>
      <c r="N18" s="34" t="s">
        <v>37</v>
      </c>
      <c r="O18" s="34" t="s">
        <v>37</v>
      </c>
      <c r="P18" s="6"/>
    </row>
    <row r="19">
      <c r="A19" s="2"/>
      <c r="B19" s="34">
        <v>18.0</v>
      </c>
      <c r="C19" s="34" t="s">
        <v>83</v>
      </c>
      <c r="D19" s="34" t="s">
        <v>24</v>
      </c>
      <c r="E19" s="25" t="s">
        <v>31</v>
      </c>
      <c r="F19" s="26"/>
      <c r="G19" s="34" t="s">
        <v>25</v>
      </c>
      <c r="H19" s="34" t="s">
        <v>45</v>
      </c>
      <c r="I19" s="34" t="s">
        <v>25</v>
      </c>
      <c r="J19" s="34" t="s">
        <v>27</v>
      </c>
      <c r="K19" s="34" t="s">
        <v>34</v>
      </c>
      <c r="L19" s="34" t="s">
        <v>35</v>
      </c>
      <c r="M19" s="34" t="s">
        <v>36</v>
      </c>
      <c r="N19" s="27" t="s">
        <v>37</v>
      </c>
      <c r="O19" s="27" t="s">
        <v>37</v>
      </c>
      <c r="P19" s="6"/>
    </row>
    <row r="20">
      <c r="A20" s="2"/>
      <c r="B20" s="36">
        <v>3.0</v>
      </c>
      <c r="C20" s="36" t="s">
        <v>84</v>
      </c>
      <c r="D20" s="36" t="s">
        <v>85</v>
      </c>
      <c r="E20" s="21"/>
      <c r="F20" s="2"/>
      <c r="G20" s="36" t="s">
        <v>86</v>
      </c>
      <c r="H20" s="36" t="s">
        <v>26</v>
      </c>
      <c r="I20" s="36" t="s">
        <v>87</v>
      </c>
      <c r="J20" s="36" t="s">
        <v>45</v>
      </c>
      <c r="K20" s="36" t="s">
        <v>88</v>
      </c>
      <c r="L20" s="36" t="s">
        <v>27</v>
      </c>
      <c r="M20" s="36" t="s">
        <v>88</v>
      </c>
      <c r="N20" s="36" t="s">
        <v>76</v>
      </c>
      <c r="O20" s="36" t="s">
        <v>89</v>
      </c>
      <c r="P20" s="6"/>
    </row>
    <row r="21">
      <c r="A21" s="2"/>
      <c r="B21" s="37">
        <v>5.0</v>
      </c>
      <c r="C21" s="37" t="s">
        <v>90</v>
      </c>
      <c r="D21" s="37" t="s">
        <v>91</v>
      </c>
      <c r="E21" s="21"/>
      <c r="F21" s="2"/>
      <c r="G21" s="37" t="s">
        <v>25</v>
      </c>
      <c r="H21" s="37" t="s">
        <v>32</v>
      </c>
      <c r="I21" s="37" t="s">
        <v>25</v>
      </c>
      <c r="J21" s="37" t="s">
        <v>32</v>
      </c>
      <c r="K21" s="37" t="s">
        <v>25</v>
      </c>
      <c r="L21" s="37" t="s">
        <v>27</v>
      </c>
      <c r="M21" s="37" t="s">
        <v>25</v>
      </c>
      <c r="N21" s="37" t="s">
        <v>76</v>
      </c>
      <c r="O21" s="37" t="s">
        <v>25</v>
      </c>
      <c r="P21" s="6"/>
    </row>
    <row r="22">
      <c r="A22" s="2"/>
      <c r="B22" s="37">
        <v>6.0</v>
      </c>
      <c r="C22" s="37" t="s">
        <v>92</v>
      </c>
      <c r="D22" s="37" t="s">
        <v>93</v>
      </c>
      <c r="E22" s="21"/>
      <c r="F22" s="2"/>
      <c r="G22" s="37" t="s">
        <v>94</v>
      </c>
      <c r="H22" s="37" t="s">
        <v>45</v>
      </c>
      <c r="I22" s="37" t="s">
        <v>95</v>
      </c>
      <c r="J22" s="37" t="s">
        <v>41</v>
      </c>
      <c r="K22" s="37" t="s">
        <v>96</v>
      </c>
      <c r="L22" s="37" t="s">
        <v>45</v>
      </c>
      <c r="M22" s="37" t="s">
        <v>97</v>
      </c>
      <c r="N22" s="38" t="s">
        <v>76</v>
      </c>
      <c r="O22" s="37" t="s">
        <v>25</v>
      </c>
      <c r="P22" s="6"/>
    </row>
    <row r="23">
      <c r="A23" s="2"/>
      <c r="B23" s="37">
        <v>12.0</v>
      </c>
      <c r="C23" s="37" t="s">
        <v>98</v>
      </c>
      <c r="D23" s="37" t="s">
        <v>99</v>
      </c>
      <c r="E23" s="21"/>
      <c r="F23" s="2"/>
      <c r="G23" s="37" t="s">
        <v>25</v>
      </c>
      <c r="H23" s="37" t="s">
        <v>32</v>
      </c>
      <c r="I23" s="37" t="s">
        <v>100</v>
      </c>
      <c r="J23" s="37" t="s">
        <v>41</v>
      </c>
      <c r="K23" s="37" t="s">
        <v>101</v>
      </c>
      <c r="L23" s="37" t="s">
        <v>102</v>
      </c>
      <c r="M23" s="37" t="s">
        <v>103</v>
      </c>
      <c r="N23" s="39" t="s">
        <v>76</v>
      </c>
      <c r="O23" s="38" t="s">
        <v>104</v>
      </c>
      <c r="P23" s="6"/>
    </row>
    <row r="24">
      <c r="A24" s="2"/>
      <c r="B24" s="37">
        <v>14.0</v>
      </c>
      <c r="C24" s="37" t="s">
        <v>105</v>
      </c>
      <c r="D24" s="37" t="s">
        <v>106</v>
      </c>
      <c r="E24" s="21"/>
      <c r="F24" s="2"/>
      <c r="G24" s="37" t="s">
        <v>107</v>
      </c>
      <c r="H24" s="37" t="s">
        <v>32</v>
      </c>
      <c r="I24" s="37" t="s">
        <v>107</v>
      </c>
      <c r="J24" s="37" t="s">
        <v>41</v>
      </c>
      <c r="K24" s="37" t="s">
        <v>77</v>
      </c>
      <c r="L24" s="37" t="s">
        <v>28</v>
      </c>
      <c r="M24" s="37" t="s">
        <v>108</v>
      </c>
      <c r="N24" s="39" t="s">
        <v>76</v>
      </c>
      <c r="O24" s="39" t="s">
        <v>40</v>
      </c>
      <c r="P24" s="6"/>
    </row>
    <row r="25">
      <c r="A25" s="2"/>
      <c r="B25" s="38">
        <v>17.0</v>
      </c>
      <c r="C25" s="38" t="s">
        <v>109</v>
      </c>
      <c r="D25" s="38" t="s">
        <v>110</v>
      </c>
      <c r="E25" s="21"/>
      <c r="F25" s="2"/>
      <c r="G25" s="38" t="s">
        <v>25</v>
      </c>
      <c r="H25" s="38" t="s">
        <v>32</v>
      </c>
      <c r="I25" s="38" t="s">
        <v>25</v>
      </c>
      <c r="J25" s="38" t="s">
        <v>27</v>
      </c>
      <c r="K25" s="38" t="s">
        <v>25</v>
      </c>
      <c r="L25" s="38" t="s">
        <v>27</v>
      </c>
      <c r="M25" s="38" t="s">
        <v>25</v>
      </c>
      <c r="N25" s="36" t="s">
        <v>76</v>
      </c>
      <c r="O25" s="36" t="s">
        <v>25</v>
      </c>
      <c r="P25" s="6"/>
    </row>
    <row r="26">
      <c r="A26" s="2"/>
      <c r="B26" s="40">
        <v>19.0</v>
      </c>
      <c r="C26" s="40" t="s">
        <v>111</v>
      </c>
      <c r="D26" s="40" t="s">
        <v>112</v>
      </c>
      <c r="E26" s="25" t="s">
        <v>31</v>
      </c>
      <c r="F26" s="41"/>
      <c r="G26" s="40" t="s">
        <v>25</v>
      </c>
      <c r="H26" s="40" t="s">
        <v>32</v>
      </c>
      <c r="I26" s="40" t="s">
        <v>25</v>
      </c>
      <c r="J26" s="40" t="s">
        <v>41</v>
      </c>
      <c r="K26" s="40" t="s">
        <v>40</v>
      </c>
      <c r="L26" s="40" t="s">
        <v>27</v>
      </c>
      <c r="M26" s="40" t="s">
        <v>36</v>
      </c>
      <c r="N26" s="42" t="s">
        <v>37</v>
      </c>
      <c r="O26" s="42" t="s">
        <v>37</v>
      </c>
      <c r="P26" s="6"/>
    </row>
    <row r="27">
      <c r="B27" s="7"/>
      <c r="C27" s="7"/>
      <c r="D27" s="7"/>
      <c r="G27" s="43" t="s">
        <v>113</v>
      </c>
      <c r="H27" s="44" t="s">
        <v>114</v>
      </c>
      <c r="I27" s="7"/>
      <c r="J27" s="7"/>
      <c r="K27" s="7"/>
      <c r="L27" s="7"/>
      <c r="M27" s="7"/>
      <c r="N27" s="7"/>
      <c r="O27" s="7"/>
    </row>
    <row r="28">
      <c r="D28" s="45" t="s">
        <v>115</v>
      </c>
      <c r="E28" s="46">
        <f>COUNTIF(E8:E26, "")</f>
        <v>11</v>
      </c>
      <c r="F28" s="47" t="s">
        <v>116</v>
      </c>
      <c r="H28" s="48">
        <f>(E28/2)+0.5</f>
        <v>6</v>
      </c>
      <c r="I28" s="49" t="s">
        <v>117</v>
      </c>
    </row>
  </sheetData>
  <mergeCells count="3">
    <mergeCell ref="B2:J2"/>
    <mergeCell ref="K4:L4"/>
    <mergeCell ref="F28:G28"/>
  </mergeCells>
  <conditionalFormatting sqref="J3:J4">
    <cfRule type="cellIs" dxfId="0" priority="1" operator="equal">
      <formula>"TOWN WON!"</formula>
    </cfRule>
  </conditionalFormatting>
  <conditionalFormatting sqref="J3:J4">
    <cfRule type="cellIs" dxfId="1" priority="2" operator="equal">
      <formula>"MAFIA WON!"</formula>
    </cfRule>
  </conditionalFormatting>
  <drawing r:id="rId1"/>
</worksheet>
</file>