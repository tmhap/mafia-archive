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7.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Players and actions" sheetId="1" state="visible" r:id="rId2"/>
    <sheet name="Villains" sheetId="2" state="visible" r:id="rId3"/>
    <sheet name="Messages" sheetId="3" state="visible" r:id="rId4"/>
    <sheet name="Rewards and Donations" sheetId="4" state="visible" r:id="rId5"/>
    <sheet name="Roles and Descriptions" sheetId="5" state="visible" r:id="rId6"/>
    <sheet name="Chatroom Information" sheetId="6" state="visible" r:id="rId7"/>
    <sheet name="PMs" sheetId="7"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<sst xmlns="http://schemas.openxmlformats.org/spreadsheetml/2006/main" count="611" uniqueCount="611">
  <si>
    <t>=sort(D3:D53,1,true)</t>
  </si>
  <si>
    <t>Alive</t>
  </si>
  <si>
    <r>
      <rPr>
        <b/>
        <rFont val="arial,sans,sans-serif"/>
      </rPr>
      <t xml:space="preserve">Order of precedence:</t>
    </r>
    <r>
      <rPr>
        <rFont val="arial,sans,sans-serif"/>
      </rPr>
      <t xml:space="preserve">  Probe &gt; Sensor/Absorb/Herd &gt; Block &gt; Bus Drive &gt; Control &gt; Jail/Host party &gt; Cloak/Rolestop/Hide &gt; Push button &gt; Watch/Track/Follow/Voyeur &gt; Plant bomb &gt; Dream &gt; Amnesiac/Tailor &gt; Investigate &gt; Recruit/Clone &gt; Save/Defuse &gt; Kill/Detonate &gt; Janitor</t>
    </r>
  </si>
  <si>
    <t xml:space="preserve">Alive List Paste</t>
  </si>
  <si>
    <t xml:space="preserve">Dead List Paste</t>
  </si>
  <si>
    <t>Alignment</t>
  </si>
  <si>
    <t>Player</t>
  </si>
  <si>
    <t>Role</t>
  </si>
  <si>
    <t>Villain</t>
  </si>
  <si>
    <t xml:space="preserve">Active effects</t>
  </si>
  <si>
    <t xml:space="preserve">N0 Action</t>
  </si>
  <si>
    <t xml:space="preserve">N0 Results</t>
  </si>
  <si>
    <t xml:space="preserve">N0 Notes</t>
  </si>
  <si>
    <t xml:space="preserve">D1 Notes</t>
  </si>
  <si>
    <t xml:space="preserve">N1 Action</t>
  </si>
  <si>
    <t xml:space="preserve">N1 Results</t>
  </si>
  <si>
    <t xml:space="preserve">N1 Notes</t>
  </si>
  <si>
    <t xml:space="preserve">N2 Action</t>
  </si>
  <si>
    <t xml:space="preserve">N2 Results</t>
  </si>
  <si>
    <t xml:space="preserve">N2 Notes</t>
  </si>
  <si>
    <t xml:space="preserve">D3 Notes</t>
  </si>
  <si>
    <t xml:space="preserve">N3 Action</t>
  </si>
  <si>
    <t xml:space="preserve">N3 Results</t>
  </si>
  <si>
    <t xml:space="preserve">N3 Notes</t>
  </si>
  <si>
    <t xml:space="preserve">D4 Notes</t>
  </si>
  <si>
    <t xml:space="preserve">N4 Action</t>
  </si>
  <si>
    <t xml:space="preserve">N4 Results</t>
  </si>
  <si>
    <t xml:space="preserve">N4 Notes</t>
  </si>
  <si>
    <t xml:space="preserve">D5 Notes</t>
  </si>
  <si>
    <t xml:space="preserve">N5 Action</t>
  </si>
  <si>
    <t xml:space="preserve">N5 Results</t>
  </si>
  <si>
    <t xml:space="preserve">N5 Notes</t>
  </si>
  <si>
    <t xml:space="preserve">N6 Action</t>
  </si>
  <si>
    <t xml:space="preserve">N6 Results</t>
  </si>
  <si>
    <t xml:space="preserve">N6 Notes</t>
  </si>
  <si>
    <t xml:space="preserve">N7 Action</t>
  </si>
  <si>
    <t xml:space="preserve">N7 Results</t>
  </si>
  <si>
    <t xml:space="preserve">N7 Notes</t>
  </si>
  <si>
    <t xml:space="preserve">N8 Action</t>
  </si>
  <si>
    <t xml:space="preserve">N8 Results</t>
  </si>
  <si>
    <t xml:space="preserve">N8 Notes</t>
  </si>
  <si>
    <t xml:space="preserve">N9 Action</t>
  </si>
  <si>
    <t xml:space="preserve">N9 Results</t>
  </si>
  <si>
    <t xml:space="preserve">N9 Notes</t>
  </si>
  <si>
    <t xml:space="preserve">N10 Action</t>
  </si>
  <si>
    <t xml:space="preserve">N10 Results</t>
  </si>
  <si>
    <t xml:space="preserve">N10 Notes</t>
  </si>
  <si>
    <t xml:space="preserve">N11 Action</t>
  </si>
  <si>
    <t xml:space="preserve">N12 Results</t>
  </si>
  <si>
    <t xml:space="preserve">N12 Notes</t>
  </si>
  <si>
    <t xml:space="preserve">N13 Action</t>
  </si>
  <si>
    <t xml:space="preserve">N13 Results</t>
  </si>
  <si>
    <t xml:space="preserve">N13 Notes</t>
  </si>
  <si>
    <t xml:space="preserve">N14 Action</t>
  </si>
  <si>
    <t xml:space="preserve">N14 Results</t>
  </si>
  <si>
    <t xml:space="preserve">N14 Notes</t>
  </si>
  <si>
    <t xml:space="preserve">N15 Action</t>
  </si>
  <si>
    <t xml:space="preserve">N15 Results</t>
  </si>
  <si>
    <t xml:space="preserve">N15 Notes</t>
  </si>
  <si>
    <t xml:space="preserve">N16 Action</t>
  </si>
  <si>
    <t xml:space="preserve">N16 Results</t>
  </si>
  <si>
    <t xml:space="preserve">N16 Notes</t>
  </si>
  <si>
    <t xml:space="preserve">N17 Action</t>
  </si>
  <si>
    <t xml:space="preserve">N17 Results</t>
  </si>
  <si>
    <t xml:space="preserve">N17 Notes</t>
  </si>
  <si>
    <t xml:space="preserve">N18 Action</t>
  </si>
  <si>
    <t xml:space="preserve">N18 Results</t>
  </si>
  <si>
    <t xml:space="preserve">N18 Notes</t>
  </si>
  <si>
    <t xml:space="preserve">N19 Action</t>
  </si>
  <si>
    <t xml:space="preserve">N19 Results</t>
  </si>
  <si>
    <t xml:space="preserve">N19 Notes</t>
  </si>
  <si>
    <t xml:space="preserve">N20 Action</t>
  </si>
  <si>
    <t xml:space="preserve">N20 Results</t>
  </si>
  <si>
    <t xml:space="preserve">N20 Notes</t>
  </si>
  <si>
    <t>jetstream</t>
  </si>
  <si>
    <t>Defuser</t>
  </si>
  <si>
    <t>Kronk</t>
  </si>
  <si>
    <t xml:space="preserve">(p TL)</t>
  </si>
  <si>
    <t>vortec42</t>
  </si>
  <si>
    <t>success</t>
  </si>
  <si>
    <t>ugle43</t>
  </si>
  <si>
    <t>Katara</t>
  </si>
  <si>
    <t>Nehtaro</t>
  </si>
  <si>
    <t>sl0play</t>
  </si>
  <si>
    <t>failed</t>
  </si>
  <si>
    <t xml:space="preserve">(target jailed)</t>
  </si>
  <si>
    <t>Flatline</t>
  </si>
  <si>
    <t>dyno10</t>
  </si>
  <si>
    <r>
      <rPr>
        <i/>
      </rPr>
      <t>redirected</t>
    </r>
    <r>
      <rPr/>
      <t xml:space="preserve"> - horrorchamp - success</t>
    </r>
  </si>
  <si>
    <t>shogunsama</t>
  </si>
  <si>
    <r>
      <rPr>
        <i/>
      </rPr>
      <t>redirected</t>
    </r>
    <r>
      <rPr/>
      <t xml:space="preserve"> - TheFranswer</t>
    </r>
  </si>
  <si>
    <t>cdbossbrad</t>
  </si>
  <si>
    <t>Jailkeeper</t>
  </si>
  <si>
    <t xml:space="preserve">Duke of Weselton</t>
  </si>
  <si>
    <t>missed</t>
  </si>
  <si>
    <t xml:space="preserve">no action</t>
  </si>
  <si>
    <t>snuggled</t>
  </si>
  <si>
    <t>getrav</t>
  </si>
  <si>
    <t>darisk</t>
  </si>
  <si>
    <t>Red123</t>
  </si>
  <si>
    <t>JonathanDummy</t>
  </si>
  <si>
    <t>Venche</t>
  </si>
  <si>
    <t>HookTL</t>
  </si>
  <si>
    <t>Thanos</t>
  </si>
  <si>
    <t>BlueMarble</t>
  </si>
  <si>
    <t>TimeLine</t>
  </si>
  <si>
    <t xml:space="preserve">(target performing jail action)</t>
  </si>
  <si>
    <t>repairmanman</t>
  </si>
  <si>
    <t xml:space="preserve">doctored, defused</t>
  </si>
  <si>
    <t>Iksaar</t>
  </si>
  <si>
    <r>
      <rPr>
        <sz val="10"/>
        <color theme="1"/>
        <rFont val="Arial"/>
      </rPr>
      <t xml:space="preserve">Bliepo </t>
    </r>
    <r>
      <rPr>
        <strike/>
        <sz val="10"/>
        <color theme="1"/>
        <rFont val="Arial"/>
      </rPr>
      <t>amcfarla</t>
    </r>
  </si>
  <si>
    <t>Spy</t>
  </si>
  <si>
    <t xml:space="preserve">Mother Gothel</t>
  </si>
  <si>
    <t xml:space="preserve">success - track: TimeLine, watch: Iksaar</t>
  </si>
  <si>
    <t>ajc6123</t>
  </si>
  <si>
    <t xml:space="preserve">success - track: Nowhere, watch: nobody</t>
  </si>
  <si>
    <t>Ledda</t>
  </si>
  <si>
    <t xml:space="preserve">success - track CrkMStanz, watch: Iksaar</t>
  </si>
  <si>
    <t>Senna</t>
  </si>
  <si>
    <t xml:space="preserve">success - track: nowhere, watch: nobody</t>
  </si>
  <si>
    <t xml:space="preserve">(target untrackable)</t>
  </si>
  <si>
    <t xml:space="preserve">success - track: ajc6123, watch: nobody</t>
  </si>
  <si>
    <t xml:space="preserve">success - track: HookTL, watch: nobody</t>
  </si>
  <si>
    <t>Voyeur</t>
  </si>
  <si>
    <t xml:space="preserve">Randall Boggs</t>
  </si>
  <si>
    <t xml:space="preserve">success - nothing</t>
  </si>
  <si>
    <t xml:space="preserve">(target cloaked)</t>
  </si>
  <si>
    <r>
      <rPr>
        <i/>
      </rPr>
      <t>redirected</t>
    </r>
    <r>
      <rPr/>
      <t xml:space="preserve"> - repairmanman - success - nothing</t>
    </r>
  </si>
  <si>
    <t>SFerris</t>
  </si>
  <si>
    <t xml:space="preserve">(killer cloaked)</t>
  </si>
  <si>
    <t xml:space="preserve">success - doctored</t>
  </si>
  <si>
    <t>doctored</t>
  </si>
  <si>
    <t xml:space="preserve">success - watched</t>
  </si>
  <si>
    <t>Bliepo</t>
  </si>
  <si>
    <t xml:space="preserve">success - doctored x2</t>
  </si>
  <si>
    <t>Watcher</t>
  </si>
  <si>
    <t xml:space="preserve">Prince John</t>
  </si>
  <si>
    <t>James868</t>
  </si>
  <si>
    <t>jailed</t>
  </si>
  <si>
    <t xml:space="preserve">success - nobody</t>
  </si>
  <si>
    <t xml:space="preserve">redirected - Landorus - success - Iksaar</t>
  </si>
  <si>
    <t>planted</t>
  </si>
  <si>
    <t>Landorus</t>
  </si>
  <si>
    <t>CrkMStanz</t>
  </si>
  <si>
    <r>
      <rPr>
        <sz val="10"/>
        <color theme="1"/>
        <rFont val="Arial"/>
      </rPr>
      <t xml:space="preserve">hotshotxwl </t>
    </r>
    <r>
      <rPr>
        <strike/>
        <sz val="10"/>
        <color theme="1"/>
        <rFont val="Arial"/>
      </rPr>
      <t xml:space="preserve">MasterOfTheMovies ChikaNoChika</t>
    </r>
  </si>
  <si>
    <t>Vigilante</t>
  </si>
  <si>
    <t>Boo</t>
  </si>
  <si>
    <r>
      <rPr>
        <strike/>
        <sz val="10"/>
        <color theme="1"/>
        <rFont val="Arial"/>
      </rPr>
      <t>vest</t>
    </r>
    <r>
      <rPr>
        <sz val="10"/>
        <color theme="1"/>
        <rFont val="Arial"/>
      </rPr>
      <t xml:space="preserve"> </t>
    </r>
    <r>
      <rPr>
        <strike/>
        <sz val="10"/>
        <color theme="1"/>
        <rFont val="Arial"/>
      </rPr>
      <t xml:space="preserve">(p W)</t>
    </r>
  </si>
  <si>
    <t xml:space="preserve">(loses vest)</t>
  </si>
  <si>
    <t>cloaked</t>
  </si>
  <si>
    <t xml:space="preserve">Giselle Philip</t>
  </si>
  <si>
    <t>vest</t>
  </si>
  <si>
    <t>-</t>
  </si>
  <si>
    <r>
      <rPr>
        <strike/>
      </rPr>
      <t>planted</t>
    </r>
    <r>
      <rPr/>
      <t>/defused</t>
    </r>
  </si>
  <si>
    <t xml:space="preserve">(target rolestopped)</t>
  </si>
  <si>
    <t>Schizophrenic</t>
  </si>
  <si>
    <t>Sykes</t>
  </si>
  <si>
    <t xml:space="preserve">jail - success</t>
  </si>
  <si>
    <t xml:space="preserve">b4lr0g_ch </t>
  </si>
  <si>
    <t xml:space="preserve">det - success - Sneaky Pete</t>
  </si>
  <si>
    <t xml:space="preserve">kill - failed</t>
  </si>
  <si>
    <t xml:space="preserve">save - success</t>
  </si>
  <si>
    <t xml:space="preserve">rolestop - success</t>
  </si>
  <si>
    <t>horrorchamp</t>
  </si>
  <si>
    <t xml:space="preserve">watch - failed</t>
  </si>
  <si>
    <t>Bodyguard</t>
  </si>
  <si>
    <t xml:space="preserve">Emperor Palpatine</t>
  </si>
  <si>
    <t>hotshotxwl</t>
  </si>
  <si>
    <t>Stump</t>
  </si>
  <si>
    <t xml:space="preserve">Rico Suave</t>
  </si>
  <si>
    <t>rolestopped</t>
  </si>
  <si>
    <r>
      <rPr/>
      <t xml:space="preserve">Nehtaro </t>
    </r>
    <r>
      <rPr>
        <strike/>
      </rPr>
      <t>derels</t>
    </r>
  </si>
  <si>
    <t>Cat</t>
  </si>
  <si>
    <t>Hades</t>
  </si>
  <si>
    <t xml:space="preserve">Shan Yu</t>
  </si>
  <si>
    <t xml:space="preserve">snuggle ajc6123</t>
  </si>
  <si>
    <t>ChikaNoChika</t>
  </si>
  <si>
    <t>hookTL</t>
  </si>
  <si>
    <t xml:space="preserve">Lady Tremaine</t>
  </si>
  <si>
    <t xml:space="preserve">Snuggle JonathanDummy</t>
  </si>
  <si>
    <t>crkmstanz</t>
  </si>
  <si>
    <t>Godfather</t>
  </si>
  <si>
    <t xml:space="preserve">Cruella de Ville</t>
  </si>
  <si>
    <t xml:space="preserve">Kill eastlondondon</t>
  </si>
  <si>
    <t>cloaked/doctored</t>
  </si>
  <si>
    <t xml:space="preserve">Kill mkvGOD</t>
  </si>
  <si>
    <t xml:space="preserve">Kill SFerris</t>
  </si>
  <si>
    <t xml:space="preserve">Kill MasterOfTheMovies</t>
  </si>
  <si>
    <t xml:space="preserve">No action</t>
  </si>
  <si>
    <t xml:space="preserve">Kill vortec42</t>
  </si>
  <si>
    <r>
      <rPr>
        <sz val="10"/>
        <color theme="1"/>
        <rFont val="Arial"/>
      </rPr>
      <t xml:space="preserve">TheFranswer </t>
    </r>
    <r>
      <rPr>
        <strike/>
        <sz val="10"/>
        <color theme="1"/>
        <rFont val="Arial"/>
      </rPr>
      <t>horrorchamp</t>
    </r>
  </si>
  <si>
    <t>Cloak</t>
  </si>
  <si>
    <t>Jafar</t>
  </si>
  <si>
    <t xml:space="preserve">Cloak ugle43</t>
  </si>
  <si>
    <t xml:space="preserve">Cloak TimeLine</t>
  </si>
  <si>
    <t xml:space="preserve">Cloak Timeline</t>
  </si>
  <si>
    <t xml:space="preserve">Cloak ajc6123</t>
  </si>
  <si>
    <t xml:space="preserve">Cloak Iksaar</t>
  </si>
  <si>
    <t>lksaar</t>
  </si>
  <si>
    <t xml:space="preserve">Private Eye</t>
  </si>
  <si>
    <t xml:space="preserve">Amos Slade</t>
  </si>
  <si>
    <t xml:space="preserve">Landorus, shogunsama</t>
  </si>
  <si>
    <t xml:space="preserve">success - nowhere,ajc6123</t>
  </si>
  <si>
    <t xml:space="preserve">Flatline, shogunsama</t>
  </si>
  <si>
    <t xml:space="preserve">success - FL: TimeLine, sho: ChikaNoChika</t>
  </si>
  <si>
    <t xml:space="preserve">Landorus, Red123</t>
  </si>
  <si>
    <t xml:space="preserve">success - L: shogunsama, R: nowhere</t>
  </si>
  <si>
    <t xml:space="preserve">Track Sl0play , Track Katara</t>
  </si>
  <si>
    <t xml:space="preserve">sl0: BlueMarble, Kat: CrkMStanz</t>
  </si>
  <si>
    <t xml:space="preserve">Track dyno10, Ledda</t>
  </si>
  <si>
    <t xml:space="preserve">d: getrav, L: CrkMStanz</t>
  </si>
  <si>
    <t xml:space="preserve">Track darisk,Track cdbossbrad</t>
  </si>
  <si>
    <t xml:space="preserve">darisk: CrkMStanz, cdbossbrad: JonathanDummy</t>
  </si>
  <si>
    <t xml:space="preserve">Track Red123, Track horrorchamp</t>
  </si>
  <si>
    <t xml:space="preserve">Red: Crk, horror: nowhere</t>
  </si>
  <si>
    <t xml:space="preserve">Kill bliepo</t>
  </si>
  <si>
    <t>jailed/cloaked</t>
  </si>
  <si>
    <t xml:space="preserve">Track vortec42, Track BlueMarble</t>
  </si>
  <si>
    <t xml:space="preserve">success - Bliepo x2</t>
  </si>
  <si>
    <t>Doctor</t>
  </si>
  <si>
    <t xml:space="preserve">Judge Claude Frollo</t>
  </si>
  <si>
    <t xml:space="preserve">Doctor w1r3d</t>
  </si>
  <si>
    <t xml:space="preserve">Doctor TimeLine</t>
  </si>
  <si>
    <t xml:space="preserve">Doctor timeline</t>
  </si>
  <si>
    <t xml:space="preserve">Doctor ugle43</t>
  </si>
  <si>
    <t xml:space="preserve">Doctor getrav</t>
  </si>
  <si>
    <t xml:space="preserve">Doctor Ugle</t>
  </si>
  <si>
    <t>Dead</t>
  </si>
  <si>
    <t>eastlondondon</t>
  </si>
  <si>
    <t>Ursula</t>
  </si>
  <si>
    <t xml:space="preserve">success - defused</t>
  </si>
  <si>
    <t>(dies)</t>
  </si>
  <si>
    <t>Roleblocker</t>
  </si>
  <si>
    <t xml:space="preserve">Captain Hook</t>
  </si>
  <si>
    <t xml:space="preserve">(target cloaked) (dies)</t>
  </si>
  <si>
    <t>b4lr0g_ch</t>
  </si>
  <si>
    <t xml:space="preserve">Sneaky Pete</t>
  </si>
  <si>
    <t xml:space="preserve">The Queen of Hearts</t>
  </si>
  <si>
    <t>cdbosssbrad</t>
  </si>
  <si>
    <r>
      <rPr>
        <i/>
        <rFont val="Arial"/>
      </rPr>
      <t>redirected</t>
    </r>
    <r>
      <rPr>
        <rFont val="Arial"/>
      </rPr>
      <t xml:space="preserve"> - BlueMarble - </t>
    </r>
    <r>
      <rPr>
        <i/>
        <rFont val="Arial"/>
      </rPr>
      <t xml:space="preserve">redirected </t>
    </r>
    <r>
      <rPr>
        <rFont val="Arial"/>
      </rPr>
      <t xml:space="preserve">- James868</t>
    </r>
  </si>
  <si>
    <t>lynched</t>
  </si>
  <si>
    <t>Neo</t>
  </si>
  <si>
    <t>Follower</t>
  </si>
  <si>
    <t xml:space="preserve">Dr. Doofenshmirtz</t>
  </si>
  <si>
    <t xml:space="preserve">(p w1r3d)</t>
  </si>
  <si>
    <t xml:space="preserve">success - nowhere</t>
  </si>
  <si>
    <t>(explodes)</t>
  </si>
  <si>
    <t>mkvGOD</t>
  </si>
  <si>
    <t>Tracker</t>
  </si>
  <si>
    <t>Syndrome</t>
  </si>
  <si>
    <r>
      <rPr>
        <i/>
        <rFont val="Arial"/>
      </rPr>
      <t>redirected</t>
    </r>
    <r>
      <rPr>
        <rFont val="Arial"/>
      </rPr>
      <t xml:space="preserve"> - TimeLine - success - nowhere</t>
    </r>
  </si>
  <si>
    <t>PeterParker</t>
  </si>
  <si>
    <t>Kingpin</t>
  </si>
  <si>
    <t xml:space="preserve">watch self</t>
  </si>
  <si>
    <r>
      <rPr/>
      <t xml:space="preserve">success - </t>
    </r>
    <r>
      <rPr>
        <strike/>
      </rPr>
      <t>w1r3d</t>
    </r>
    <r>
      <rPr/>
      <t xml:space="preserve"> nobody</t>
    </r>
  </si>
  <si>
    <t xml:space="preserve">(target's visitor not watchable)</t>
  </si>
  <si>
    <r>
      <rPr>
        <sz val="10"/>
        <color theme="1"/>
        <rFont val="Arial"/>
      </rPr>
      <t xml:space="preserve">SFerris </t>
    </r>
    <r>
      <rPr>
        <strike/>
        <sz val="10"/>
        <color theme="1"/>
        <rFont val="Arial"/>
      </rPr>
      <t>Trivium</t>
    </r>
  </si>
  <si>
    <t>Cop</t>
  </si>
  <si>
    <t>Gaston</t>
  </si>
  <si>
    <r>
      <rPr>
        <i/>
        <rFont val="Arial"/>
      </rPr>
      <t>redirected</t>
    </r>
    <r>
      <rPr>
        <rFont val="Arial"/>
      </rPr>
      <t xml:space="preserve"> - lksaar - guilty</t>
    </r>
  </si>
  <si>
    <r>
      <rPr>
        <i/>
        <sz val="10"/>
        <color theme="1"/>
        <rFont val="Arial"/>
      </rPr>
      <t>redirected</t>
    </r>
    <r>
      <rPr>
        <sz val="10"/>
        <color theme="1"/>
        <rFont val="Arial"/>
      </rPr>
      <t xml:space="preserve"> - w1r3d - guilty</t>
    </r>
  </si>
  <si>
    <r>
      <rPr>
        <i/>
        <sz val="10"/>
      </rPr>
      <t>redirected</t>
    </r>
    <r>
      <rPr>
        <sz val="10"/>
      </rPr>
      <t xml:space="preserve"> - TimeLine - failed</t>
    </r>
  </si>
  <si>
    <t xml:space="preserve">(target jailed) (dies)</t>
  </si>
  <si>
    <t>w1r3d</t>
  </si>
  <si>
    <t>Bomber</t>
  </si>
  <si>
    <t>Yzma</t>
  </si>
  <si>
    <t xml:space="preserve">Plant Neo</t>
  </si>
  <si>
    <t>Detonate</t>
  </si>
  <si>
    <t>sucess</t>
  </si>
  <si>
    <t xml:space="preserve">Plant Chikanochika</t>
  </si>
  <si>
    <t>suceess</t>
  </si>
  <si>
    <t xml:space="preserve">Shere Khan</t>
  </si>
  <si>
    <t xml:space="preserve">Plant Venche</t>
  </si>
  <si>
    <r>
      <rPr>
        <strike/>
      </rPr>
      <t>blocked</t>
    </r>
    <r>
      <rPr/>
      <t>/cloaked</t>
    </r>
  </si>
  <si>
    <t xml:space="preserve">Plant Bliepo</t>
  </si>
  <si>
    <r>
      <rPr>
        <i/>
      </rPr>
      <t>redirected</t>
    </r>
    <r>
      <rPr/>
      <t xml:space="preserve"> - darisk - success</t>
    </r>
  </si>
  <si>
    <t xml:space="preserve">Plant Ledda</t>
  </si>
  <si>
    <t xml:space="preserve">Plant jetstream</t>
  </si>
  <si>
    <t>Tamatoa</t>
  </si>
  <si>
    <t xml:space="preserve">success - JonathanDummy</t>
  </si>
  <si>
    <t xml:space="preserve">success - cdbossbrad</t>
  </si>
  <si>
    <t xml:space="preserve">success - TimeLine</t>
  </si>
  <si>
    <t xml:space="preserve">Sir Hiss</t>
  </si>
  <si>
    <t xml:space="preserve">success - went to Red123, nobody visited</t>
  </si>
  <si>
    <t xml:space="preserve">Spy BlueMarble</t>
  </si>
  <si>
    <t xml:space="preserve">redirected - shogunsama - track: ChickaNoChika, watch: Iksaar</t>
  </si>
  <si>
    <t xml:space="preserve">Spy ChikaNoChika</t>
  </si>
  <si>
    <t xml:space="preserve">sucess - track: nowhere, watch: nobody</t>
  </si>
  <si>
    <t xml:space="preserve">spy Nehtaro</t>
  </si>
  <si>
    <t xml:space="preserve">track: vortec42, watch: jetstream</t>
  </si>
  <si>
    <t xml:space="preserve">Spy cdbossbrad</t>
  </si>
  <si>
    <t xml:space="preserve">Spy dyno10</t>
  </si>
  <si>
    <t xml:space="preserve">track: repairmanman, watch: nobody</t>
  </si>
  <si>
    <t xml:space="preserve">Darth Vader</t>
  </si>
  <si>
    <t xml:space="preserve">Cloak Ugle 43</t>
  </si>
  <si>
    <t xml:space="preserve">Cloak getrav</t>
  </si>
  <si>
    <t xml:space="preserve">Cloak JonathanDummy</t>
  </si>
  <si>
    <t>Detective</t>
  </si>
  <si>
    <t>Maleficent</t>
  </si>
  <si>
    <t xml:space="preserve">success - defuser</t>
  </si>
  <si>
    <t xml:space="preserve">success - jailkeeper</t>
  </si>
  <si>
    <t xml:space="preserve">success - doctor</t>
  </si>
  <si>
    <t>blocked/doctored</t>
  </si>
  <si>
    <t>Mal</t>
  </si>
  <si>
    <r>
      <rPr>
        <i/>
      </rPr>
      <t>redirected</t>
    </r>
    <r>
      <rPr/>
      <t xml:space="preserve"> - Iksaar</t>
    </r>
  </si>
  <si>
    <t xml:space="preserve">Jack of All Trades</t>
  </si>
  <si>
    <t>Scar</t>
  </si>
  <si>
    <r>
      <rPr>
        <strike/>
        <sz val="10"/>
        <rFont val="Arial"/>
      </rPr>
      <t>detective</t>
    </r>
    <r>
      <rPr>
        <sz val="10"/>
        <rFont val="Arial"/>
      </rPr>
      <t xml:space="preserve">, sane cop, </t>
    </r>
    <r>
      <rPr>
        <strike/>
        <sz val="10"/>
        <rFont val="Arial"/>
      </rPr>
      <t>roleblock</t>
    </r>
    <r>
      <rPr>
        <sz val="10"/>
        <rFont val="Arial"/>
      </rPr>
      <t xml:space="preserve">, </t>
    </r>
    <r>
      <rPr>
        <strike/>
        <sz val="10"/>
        <rFont val="Arial"/>
      </rPr>
      <t>watch</t>
    </r>
    <r>
      <rPr>
        <sz val="10"/>
        <rFont val="Arial"/>
      </rPr>
      <t xml:space="preserve">, track, gunsmith, </t>
    </r>
    <r>
      <rPr>
        <strike/>
        <sz val="10"/>
        <rFont val="Arial"/>
      </rPr>
      <t>jail</t>
    </r>
    <r>
      <rPr>
        <sz val="10"/>
        <rFont val="Arial"/>
      </rPr>
      <t xml:space="preserve">, doctor, </t>
    </r>
    <r>
      <rPr>
        <strike/>
        <sz val="10"/>
        <rFont val="Arial"/>
      </rPr>
      <t>cloak</t>
    </r>
  </si>
  <si>
    <t xml:space="preserve">det eastlondondon</t>
  </si>
  <si>
    <t xml:space="preserve">Watch ajc6123</t>
  </si>
  <si>
    <t xml:space="preserve">success - Landorus</t>
  </si>
  <si>
    <t xml:space="preserve">Track HookTL</t>
  </si>
  <si>
    <t xml:space="preserve">Cloak W1red</t>
  </si>
  <si>
    <t xml:space="preserve">Jail sl0play</t>
  </si>
  <si>
    <t xml:space="preserve">Roleblock sl0play</t>
  </si>
  <si>
    <t xml:space="preserve">(target jailed) lynched</t>
  </si>
  <si>
    <t xml:space="preserve">Tough Guy</t>
  </si>
  <si>
    <t>Ratigan</t>
  </si>
  <si>
    <t xml:space="preserve">Kill sl0play</t>
  </si>
  <si>
    <t xml:space="preserve">cloaked, doctored (target doctored)</t>
  </si>
  <si>
    <t xml:space="preserve">Hector Barbossa</t>
  </si>
  <si>
    <r>
      <rPr>
        <rFont val="Arial"/>
      </rPr>
      <t>jailed/</t>
    </r>
    <r>
      <rPr>
        <strike/>
        <rFont val="Arial"/>
      </rPr>
      <t>redirected</t>
    </r>
  </si>
  <si>
    <t xml:space="preserve">C. Montgomery Burns</t>
  </si>
  <si>
    <t>Configuration</t>
  </si>
  <si>
    <t xml:space="preserve">Number of Alive Players</t>
  </si>
  <si>
    <t xml:space="preserve">Players Needed to Lynch</t>
  </si>
  <si>
    <t xml:space="preserve">Number of Dead Players</t>
  </si>
  <si>
    <t xml:space="preserve">Disney Cartoons</t>
  </si>
  <si>
    <t xml:space="preserve">Red Herrings</t>
  </si>
  <si>
    <t xml:space="preserve">Star Wars</t>
  </si>
  <si>
    <t>Marvel</t>
  </si>
  <si>
    <t xml:space="preserve">Miramax (1993-2010)</t>
  </si>
  <si>
    <t xml:space="preserve">The Evil Queen</t>
  </si>
  <si>
    <t>Loki</t>
  </si>
  <si>
    <t xml:space="preserve">Marsellus Wallace</t>
  </si>
  <si>
    <t>Chernabog</t>
  </si>
  <si>
    <t xml:space="preserve">Mrs Norris</t>
  </si>
  <si>
    <t xml:space="preserve">Count Dooku</t>
  </si>
  <si>
    <t>Magneto</t>
  </si>
  <si>
    <t xml:space="preserve">Holden McNeil</t>
  </si>
  <si>
    <t>Evie</t>
  </si>
  <si>
    <t xml:space="preserve">Darth Maul</t>
  </si>
  <si>
    <t xml:space="preserve">Velma Kelly</t>
  </si>
  <si>
    <t xml:space="preserve">Kate Sanders</t>
  </si>
  <si>
    <t xml:space="preserve">Kylo Ren</t>
  </si>
  <si>
    <t xml:space="preserve">Daniel Cleaver</t>
  </si>
  <si>
    <t xml:space="preserve">Cruella de Vil</t>
  </si>
  <si>
    <t xml:space="preserve">Coach Jack Reilly</t>
  </si>
  <si>
    <t>Gru</t>
  </si>
  <si>
    <t xml:space="preserve">Dr. Horrible</t>
  </si>
  <si>
    <t xml:space="preserve">Oogie Boogie</t>
  </si>
  <si>
    <t xml:space="preserve">Tina Harwood</t>
  </si>
  <si>
    <t xml:space="preserve">Captain Barbossa</t>
  </si>
  <si>
    <t xml:space="preserve">Dr. Facilier</t>
  </si>
  <si>
    <t xml:space="preserve">Mr. Smee</t>
  </si>
  <si>
    <t xml:space="preserve">Aunt Sarah</t>
  </si>
  <si>
    <t xml:space="preserve">Sheriff of Nottingham</t>
  </si>
  <si>
    <t xml:space="preserve">Madame Medusa</t>
  </si>
  <si>
    <t>Ratcliffe</t>
  </si>
  <si>
    <t xml:space="preserve">Claude Frollo</t>
  </si>
  <si>
    <t xml:space="preserve">Prince Hans</t>
  </si>
  <si>
    <t xml:space="preserve">Bill Sykes</t>
  </si>
  <si>
    <t>Night</t>
  </si>
  <si>
    <t>From</t>
  </si>
  <si>
    <t>To</t>
  </si>
  <si>
    <t>Message</t>
  </si>
  <si>
    <t>Reply</t>
  </si>
  <si>
    <t xml:space="preserve">Winning Team</t>
  </si>
  <si>
    <t xml:space="preserve">Donated by</t>
  </si>
  <si>
    <t>MVP</t>
  </si>
  <si>
    <t>PotG</t>
  </si>
  <si>
    <t>TOTAL</t>
  </si>
  <si>
    <t>Invincible</t>
  </si>
  <si>
    <t>armistice</t>
  </si>
  <si>
    <t>armstice</t>
  </si>
  <si>
    <t>theorem</t>
  </si>
  <si>
    <t>NurseChapelsUniform</t>
  </si>
  <si>
    <t>Antibody</t>
  </si>
  <si>
    <t>Losers</t>
  </si>
  <si>
    <t>Winner(s)</t>
  </si>
  <si>
    <t xml:space="preserve">Secret Rewards</t>
  </si>
  <si>
    <t xml:space="preserve">Reference #</t>
  </si>
  <si>
    <t xml:space="preserve">Win Condition</t>
  </si>
  <si>
    <t xml:space="preserve">First Townie to be lynched</t>
  </si>
  <si>
    <t xml:space="preserve">First person to accuse me of being Mafia/3P (or vote for me if no one flat out accuses me)</t>
  </si>
  <si>
    <t xml:space="preserve">First person to accuse someone of being a role not in the game (or to bring up one as an idea if no one actually accuses someone specifically)</t>
  </si>
  <si>
    <t xml:space="preserve">Last person to die (winning game for other team)</t>
  </si>
  <si>
    <t>eld/James868</t>
  </si>
  <si>
    <t xml:space="preserve">First person to die</t>
  </si>
  <si>
    <t xml:space="preserve">First player to use a heart emoji</t>
  </si>
  <si>
    <t xml:space="preserve">First player to notice all are Disney</t>
  </si>
  <si>
    <t xml:space="preserve">First player to suggest the flavor is meaningless</t>
  </si>
  <si>
    <t xml:space="preserve">Anyone who votes for a host</t>
  </si>
  <si>
    <t xml:space="preserve">1 mil to each secret award winner</t>
  </si>
  <si>
    <t xml:space="preserve">Role from Thread</t>
  </si>
  <si>
    <t xml:space="preserve">Role Description</t>
  </si>
  <si>
    <t xml:space="preserve">Random Townie</t>
  </si>
  <si>
    <t xml:space="preserve">[color=#00ff00]Random Townie[/color] - Random Townie does random Town things.</t>
  </si>
  <si>
    <t xml:space="preserve">Other Random Townie</t>
  </si>
  <si>
    <r>
      <rPr>
        <sz val="10"/>
        <rFont val="Arial"/>
      </rPr>
      <t xml:space="preserve">[color=#00ff00]Other Random Townie[/color] - Random Townie does random Town things also... but </t>
    </r>
    <r>
      <rPr>
        <i/>
        <sz val="10"/>
        <rFont val="Arial"/>
      </rPr>
      <t>other</t>
    </r>
    <r>
      <rPr>
        <sz val="10"/>
        <rFont val="Arial"/>
      </rPr>
      <t xml:space="preserve"> random things.</t>
    </r>
  </si>
  <si>
    <t xml:space="preserve">Random Mafia</t>
  </si>
  <si>
    <t xml:space="preserve">[color=red]Random Mafia[/color] - A Random Mafia tries to kill people or something.</t>
  </si>
  <si>
    <t xml:space="preserve">Other Random Mafia</t>
  </si>
  <si>
    <t xml:space="preserve">[color=red]Other Random Mafia[/color] - Other Random Mafia might try to help Random Mafia kill people.</t>
  </si>
  <si>
    <t xml:space="preserve">Random Third Party</t>
  </si>
  <si>
    <t xml:space="preserve">[color=#8e7cc3]Random Third Party[/color] - I do things. Randomly.</t>
  </si>
  <si>
    <t xml:space="preserve">Absorber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t>
  </si>
  <si>
    <t xml:space="preserve">Amnesiac - An Amnesiac can take over the role of any dead town member, but can only use this action once. However, it CAN take over the role of another dead town Amnesiac. This is not a visiting role.</t>
  </si>
  <si>
    <t xml:space="preserve">Apprentice - 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t>
  </si>
  <si>
    <t xml:space="preserve">Armourer - 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t>
  </si>
  <si>
    <t xml:space="preserve">Arms Dealer - 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t>
  </si>
  <si>
    <t xml:space="preserve">Authenticator - 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t>
  </si>
  <si>
    <t xml:space="preserve">Babysitter - A Babysitter targets a player at night to protect them. However, if the Babysitter is killed that night, both the Babysitter and its target will die. The Babysitter cannot babysit themselves. This is a visiting role.</t>
  </si>
  <si>
    <t xml:space="preserve">Batman - Batman chooses one player to watch, track AND sane cop each night. Batman appears guilty to investigative roles and cannot be tracked (but can still be watched). Detective investigations fail. Batman carries a [bat]gun. This is a visiting role</t>
  </si>
  <si>
    <t xml:space="preserve">Bear Trapper - A Bear Trapper may perform a Roleblock OR Track action each night. This is a visiting role.</t>
  </si>
  <si>
    <t xml:space="preserve">Blacksmith - 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t>
  </si>
  <si>
    <t xml:space="preserve">The Blacksmith role may have the following variation: The Blacksmith has a total of X vests to give out at night (a failed attempted does not count against the limit).</t>
  </si>
  <si>
    <t xml:space="preserve">Bus Driver - A Bus Driver selects two targets at night to drive around. Actions directed at one of the targets will go to the other instead and vice versa. Targets will know they were transported, but not who they were swapped with. This is not a visiting role.</t>
  </si>
  <si>
    <t xml:space="preserve">Cloak - A Cloak chooses one player at night to cloak. Anybody they cloak is unblockable and invisible to tracking/watching/following/voyeuring (i.e. those actions simply do not detect the cloaked player and its actions). This is NOT a visiting role.</t>
  </si>
  <si>
    <t xml:space="preserve">Commuter - 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t>
  </si>
  <si>
    <t xml:space="preserve">Constantine - A Constantine targets one player per night to either detective OR kill. The Constantine Is the force against the Cult, therefore it cannot be recruited. Constantine appears guilty to sane cops and carries a gun. This is a visiting role.</t>
  </si>
  <si>
    <t xml:space="preserve">Cop - A Cop investigates one player each night to determine if they are guilty or innocent. The Cop cannot investigate themselves. The Cop carries a gun. This is a visiting role.</t>
  </si>
  <si>
    <t xml:space="preserve">Defuser - A Defuser may visit one player each night. If the target has a bomb planted on them, it will be defused, and both parties will be notified that the defusing was successful. This is a visiting role.</t>
  </si>
  <si>
    <t xml:space="preserve">Dentist - Each night, chooses one player to silence for the following day. The target cannot post in the thread the day they are silenced. The Dentist cannot silence the same player two days in a row. Is a visiting role.</t>
  </si>
  <si>
    <t xml:space="preserve">Detective - A Detective investigates one player each night to determine their role. The Detective does not learn their alignment. The Detective carries a gun. This is a visiting role.</t>
  </si>
  <si>
    <t xml:space="preserve">Doctor - A Doctor chooses one player at night to save. The save can be used on the bodyguard if they are targeted for a kill, but it will not save the bodyguard if they are protecting someone who is targeted for a kill. This is a visiting role.</t>
  </si>
  <si>
    <t xml:space="preserve">The Doctor role may have the following variation: The Doctor can choose to use a self-heal once.</t>
  </si>
  <si>
    <t xml:space="preserve">Dreamer - A Dreamer has a dream every night that gives information on 3 players, one of which is non-town. (One of player1, player2, player3 is guilty.) Third party roles/Godfather do not show up in dreams. The Dreamer does not dream if it is visited. This is not a visiting role.</t>
  </si>
  <si>
    <t xml:space="preserve">Elite Bodyguard - An Elite Bodyguard chooses one player at night to save. The Elite Bodyguard protects the target, kills the attacker, and then dies. If multiple people attack the protected target, only one randomly-selected attacker dies. The Elite Bodyguard carries a gun. This is a visiting role.</t>
  </si>
  <si>
    <t xml:space="preserve">Engineer - 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t>
  </si>
  <si>
    <t xml:space="preserve">The Engineer role may have the following variation: If the Engineer is killed during the night, the players he is actively locking that night will die as well.</t>
  </si>
  <si>
    <t xml:space="preserve">Exceptional Rookie Cop - 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t>
  </si>
  <si>
    <t xml:space="preserve">Exorcist - 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t>
  </si>
  <si>
    <t xml:space="preserve">Fashion Stylist - 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t>
  </si>
  <si>
    <t xml:space="preserve">Fashion Assistant - 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t>
  </si>
  <si>
    <t xml:space="preserve">FBI Agent - 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t>
  </si>
  <si>
    <t xml:space="preserve">Fisherman - 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t>
  </si>
  <si>
    <t xml:space="preserve">Follower - A Follower targets a player at night and learns what action they took that night, but not who they targeted. This is a visiting role.</t>
  </si>
  <si>
    <t xml:space="preserve">Forensic Investigator - 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t>
  </si>
  <si>
    <t xml:space="preserve">Friendly Doctor - 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t>
  </si>
  <si>
    <t xml:space="preserve">Friendly Neighbor - A Friendly Neighbor can send one message each night to a player, stating that the Friendly Neighbor is town. This mail may not be responded to. This is not a visiting role.</t>
  </si>
  <si>
    <t xml:space="preserve">Geneticist - 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t>
  </si>
  <si>
    <t xml:space="preserve">Gladiator - 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t>
  </si>
  <si>
    <t xml:space="preserve">Governor - 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t>
  </si>
  <si>
    <t xml:space="preserve">Gunsmith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t>
  </si>
  <si>
    <t xml:space="preserve">Hider - 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t>
  </si>
  <si>
    <t xml:space="preserve">Innocent Child - 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t>
  </si>
  <si>
    <t xml:space="preserve">Inquisitor - 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t>
  </si>
  <si>
    <t xml:space="preserve">Insane Cop - 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t>
  </si>
  <si>
    <t xml:space="preserve">Inventor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t>
  </si>
  <si>
    <t xml:space="preserve">Jack of All Trades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t>
  </si>
  <si>
    <t xml:space="preserve">Jailkeeper - 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t>
  </si>
  <si>
    <t xml:space="preserve">Jesus - 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t>
  </si>
  <si>
    <t xml:space="preserve">Keymaker - 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t>
  </si>
  <si>
    <t xml:space="preserve">Lie Detector - 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t>
  </si>
  <si>
    <t xml:space="preserve">Mailman - A Mailman can send an anonymous message to another player of their choice at night. This is done by sending the host the target's name and the message. The host will then send the message on to the target. The recipient can send a message in reply. This is not a visiting role.</t>
  </si>
  <si>
    <t xml:space="preserve">Martyr - A Martyr can use their ability once. The Martyr chooses a target to kill, kills that target, and then dies. The Martyr cannot be saved when using their ability. This is a visiting role.</t>
  </si>
  <si>
    <t xml:space="preserve">Mason - 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t>
  </si>
  <si>
    <t xml:space="preserve">Master Surgeon - 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t>
  </si>
  <si>
    <t xml:space="preserve">Medium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t>
  </si>
  <si>
    <t xml:space="preserve">Miller - A Miller is a Vanilla townie who show as guilty to sane Cops and innocent to Insane Cops. This is not a visiting role.</t>
  </si>
  <si>
    <t xml:space="preserve">Mortician - A Mortician can choose a dead player each night and obtain the player's true role, no matter how that role is disguised. This is not a visiting role.</t>
  </si>
  <si>
    <t xml:space="preserve">The Mortician role may have the following variation: The Mortician must examine the same dead player twice before it receives the role information, as it takes two nights to fully examine the body.</t>
  </si>
  <si>
    <t xml:space="preserve">Motivator - 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t>
  </si>
  <si>
    <t xml:space="preserve">Naive Cop - 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t>
  </si>
  <si>
    <t xml:space="preserve">Neighborhood Watch - 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t>
  </si>
  <si>
    <t xml:space="preserve">Paranoid Cop - 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t>
  </si>
  <si>
    <t xml:space="preserve">Paranoid Insane Cop - 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t>
  </si>
  <si>
    <t xml:space="preserve">Parity Cop - 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t>
  </si>
  <si>
    <t xml:space="preserve">Party Host - 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t>
  </si>
  <si>
    <t xml:space="preserve">Photographer - Each night, a Photographer may watch up to two players. The Photographer learns who visits both players that night. This is a visiting role.</t>
  </si>
  <si>
    <t xml:space="preserve">Priest - A Priest chooses a player each night to protect from being recruited by The Fallen Angel. The Priest cannot choose to protect the same player three nights in a row. The Priest can protect itself. This is a visiting role.</t>
  </si>
  <si>
    <t xml:space="preserve">Private Eye - Each night, a Private Eye may track up to two players. The Private Eye learns who those players visit that night. This is a visiting role.</t>
  </si>
  <si>
    <t xml:space="preserve">Reviver - 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t>
  </si>
  <si>
    <t xml:space="preserve">Rookie Cop - 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t>
  </si>
  <si>
    <t xml:space="preserve">Roleblocker - A Roleblocker chooses one player to block each night. The Roleblocker cannot block the same player 3 nights in a row. This is a visiting role.</t>
  </si>
  <si>
    <t xml:space="preserve">Rolestopper - A Rolestopper chooses one player to protect from all other night actions. The Rolestopper cannot target the same player two nights in a row. This is a visiting role.</t>
  </si>
  <si>
    <t xml:space="preserve">Safety Expert - A Safety Expert may either gunsmith or roleblock a single target each night. The Safety Expert is one-shot Bulletproof. This is a visiting role.</t>
  </si>
  <si>
    <t xml:space="preserve">Schizophrenic - 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t>
  </si>
  <si>
    <t xml:space="preserve">Sensor - 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t>
  </si>
  <si>
    <t xml:space="preserve">Sheriff - Each night, a Sheriff may either perform a Detective or Sane Cop action. The Sheriff may only use each action 3 times. Failed attempts do not count against this limit. The Sheriff carries a gun. This is a visiting role.</t>
  </si>
  <si>
    <t xml:space="preserve">Shrink - A Shrink chooses a player each night to protect from being converted by the Cult. The Shrink cannot choose to target the same player three nights in a row. It can target itself. This is a visiting role.</t>
  </si>
  <si>
    <t xml:space="preserve">Spy - A Spy targets a player at night to track AND watch. The Spy will learn who visited that player, and who that player visited, but not what they did. The spy itself cannot be tracked or watched. This is a visiting role.</t>
  </si>
  <si>
    <t xml:space="preserve">Stump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t>
  </si>
  <si>
    <t xml:space="preserve">Tracker - A Tracker targets one player each night to learn who that player visited. The Tracker does not know the nature of the visits. This is a visiting role.</t>
  </si>
  <si>
    <t xml:space="preserve">Vanilla Townie - A Vanilla Townie is not special at all. This is not even a visiting role. Poor Vanilla Townie.</t>
  </si>
  <si>
    <t xml:space="preserve">Vengeful Townsperson - If the Vengeful Townsperson gets lynched, it may choose one player (by posting their name in the thread) who will then die at the same time.</t>
  </si>
  <si>
    <t xml:space="preserve">Veteran - 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t>
  </si>
  <si>
    <t xml:space="preserve">Vigilante - A Vigilante chooses one player to kill at night This kill is not compulsory unless that modifier is applied to the role. The Vigilante carries a gun. This is a visiting role.</t>
  </si>
  <si>
    <t xml:space="preserve">The Vigilante role may have the following variation: A Vigilante has X-shot (limit given by the host). A failed attempt does not count against the limit.</t>
  </si>
  <si>
    <t xml:space="preserve">Voyeur - A Voyeur chooses a target, and learns what was done to them that night, but not who did it. The Voyeur can target itself. This is a visiting role.</t>
  </si>
  <si>
    <t xml:space="preserve">Watcher - A Watcher watches one player each night to learn who visited that player. The Watcher does not know the nature of the visits. The Watcher is allowed to watch itself. This is a visiting role.</t>
  </si>
  <si>
    <t xml:space="preserve">Watchful Detective - Each night, a Watchful Detective may either Detective or Watch a target. The Watchful Detective carries a gun. This is a visiting role.</t>
  </si>
  <si>
    <t xml:space="preserve">Mafia Absorber - 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t>
  </si>
  <si>
    <t xml:space="preserve">Mafia Amnesiac - The Mafia Amnesiac can take over the role of any dead Mafia member. This ability can only be used once. This is not a visiting role, unless the Amnesiac performs the factional kill.</t>
  </si>
  <si>
    <t xml:space="preserve">Mafia Apprentice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t>
  </si>
  <si>
    <t xml:space="preserve">Mafia Bomber - Each night, the Bomber can choose to plant a bomb on a player or detonate. Detonating kills all players who have had bombs planted on them. The Mafia Bomber cannot be doctored two nights in a row. The Mafia Bomber carries a gun. This is a visiting role.</t>
  </si>
  <si>
    <t xml:space="preserve">The Mafia Bomber role may have the following variation: The Mafia Bomber has a deadman switch that activates upon death, which means any players that have a bomb planted on them will die simultaneously when the Bomber gets killed at night. However, the deadman switch will not go off if the Mafia Bomber is lynched.</t>
  </si>
  <si>
    <t xml:space="preserve">Mafia Bus Driver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t>
  </si>
  <si>
    <t xml:space="preserve">Mafia Cloak - A Mafia Cloak chooses one player at night to cloak. Anybody they cloak is unblockable and invisible to tracking/watching/following/voyeuring (i.e. those actions simply do not detect the cloaked player and its actions). This is NOT a visiting role.</t>
  </si>
  <si>
    <t xml:space="preserve">Mafia Corrupt Postal Worker - 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t>
  </si>
  <si>
    <t xml:space="preserve">Mafia Dentist - A Mafia Dentist chooses one player at night to silence. The silenced player cannot post in the thread for one game day. The Dentist cannot target the same player twice in a row. This is a visiting role.</t>
  </si>
  <si>
    <t xml:space="preserve">Mafia Detective - A Mafia Detective Investigates one player each night to determine their role. This is a visiting role.</t>
  </si>
  <si>
    <t xml:space="preserve">Mafia Doctor - A Mafia Doctor chooses one player at night to save. This is a visiting role.</t>
  </si>
  <si>
    <t xml:space="preserve">The Mafia Doctor role may have the following variation: The Mafia Doctor can choose to use a self-heal once.</t>
  </si>
  <si>
    <t xml:space="preserve">Mafia Fabricator - A Mafia Fabricator can visit one player each night. That player will receive an item of the Fabricator's choice. A Fake vest will not protect. A Fake gun Fails on use. A fake Shield Fails on use. A limit of 3 of each Item may be given during a game. This is a visiting role.</t>
  </si>
  <si>
    <t xml:space="preserve">Mafia Framer - A Mafia Framer can make a target appear guilty to Cops and a gun owner to Gunsmiths for that night. This is a visiting role.</t>
  </si>
  <si>
    <t xml:space="preserve">Mafia Godfather - A Godfather is the head of the Mafia. The Godfather appears innocent to Cops. Detective investigations will fail. The Godfather does not carry a gun. This is a visiting role if they perform the factional kill.</t>
  </si>
  <si>
    <t xml:space="preserve">The Mafia Godfather role may have the following variation: The Godfather may choose to recruit a player once. The night the Godfather is recruiting someone, their team cannot perform the factional kill. The Godfather will die after the recruitment and cannot be saved. The recruited player will be randomly assigned a new role and will join the chat room. If the Godfather tries to recruit a player from another team (scum team, Cult or Mason, for example), the recruitment will fail and the Godfather will not die. This is a visiting role when performing the recruitment.</t>
  </si>
  <si>
    <t xml:space="preserve">Mafia Goon - A Mafia Goon is nothing more than cannon fodder. This is not a visiting role, unless they perform the factional kill.</t>
  </si>
  <si>
    <t xml:space="preserve">Mafia Gunman - A Mafia Gunman can kill one player on odd nights, but only 3 times. Failure does not count against this limit. This is a visiting role.</t>
  </si>
  <si>
    <t xml:space="preserve">Mafia Gunsmith - 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t>
  </si>
  <si>
    <t xml:space="preserve">Mafia Intimidator - 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t>
  </si>
  <si>
    <t xml:space="preserve">Mafia Jack of All Trades - A Mafia Jack of All Trades (JoAT) has the ability to perform one of these actions each night: detective, sane cop, roleblock, watch, track, gunsmith, cloak and jail. The JoAT can only use each action once (but a failed attempt doesn't count against this limit). This is a visiting role.</t>
  </si>
  <si>
    <t xml:space="preserve">Mafia Janitor - 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t>
  </si>
  <si>
    <t xml:space="preserve">Mafia Lawyer - A Mafia Lawyer visits one player each night. That player appears innocent to Cops, Detective investigations fail, and that player does not appear to carry a gun. The Lawyer cannot target themselves. This is a visiting role.</t>
  </si>
  <si>
    <t xml:space="preserve">Mafia Mailman - 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t>
  </si>
  <si>
    <t xml:space="preserve">Mafia Private Eye - Each night, a Mafia Private Eye may track up to two players. The Private Eye learns who those players visit that night. This is a visiting role.</t>
  </si>
  <si>
    <t xml:space="preserve">Mafia Roleblocker - A Mafia Roleblocker chooses one player to block each night. The roleblocker cannot block the same player 3 nights in a row. This is a visiting role.</t>
  </si>
  <si>
    <t xml:space="preserve">Mafia Safety Expert - A Mafia Safety Expert may either gunsmith or roleblock a single target each night. The Safety Expert is one-shot Bulletproof. This is a visiting role.</t>
  </si>
  <si>
    <t xml:space="preserve">Mafia Seamstress - 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t>
  </si>
  <si>
    <t xml:space="preserve">Mafia Tailor - 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t>
  </si>
  <si>
    <t xml:space="preserve">Mafia Mole - 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t>
  </si>
  <si>
    <t xml:space="preserve">Mafia Thief - A Mafia Thief targets one player each night to steal an item from. The Thief is told what they stole, and the item will be related to that player's role. This is a visiting role.</t>
  </si>
  <si>
    <t xml:space="preserve">Mafia Torturer - A Mafia Torturer learns the night actions and results of everyone they kill.</t>
  </si>
  <si>
    <t xml:space="preserve">Mafia Tough Guy - Direct kills on a Mafia Tough Guy will fail. The Tough Guy can be lynched normally.</t>
  </si>
  <si>
    <t xml:space="preserve">Mafia Traitor - 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t>
  </si>
  <si>
    <t xml:space="preserve">Mafia Watchful Detective - Each night, a Mafia Watchful Detective may either Detective or Watch a target. The Watchful Detective carries a gun. This is a visiting role.</t>
  </si>
  <si>
    <t xml:space="preserve">Alien - 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t>
  </si>
  <si>
    <t xml:space="preserve">Amnesiac - 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t>
  </si>
  <si>
    <t xml:space="preserve">Anarchist - 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t>
  </si>
  <si>
    <t xml:space="preserve">Barman - 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t>
  </si>
  <si>
    <t xml:space="preserve">The Barman role may have the following variation: A Barman may choose one player each night to serve drinks to. The player’s night action will fail, they will have to use a Drunk Translator to translate any post they make during the following day and they will be poisoned. Poisoned players don’t know they are poisoned and will die at the end of the following night unless saved by a Doctor (as other types of protection are ineffective against the poison). This Barman is not a recruitable role. This is a visiting role.</t>
  </si>
  <si>
    <t xml:space="preserve">Bloody Mary - 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t>
  </si>
  <si>
    <t xml:space="preserve">Bomber - 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t>
  </si>
  <si>
    <t xml:space="preserve">The Bomber role may have the following variations: - The Bomber has a deadman switch that activates upon death. Any players that have a bomb planted on them will die simultaneously when the Bomber is lynched during the day or when the Bomber gets killed at night (unless they are doctored).</t>
  </si>
  <si>
    <t xml:space="preserve">- The Bomber has a delayed deadman switch that activates upon lynching. After the Bomber is lynched, any bombs that he has planted will go off at the end of the following night, allowing possible doctors or defusers to act at night and save the ones planted. If the Bomber is killed during the night, it will be up to the host if the bombs will go off immediately or won’t go off at all.</t>
  </si>
  <si>
    <t xml:space="preserve">Cat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t>
  </si>
  <si>
    <t xml:space="preserve">Courier - 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t>
  </si>
  <si>
    <t xml:space="preserve">Cult Amnesiac - The Cult Amnesiac is the first player recruited to join the Cult. A Cult Amnesiac can become the Cult Leader if the Cult Leader dies.</t>
  </si>
  <si>
    <t xml:space="preserve">Cult Leader - 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t>
  </si>
  <si>
    <t xml:space="preserve">Cult Member - A Cult Member is any player recruited to the Cult after the Cult Amnesiac has already been recruited. Cult Members have no night actions.</t>
  </si>
  <si>
    <t xml:space="preserve">Fallen Angel - 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t>
  </si>
  <si>
    <t xml:space="preserve">Insane Amnesiac - 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t>
  </si>
  <si>
    <t xml:space="preserve">Lover - 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t>
  </si>
  <si>
    <t xml:space="preserve">Piper - A Piper targets one player each night to charm. Charmed players will know the names of all other charmed players, but not who the Piper is. The Piper wins when all other living players are charmed. This is a visiting role.</t>
  </si>
  <si>
    <t xml:space="preserve">Pyscho - 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t>
  </si>
  <si>
    <t xml:space="preserve">Rambo - 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t>
  </si>
  <si>
    <t xml:space="preserve">Satanic Cult Amnesiac - A Satanic Cult Amnesiac is the first player recruited by the Fallen Angel. The Satanic Cult Amnesiac can become the Fallen Angel if the Fallen Angel dies.</t>
  </si>
  <si>
    <t xml:space="preserve">Satanic Cult Member - A Satanic Cult Member is any player recruited by the Fallen Angel after the Satanic Cult Amnesiac has already been recruited. Satanic Cult Members have no night actions.</t>
  </si>
  <si>
    <t xml:space="preserve">Serial Killer - A Serial Killer can kill one player each night. The Serial Killer is one-shot Bulletproof. This is a visiting role.</t>
  </si>
  <si>
    <t xml:space="preserve">Sidekick - 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t>
  </si>
  <si>
    <t xml:space="preserve">Slut - 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t>
  </si>
  <si>
    <t xml:space="preserve">Sneaky Pete - A Sneaky Pete chooses one player to kill each night. The Sneaky Pete cannot be tracked, watched or blocked. Sneaky Pete does not carry a gun.</t>
  </si>
  <si>
    <t xml:space="preserve">Spree Killer - 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t>
  </si>
  <si>
    <t xml:space="preserve">The Imposter - 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t>
  </si>
  <si>
    <t xml:space="preserve">Unabomber - 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t>
  </si>
  <si>
    <t xml:space="preserve">Werewolf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t>
  </si>
  <si>
    <t xml:space="preserve">Witch - 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t>
  </si>
  <si>
    <t xml:space="preserve">Bleeding - If shot, a Bleeding player will not die instantly but at the beginning of the next night. The player will know he was shot but not by whom.</t>
  </si>
  <si>
    <t xml:space="preserve">Boastful - A Boastful player can either use his role OR announce something anonymously in the thread every night.</t>
  </si>
  <si>
    <t xml:space="preserve">Breakthrough - A player with the Breakthrough modifier cannot be roleblocked.</t>
  </si>
  <si>
    <t xml:space="preserve">Bulletproof - A Bulletproof player starts off with one bulletproof vest, which allows that player to survive one shot or one stab. The vest does not protect against bombs.</t>
  </si>
  <si>
    <t xml:space="preserve">Compulsive - A Compulsive player must use its action every night. If the player fails to submit an action, the host will randomly choose an action/target for that night.</t>
  </si>
  <si>
    <t xml:space="preserve">Consulting - A Consulting player can either use his role OR a mailman's action every night.</t>
  </si>
  <si>
    <t xml:space="preserve">Incognito - An Incognito player cannot be watched or tracked. Detective investigations fail.</t>
  </si>
  <si>
    <t xml:space="preserve">Lethal - When performing a kill, nothing can stop a Lethal player, including doctors, vests, bodyguards or any other protective role.</t>
  </si>
  <si>
    <t xml:space="preserve">Tough - A Tough player cannot be killed at night. (Not to be confused with the Mafia Tough Guy role.)</t>
  </si>
  <si>
    <t xml:space="preserve">Ward - A player with a Ward has a one-time use shield that will reflect a kill attempt to another randomly chosen target. It does not protect against bombs.</t>
  </si>
  <si>
    <t xml:space="preserve">Dead chat:</t>
  </si>
  <si>
    <t>https://chathe.net/join/Ywa7p0P7Lo</t>
  </si>
  <si>
    <t>Mafia:</t>
  </si>
  <si>
    <t>https://chathe.net/join/xMv7GpjQJn</t>
  </si>
  <si>
    <t>Trivium</t>
  </si>
  <si>
    <t xml:space="preserve">Welcome to PTP Mafia #154!
You are Gaston
[img]https://i.imgur.com/E3c0hH3.jpeg[/img]
A Town [color=#00ff00]Cop[/color]
[quote]A (Sane) Cop investigates one player each night to determine if they are guilty or innocent.  The Cop carries a gun.[/quote]
Feel free to ask any questions about your role or the game itself.
Good luck and have fun!
</t>
  </si>
  <si>
    <t xml:space="preserve">Welcome to PTP Mafia #154!
You are Hector Barbossa
[img]https://i.imgur.com/ZkZG056.jpeg[/img]
A Town [color=#00ff00]Doctor[/color]
[quote]A Doctor chooses one player at night to save from kill attempts.  The save can be used on the Bodyguard if they are targeted for a kill, but it will not save the Bodyguard if they are protecting someone who is targeted for a kill.[/quote]
Feel free to ask any questions about your role or the game itself.
Good luck and have fun!
</t>
  </si>
  <si>
    <t xml:space="preserve">Welcome to PTP Mafia #154!
You are C. Montgomery Burns
[img]https://i.imgur.com/pJtQgjX.jpeg[/img]
A Town [color=#00ff00]Doctor[/color]
[quote]A Doctor chooses one player at night to save from kill attempts.  The save can be used on the Bodyguard if they are targeted for a kill, but it will not save the Bodyguard if they are protecting someone who is targeted for a kill.[/quote]
Feel free to ask any questions about your role or the game itself.
Good luck and have fun!
</t>
  </si>
  <si>
    <t xml:space="preserve">Welcome to PTP Mafia #154!
You are Maleficent
[img]https://i.imgur.com/vzgWrrS.jpeg[/img]
A Town [color=#00ff00]Detective[/color]
[quote]A Detective investigates one player each night to determine that player's role.  The Detective does not learn alignments.  The Detective carries a gun.[/quote]
Feel free to ask any questions about your role or the game itself.
Good luck and have fun!
</t>
  </si>
  <si>
    <t xml:space="preserve">Welcome to PTP Mafia #154!
You are Ursula
[img]https://i.imgur.com/4qsMxWR.jpeg[/img]
A Town [color=#00ff00]Defuser[/color]
[quote]A Defuser may visit one player each night.  If the target has a bomb planted on them, it will be defused, and both parties will be notified that the defusing was successful.[/quote]
Feel free to ask any questions about your role or the game itself.
Good luck and have fun!
</t>
  </si>
  <si>
    <t xml:space="preserve">Welcome to PTP Mafia #154!
You are Kronk
[img]https://i.imgur.com/IudblkM.jpeg[/img]
A Town [color=#00ff00]Defuser[/color]
[quote]A Defuser may visit one player each night.  If the target has a bomb planted on them, it will be defused, and both parties will be notified that the defusing was successful.[/quote]
Feel free to ask any questions about your role or the game itself.
Good luck and have fun!
</t>
  </si>
  <si>
    <t xml:space="preserve">Welcome to PTP Mafia #154!
You are Captain Hook
[img]https://i.imgur.com/8mmlAkh.jpeg[/img]
A Town [color=#00ff00]Roleblocker[/color]
[quote]A Roleblocker chooses one player to block each night.  Unless immune to blocking, including other Roleblockers (including Cats and Barmen), that player's night action will Fail.  The Roleblocker cannot block the same player on consecutive nights.[/quote]
Feel free to ask any questions about your role or the game itself.
Good luck and have fun!
</t>
  </si>
  <si>
    <t xml:space="preserve">Welcome to PTP Mafia #154!
You are Duke of Weselton
[img]https://i.imgur.com/wVugBr3.jpeg[/img]
A Town [color=#00ff00]Jailkeeper[/color]
[quote]A Jailkeeper can jail one target each night.  That target's night action will fail if it is a visiting action (even if self-targeted), but the target will also be immune to all visiting night actions (both subject to the OOP, as actions of a higher precedence on or by the target will still succeed without the Jailkeeper's action failing).  If there are multiple Jailkeepers and more than one targets the same player, only one Jail action, chosen randomly, will succeed.  If the Jailkeeper dies, the prisoner dies at the same time (even if the prisoner is vested, is a Stump/Tough Guy or has a modifier that would prevent or delay death otherwise).[/quote]
Feel free to ask any questions about your role or the game itself.
Good luck and have fun!
</t>
  </si>
  <si>
    <t xml:space="preserve">Welcome to PTP Mafia #154!
You are Thanos
[img]https://i.imgur.com/xA9SnTl.jpeg[/img]
A Town [color=#00ff00]Jailkeeper[/color]
[quote]A Jailkeeper can jail one target each night.  That target's night action will fail if it is a visiting action (even if self-targeted), but the target will also be immune to all visiting night actions (both subject to the OOP, as actions of a higher precedence on or by the target will still succeed without the Jailkeeper's action failing).  If there are multiple Jailkeepers and more than one targets the same player, only one Jail action, chosen randomly, will succeed.  If the Jailkeeper dies, the prisoner dies at the same time (even if the prisoner is vested, is a Stump/Tough Guy or has a modifier that would prevent or delay death otherwise).[/quote]
Feel free to ask any questions about your role or the game itself.
Good luck and have fun!
</t>
  </si>
  <si>
    <t xml:space="preserve">Welcome to PTP Mafia #154!
You are Dr. Doofenshmirtz
[img]https://i.imgur.com/Akmy8ib.jpeg[/img]
A Town [color=#00ff00]Follower[/color]
[quote]A Follower targets a player at night and learns what type of action they took that night, but not who they targeted.  Common types of actions include investigative, protective, killing, manipulative, and miscellaneous.  Delayed kills report as killing actions.[/quote]
Feel free to ask any questions about your role or the game itself.
Good luck and have fun!
</t>
  </si>
  <si>
    <t xml:space="preserve">Welcome to PTP Mafia #154!
You are Tamatoa
[img]https://i.imgur.com/5HCkRnk.jpeg[/img]
A Town [color=#00ff00]Tracker[/color]
[quote]A Tracker targets one player each night to learn who that player visited.  The Tracker does not know the nature of the visits.[/quote]
Feel free to ask any questions about your role or the game itself.
Good luck and have fun!
</t>
  </si>
  <si>
    <t>amcfarla</t>
  </si>
  <si>
    <t xml:space="preserve">Welcome to PTP Mafia #154!
You are Mother Gothel
[img]https://i.imgur.com/G3uaiWX.jpeg[/img]
A Town [color=#00ff00]Spy[/color]
[quote]A Spy targets a player at night to track AND watch.  The Spy will learn who visited that player, and who that player visited, but not what they did.  The spy itself cannot be tracked or seen visiting other players in watch results, but can be watched normally itself.[/quote]
Feel free to ask any questions about your role or the game itself.
Good luck and have fun!
</t>
  </si>
  <si>
    <t xml:space="preserve">Welcome to PTP Mafia #154!
You are Randall Boggs
[img]https://i.imgur.com/LKM250m.jpeg[/img]
A Town [color=#00ff00]Voyeur[/color]
[quote]A Voyeur chooses a target and learns what was done to them that night, but not who did it.  The Voyeur can target itself but will not observe its own action.[/quote]
Feel free to ask any questions about your role or the game itself.
Good luck and have fun!
</t>
  </si>
  <si>
    <t xml:space="preserve">Welcome to PTP Mafia #154!
You are Kingpin
[img]https://i.imgur.com/1lUNTpK.jpeg[/img]
A Town [color=#00ff00]Watcher[/color]
[quote]A Watcher watches one player each night to learn who else visited that player.  The Watcher does not know the nature of the visits.  The Watcher is allowed to watch itself.[/quote]
Feel free to ask any questions about your role or the game itself.
Good luck and have fun!
</t>
  </si>
  <si>
    <t xml:space="preserve">Welcome to PTP Mafia #154!
You are Prince John
[img]https://i.imgur.com/PsqP63x.jpeg[/img]
A Town [color=#00ff00]Watcher[/color]
[quote]A Watcher watches one player each night to learn who else visited that player.  The Watcher does not know the nature of the visits.  The Watcher is allowed to watch itself.[/quote]
Feel free to ask any questions about your role or the game itself.
Good luck and have fun!
</t>
  </si>
  <si>
    <t xml:space="preserve">Welcome to PTP Mafia #154!
You are Boo
[img]https://i.imgur.com/npJggJX.jpeg[/img]
A Town [color=#00ff00]Vigilante[/color]
[quote]A Vigilante may choose one player to kill at night.  This kill is not compulsory unless that modifier is applied to the role.  The Vigilante carries a gun.[/quote]
Feel free to ask any questions about your role or the game itself.
Good luck and have fun!
</t>
  </si>
  <si>
    <t xml:space="preserve">Welcome to PTP Mafia #154!
You are Giselle Philip
[img]https://i.imgur.com/ntIjjar.jpeg[/img]
A Town [color=#00ff00]Vigilante[/color]
[quote]A Vigilante may choose one player to kill at night.  This kill is not compulsory unless that modifier is applied to the role.  The Vigilante carries a gun.[/quote]
Feel free to ask any questions about your role or the game itself.
Good luck and have fun!
</t>
  </si>
  <si>
    <t xml:space="preserve">Welcome to PTP Mafia #154!
You are Sykes
[img]https://i.imgur.com/77SA0LU.jpeg[/img]
A Town [color=#00ff00]Schizophrenic[/color]
[quote]A Schizophrenic has the ability to target one player per night, and does not know what action it takes until receiving its result PM the next morning.  The action will be one of: watch, track, save (doctor), roleblock, rolestop, jail, motivate, serve a drink, detective or kill (where a random N0 kill selection will be re-rolled to a valid action).  The Schizophrenic does not carry a gun.[/quote]
Feel free to ask any questions about your role or the game itself.
Good luck and have fun!
</t>
  </si>
  <si>
    <t xml:space="preserve">Welcome to PTP Mafia #154!
You are Mal
[img]https://i.imgur.com/6P1oiib.jpeg[/img]
A Town [color=#00ff00]Cloak[/color]
[quote]A Cloak chooses another player at night to cloak.  The cloaked player is invisible to tracking/watching/following/voyeuring, i.e. those actions simply do not observe the cloaked player's actions, and is unblockable (but not unjailable).  A Watch action targeting the cloaked player will see other visitors as normal.  This is NOT a visiting role.[/quote]
Feel free to ask any questions about your role or the game itself.
Good luck and have fun!
</t>
  </si>
  <si>
    <t xml:space="preserve">Welcome to PTP Mafia #154!
You are Emperor Palpatine
[img]https://i.imgur.com/NTGFA8w.jpeg[/img]
A Town [color=#00ff00]Bodyguard[/color]
[quote]A Bodyguard chooses one player at night to save by intercepting a kill attempt and dying in its place. If multiple people attack the protected target, both the target and the Bodyguard will die. The Bodyguard carries a gun.[/quote]
Feel free to ask any questions about your role or the game itself.
Good luck and have fun!
</t>
  </si>
  <si>
    <t xml:space="preserve">Welcome to PTP Mafia #154!
You are Rico Suave
[img]https://i.imgur.com/rJnESH6.jpeg[/img]
A Town [color=#00ff00]Stump[/color]
[quote]A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Lynch.)[/quote]
Feel free to ask any questions about your role or the game itself.
Good luck and have fun!
</t>
  </si>
  <si>
    <t xml:space="preserve">Welcome to PTP Mafia #154!
You are The Queen of Hearts
[img]https://i.imgur.com/tlcnqd4.jpeg[/img]
A 3rd Party [color=#8e7cc3]Sneaky Pete[/color]
[quote]A Sneaky Pete chooses one player to kill each night.  The Sneaky Pete cannot be tracked, seen in normal watch results on other players or blocked.[/quote]
Feel free to ask any questions about your role or the game itself.
Good luck and have fun!
</t>
  </si>
  <si>
    <t>derels</t>
  </si>
  <si>
    <t xml:space="preserve">Welcome to PTP Mafia #154!
You are Hades
[img]https://i.imgur.com/aKAYHqf.jpeg[/img]
A 3rd Party [color=#8e7cc3]Cat[/color]
[quote]A Cat snuggles with one player each night.  That player's night action fails, and every action directed at that player will each be randomly redirected to someone else.  Players that had their action redirected will be notified about it, but won’t know the new target.  If a scum team successfully "kills" the Cat, it will instead become the scum team’s Cat and is able to join that team's chat.  If a Townie/3rd party killer successfully "kills" the Cat, it instead becomes the Townie's/killer's pet and is able to talk with the Townie/killer who targeted it (through a provided shared chat).  Once recruited, the Cat will keep its abilities and, if recruited by a scum faction, will appear guilty to sane cops and will carry a gun from that point on.  The Cat cannot snuggle with the same player on consecutive nights.  If there is more than one Cat, and they visit the same player, all will succeed, since all the Snuggling happens simultaneously, but if a Cat visits another Cat or a player using a blocking action, the Cat's block will fail, but other actions targeting the Snuggled Cat/blocker will still be redirected and the Cat's result will be reported as a Success.[/quote]
Feel free to ask any questions about your role or the game itself.
Good luck and have fun!
</t>
  </si>
  <si>
    <t xml:space="preserve">Welcome to PTP Mafia #154!
You are Shan Yu
[img]https://i.imgur.com/bWLbgWq.jpeg[/img]
A 3rd Party [color=#8e7cc3]Cat[/color]
[quote]A Cat snuggles with one player each night.  That player's night action fails, and every action directed at that player will each be randomly redirected to someone else.  Players that had their action redirected will be notified about it, but won’t know the new target.  If a scum team successfully "kills" the Cat, it will instead become the scum team’s Cat and is able to join that team's chat.  If a Townie/3rd party killer successfully "kills" the Cat, it instead becomes the Townie's/killer's pet and is able to talk with the Townie/killer who targeted it (through a provided shared chat).  Once recruited, the Cat will keep its abilities and, if recruited by a scum faction, will appear guilty to sane cops and will carry a gun from that point on.  The Cat cannot snuggle with the same player on consecutive nights.  If there is more than one Cat, and they visit the same player, all will succeed, since all the Snuggling happens simultaneously, but if a Cat visits another Cat or a player using a blocking action, the Cat's block will fail, but other actions targeting the Snuggled Cat/blocker will still be redirected and the Cat's result will be reported as a Success.[/quote]
Feel free to ask any questions about your role or the game itself.
Good luck and have fun!
</t>
  </si>
  <si>
    <t xml:space="preserve">Welcome to PTP Mafia #154!
You are Lady Tremaine
[img]https://i.imgur.com/5TXcCrh.jpeg[/img]
A 3rd Party [color=#8e7cc3]Cat[/color]
[quote]A Cat snuggles with one player each night.  That player's night action fails, and every action directed at that player will each be randomly redirected to someone else.  Players that had their action redirected will be notified about it, but won’t know the new target.  If a scum team successfully "kills" the Cat, it will instead become the scum team’s Cat and is able to join that team's chat.  If a Townie/3rd party killer successfully "kills" the Cat, it instead becomes the Townie's/killer's pet and is able to talk with the Townie/killer who targeted it (through a provided shared chat).  Once recruited, the Cat will keep its abilities and, if recruited by a scum faction, will appear guilty to sane cops and will carry a gun from that point on.  The Cat cannot snuggle with the same player on consecutive nights.  If there is more than one Cat, and they visit the same player, all will succeed, since all the Snuggling happens simultaneously, but if a Cat visits another Cat or a player using a blocking action, the Cat's block will fail, but other actions targeting the Snuggled Cat/blocker will still be redirected and the Cat's result will be reported as a Success.[/quote]
Feel free to ask any questions about your role or the game itself.
Good luck and have fun!
</t>
  </si>
  <si>
    <t xml:space="preserve">Welcome to PTP Mafia #154!
You are Cruella de Ville
[img]https://i.imgur.com/m1QGRAG.jpeg[/img]
A Mafia [color=red]Godfather[/color]
[quote]A Godfather is the head of the Mafia.  The Godfather appears innocent to Cops.  Detective investigations will fail.  The Godfather does not carry a gun.  This is a visiting role only if/when they perform the factional kill.[/quote]
You can join your team here: https://chathe.net/join/xMv7GpjQJn
Feel free to ask any questions about your role or the game itself.
Good luck and have fun!
</t>
  </si>
  <si>
    <t xml:space="preserve">Welcome to PTP Mafia #154!
You are Darth Vader
[img]https://i.imgur.com/SSZZP8V.jpeg[/img]
A Mafia [color=red]Cloak[/color]
[quote]A Mafia Cloak chooses another player at night to cloak.  The cloaked player is invisible to tracking/watching/following/voyeuring, i.e. those actions simply do not detect the cloaked player's actions, and is unblockable (but not unjailable).  A Watch action targeting the cloaked player will see other visitors as normal.  This is NOT a visiting role.[/quote]
You can join your team here: https://chathe.net/join/xMv7GpjQJn
Feel free to ask any questions about your role or the game itself.
Good luck and have fun!
</t>
  </si>
  <si>
    <t xml:space="preserve">Welcome to PTP Mafia #154!
You are Jafar
[img]https://i.imgur.com/bhjvcNJ.jpeg[/img]
A Mafia [color=red]Cloak[/color]
[quote]A Mafia Cloak chooses another player at night to cloak.  The cloaked player is invisible to tracking/watching/following/voyeuring, i.e. those actions simply do not detect the cloaked player's actions, and is unblockable (but not unjailable).  A Watch action targeting the cloaked player will see other visitors as normal.  This is NOT a visiting role.[/quote]
You can join your team here: https://chathe.net/join/xMv7GpjQJn
Feel free to ask any questions about your role or the game itself.
Good luck and have fun!
</t>
  </si>
  <si>
    <t xml:space="preserve">Welcome to PTP Mafia #154!
You are Ratigan
[img]https://i.imgur.com/jMBDaFL.jpeg[/img]
A Mafia [color=red]Tough Guy[/color]
[quote]Direct kills on a Mafia Tough Guy will fail.  The Tough Guy can be lynched normally.[/quote]
You can join your team here: https://chathe.net/join/xMv7GpjQJn
Feel free to ask any questions about your role or the game itself.
Good luck and have fun!
</t>
  </si>
  <si>
    <t xml:space="preserve">Welcome to PTP Mafia #154!
You are Scar
[img]https://i.imgur.com/3u8gBue.jpeg[/img]
A Mafia [color=red]Jack of All Trades[/color]
[quote]A Mafia Jack of All Trades (JoAT) has the ability to perform one of these actions each night: detective, sane cop, roleblock, watch, track, gunsmith, jail, doctor, and cloak.  The JoAT can only use each action once (but a failed attempt doesn't count against this limit).[/quote]
You can join your team here: https://chathe.net/join/xMv7GpjQJn
Feel free to ask any questions about your role or the game itself.
Good luck and have fun!
</t>
  </si>
  <si>
    <t xml:space="preserve">Welcome to PTP Mafia #154!
You are Amos Slade
[img]https://i.imgur.com/8TsTNr3.jpeg[/img]
A Mafia [color=red]Private Eye[/color]
[quote]Each night, a Mafia Private Eye may track up to two players.  The Private Eye learns who those players visit that night.[/quote]
You can join your team here: https://chathe.net/join/xMv7GpjQJn
Feel free to ask any questions about your role or the game itself.
Good luck and have fun!
</t>
  </si>
  <si>
    <t xml:space="preserve">Welcome to PTP Mafia #154!
You are Sir Hiss
[img]https://i.imgur.com/vGRLStK.jpeg[/img]
A Mafia [color=red]Spy[/color]
[quote]A Mafia Spy targets a player at night to track AND watch.  The Spy will learn who visited that player, and who that player visited, but not what they did.  The spy itself cannot be tracked or seen visiting other players in watch results, but can be watched normally itself.[/quote]
You can join your team here: https://chathe.net/join/xMv7GpjQJn
Feel free to ask any questions about your role or the game itself.
Good luck and have fun!
</t>
  </si>
  <si>
    <t xml:space="preserve">Welcome to PTP Mafia #154!
You are Judge Claude Frollo
[img]https://i.imgur.com/czPelun.jpeg[/img]
A Mafia [color=red]Doctor[/color]
[quote]A Mafia Doctor chooses one player at night to save from kill attempts.[/quote]
You can join your team here: https://chathe.net/join/xMv7GpjQJn
Feel free to ask any questions about your role or the game itself.
Good luck and have fun!
</t>
  </si>
  <si>
    <t xml:space="preserve">Welcome to PTP Mafia #154!
You are Yzma
[img]https://i.imgur.com/U66sz1l.jpeg[/img]
A Mafia [color=red]Bomber[/color]
[quote]Each night, the Bomber can choose to plant a bomb on a player or detonate.  Detonating kills all players who have had bombs planted on them, and any visitors who are not doctored unless the bomb is defused.  The Mafia Bomber cannot be doctored on consecutive nights.  Like most Mafia, the Mafia Bomber carries a gun even though he kills with Bombs.  This is a visiting role when planting bombs, but detonation is triggered remotely.[/quote]
You can join your team here: https://chathe.net/join/xMv7GpjQJn
Feel free to ask any questions about your role or the game itself.
Good luck and have fun!
</t>
  </si>
  <si>
    <t xml:space="preserve">Welcome to PTP Mafia #154!
You are Shere Khan
[img]https://i.imgur.com/IX1b5YK.jpeg[/img]
A Mafia [color=red]Bomber[/color]
[quote]Each night, the Bomber can choose to plant a bomb on a player or detonate.  Detonating kills all players who have had bombs planted on them, and any visitors who are not doctored unless the bomb is defused.  The Mafia Bomber cannot be doctored on consecutive nights.  Like most Mafia, the Mafia Bomber carries a gun even though he kills with Bombs.  This is a visiting role when planting bombs, but detonation is triggered remotely.[/quote]
You can join your team here: https://chathe.net/join/xMv7GpjQJn
Feel free to ask any questions about your role or the game itself.
Good luck and have fun!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</si>
</sst>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4">
    <font>
      <sz val="10.000000"/>
      <color theme="1"/>
      <name val="Arial"/>
    </font>
    <font>
      <name val="Arial"/>
    </font>
    <font/>
    <font>
      <name val="arial,sans,sans-serif"/>
    </font>
    <font>
      <sz val="9.000000"/>
      <name val="Arial"/>
    </font>
    <font>
      <color rgb="FFF3F3F3"/>
      <name val="Arial"/>
    </font>
    <font>
      <strike/>
      <sz val="10.000000"/>
      <name val="Arial"/>
    </font>
    <font>
      <i/>
      <sz val="10.000000"/>
    </font>
    <font>
      <b/>
    </font>
    <font>
      <strike/>
      <sz val="10.000000"/>
      <color theme="1"/>
      <name val="Arial"/>
    </font>
    <font>
      <i/>
    </font>
    <font>
      <sz val="12.000000"/>
      <name val="Times New Roman"/>
    </font>
    <font>
      <strike/>
    </font>
    <font>
      <sz val="10.000000"/>
      <color rgb="FFFC7A08"/>
      <name val="Arial"/>
    </font>
    <font>
      <sz val="12.000000"/>
      <color indexed="64"/>
      <name val="Times New Roman"/>
    </font>
    <font>
      <i/>
      <name val="Arial"/>
    </font>
    <font>
      <sz val="10.000000"/>
      <name val="Arial"/>
    </font>
    <font>
      <u/>
      <sz val="10.000000"/>
      <name val="Arial"/>
    </font>
    <font>
      <sz val="11.000000"/>
    </font>
    <font>
      <u/>
      <sz val="10.000000"/>
      <color theme="10"/>
      <name val="Arial"/>
    </font>
    <font>
      <sz val="11.000000"/>
      <color rgb="FFA61D4C"/>
    </font>
    <font>
      <b/>
      <sz val="10.000000"/>
      <name val="Arial"/>
    </font>
    <font>
      <sz val="10.000000"/>
    </font>
    <font>
      <color indexed="65"/>
    </font>
  </fonts>
  <fills count="23">
    <fill>
      <patternFill patternType="none"/>
    </fill>
    <fill>
      <patternFill patternType="gray125"/>
    </fill>
    <fill>
      <patternFill patternType="solid">
        <fgColor rgb="FFD9EAD3"/>
        <bgColor rgb="FFD9EAD3"/>
      </patternFill>
    </fill>
    <fill>
      <patternFill patternType="solid">
        <fgColor rgb="FF434343"/>
        <bgColor rgb="FF434343"/>
      </patternFill>
    </fill>
    <fill>
      <patternFill patternType="solid">
        <fgColor rgb="FF80E316"/>
        <bgColor rgb="FF80E316"/>
      </patternFill>
    </fill>
    <fill>
      <patternFill patternType="solid">
        <fgColor rgb="FF9F62F5"/>
        <bgColor rgb="FF9F62F5"/>
      </patternFill>
    </fill>
    <fill>
      <patternFill patternType="solid">
        <fgColor indexed="2"/>
        <bgColor indexed="2"/>
      </patternFill>
    </fill>
    <fill>
      <patternFill patternType="solid">
        <fgColor rgb="FFF4CCCC"/>
        <bgColor rgb="FFF4CCCC"/>
      </patternFill>
    </fill>
    <fill>
      <patternFill patternType="solid">
        <fgColor rgb="FFF1C232"/>
        <bgColor rgb="FFF1C232"/>
      </patternFill>
    </fill>
    <fill>
      <patternFill patternType="solid">
        <fgColor rgb="FFD9D9D9"/>
        <bgColor rgb="FFD9D9D9"/>
      </patternFill>
    </fill>
    <fill>
      <patternFill patternType="solid">
        <fgColor rgb="FF6D9EEB"/>
        <bgColor rgb="FF6D9EEB"/>
      </patternFill>
    </fill>
    <fill>
      <patternFill patternType="solid">
        <fgColor rgb="FFFFD966"/>
        <bgColor rgb="FFFFD966"/>
      </patternFill>
    </fill>
    <fill>
      <patternFill patternType="solid">
        <fgColor rgb="FF93C47D"/>
        <bgColor rgb="FF93C47D"/>
      </patternFill>
    </fill>
    <fill>
      <patternFill patternType="solid">
        <fgColor rgb="FFB7B7B7"/>
        <bgColor rgb="FFB7B7B7"/>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E06666"/>
        <bgColor rgb="FFE06666"/>
      </patternFill>
    </fill>
    <fill>
      <patternFill patternType="solid">
        <fgColor rgb="FF8E7CC3"/>
        <bgColor rgb="FF8E7CC3"/>
      </patternFill>
    </fill>
    <fill>
      <patternFill patternType="solid">
        <fgColor rgb="FFD9D2E9"/>
        <bgColor rgb="FFD9D2E9"/>
      </patternFill>
    </fill>
    <fill>
      <patternFill patternType="solid">
        <fgColor indexed="3"/>
        <bgColor indexed="3"/>
      </patternFill>
    </fill>
    <fill>
      <patternFill patternType="solid">
        <fgColor rgb="FFE300FF"/>
        <bgColor rgb="FFE300FF"/>
      </patternFill>
    </fill>
    <fill>
      <patternFill patternType="solid">
        <fgColor rgb="FFF6B26B"/>
        <bgColor rgb="FFF6B26B"/>
      </patternFill>
    </fill>
  </fills>
  <borders count="19">
    <border>
      <left style="none"/>
      <right style="none"/>
      <top style="none"/>
      <bottom style="none"/>
      <diagonal style="none"/>
    </border>
    <border>
      <left style="none"/>
      <right style="thick">
        <color auto="1"/>
      </right>
      <top style="none"/>
      <bottom style="none"/>
      <diagonal style="none"/>
    </border>
    <border>
      <left style="thin">
        <color auto="1"/>
      </left>
      <right style="thin">
        <color auto="1"/>
      </right>
      <top style="none"/>
      <bottom style="thin">
        <color rgb="FF666666"/>
      </bottom>
      <diagonal style="none"/>
    </border>
    <border>
      <left style="none"/>
      <right style="thin">
        <color auto="1"/>
      </right>
      <top style="none"/>
      <bottom style="none"/>
      <diagonal style="none"/>
    </border>
    <border>
      <left style="none"/>
      <right style="thin">
        <color auto="1"/>
      </right>
      <top style="none"/>
      <bottom style="thin">
        <color rgb="FF666666"/>
      </bottom>
      <diagonal style="none"/>
    </border>
    <border>
      <left style="none"/>
      <right style="none"/>
      <top style="none"/>
      <bottom style="thin">
        <color rgb="FF666666"/>
      </bottom>
      <diagonal style="none"/>
    </border>
    <border>
      <left style="none"/>
      <right style="thick">
        <color auto="1"/>
      </right>
      <top style="none"/>
      <bottom style="thin">
        <color rgb="FF666666"/>
      </bottom>
      <diagonal style="none"/>
    </border>
    <border>
      <left style="none"/>
      <right style="thin">
        <color rgb="FF666666"/>
      </right>
      <top style="none"/>
      <bottom style="thin">
        <color rgb="FF666666"/>
      </bottom>
      <diagonal style="none"/>
    </border>
    <border>
      <left style="none"/>
      <right style="thin">
        <color theme="0" tint="-0.34998626667073579"/>
      </right>
      <top style="none"/>
      <bottom style="none"/>
      <diagonal style="none"/>
    </border>
    <border>
      <left style="thin">
        <color theme="0" tint="-0.34998626667073579"/>
      </left>
      <right style="thin">
        <color theme="0" tint="-0.34998626667073579"/>
      </right>
      <top style="thin">
        <color theme="0" tint="-0.34998626667073579"/>
      </top>
      <bottom style="thin">
        <color theme="0" tint="-0.34998626667073579"/>
      </bottom>
      <diagonal style="none"/>
    </border>
    <border>
      <left style="thick">
        <color auto="1"/>
      </left>
      <right style="thick">
        <color auto="1"/>
      </right>
      <top style="none"/>
      <bottom style="none"/>
      <diagonal style="none"/>
    </border>
    <border>
      <left style="none"/>
      <right style="none"/>
      <top style="none"/>
      <bottom style="thin">
        <color theme="0" tint="-0.34998626667073579"/>
      </bottom>
      <diagonal style="none"/>
    </border>
    <border>
      <left style="thin">
        <color theme="0" tint="-0.34998626667073579"/>
      </left>
      <right style="none"/>
      <top style="none"/>
      <bottom style="none"/>
      <diagonal style="none"/>
    </border>
    <border>
      <left style="thick">
        <color auto="1"/>
      </left>
      <right style="none"/>
      <top style="none"/>
      <bottom style="none"/>
      <diagonal style="none"/>
    </border>
    <border>
      <left style="thin">
        <color auto="1"/>
      </left>
      <right style="thick">
        <color auto="1"/>
      </right>
      <top style="none"/>
      <bottom style="thin">
        <color rgb="FF666666"/>
      </bottom>
      <diagonal style="none"/>
    </border>
    <border>
      <left style="thick">
        <color auto="1"/>
      </left>
      <right style="thick">
        <color auto="1"/>
      </right>
      <top style="none"/>
      <bottom style="thin">
        <color rgb="FF666666"/>
      </bottom>
      <diagonal style="none"/>
    </border>
    <border>
      <left style="thick">
        <color auto="1"/>
      </left>
      <right style="thin">
        <color auto="1"/>
      </right>
      <top style="none"/>
      <bottom style="thin">
        <color rgb="FF666666"/>
      </bottom>
      <diagonal style="none"/>
    </border>
    <border>
      <left style="none"/>
      <right style="thick">
        <color auto="1"/>
      </right>
      <top style="thin">
        <color rgb="FF666666"/>
      </top>
      <bottom style="none"/>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115">
    <xf fontId="0" fillId="0" borderId="0" numFmtId="0" xfId="0" applyAlignment="1">
      <alignment readingOrder="0"/>
    </xf>
    <xf fontId="1" fillId="2" borderId="0" numFmtId="0" xfId="0" applyFont="1" applyFill="1" applyAlignment="1" quotePrefix="1">
      <alignment horizontal="center" readingOrder="0"/>
    </xf>
    <xf fontId="1" fillId="2" borderId="0" numFmtId="0" xfId="0" applyFont="1" applyFill="1" applyAlignment="1">
      <alignment horizontal="center"/>
    </xf>
    <xf fontId="2" fillId="0" borderId="0" numFmtId="0" xfId="0" applyFont="1" applyAlignment="1">
      <alignment readingOrder="0"/>
    </xf>
    <xf fontId="3" fillId="0" borderId="0" numFmtId="0" xfId="0" applyFont="1" applyAlignment="1">
      <alignment readingOrder="0"/>
    </xf>
    <xf fontId="4" fillId="0" borderId="0" numFmtId="0" xfId="0" applyFont="1" applyAlignment="1">
      <alignment readingOrder="0"/>
    </xf>
    <xf fontId="4" fillId="0" borderId="1" numFmtId="0" xfId="0" applyFont="1" applyBorder="1" applyAlignment="1">
      <alignment readingOrder="0"/>
    </xf>
    <xf fontId="1" fillId="0" borderId="0" numFmtId="0" xfId="0" applyFont="1"/>
    <xf fontId="1" fillId="0" borderId="1" numFmtId="0" xfId="0" applyFont="1" applyBorder="1"/>
    <xf fontId="5" fillId="3" borderId="0" numFmtId="0" xfId="0" applyFont="1" applyFill="1" applyAlignment="1">
      <alignment horizontal="center" readingOrder="0"/>
    </xf>
    <xf fontId="5" fillId="3" borderId="2" numFmtId="0" xfId="0" applyFont="1" applyFill="1" applyBorder="1" applyAlignment="1">
      <alignment horizontal="center"/>
    </xf>
    <xf fontId="5" fillId="3" borderId="3" numFmtId="0" xfId="0" applyFont="1" applyFill="1" applyBorder="1" applyAlignment="1">
      <alignment horizontal="center"/>
    </xf>
    <xf fontId="5" fillId="3" borderId="4" numFmtId="0" xfId="0" applyFont="1" applyFill="1" applyBorder="1" applyAlignment="1">
      <alignment horizontal="center"/>
    </xf>
    <xf fontId="5" fillId="3" borderId="5" numFmtId="0" xfId="0" applyFont="1" applyFill="1" applyBorder="1" applyAlignment="1">
      <alignment horizontal="center"/>
    </xf>
    <xf fontId="5" fillId="3" borderId="6" numFmtId="0" xfId="0" applyFont="1" applyFill="1" applyBorder="1" applyAlignment="1">
      <alignment horizontal="center" readingOrder="0"/>
    </xf>
    <xf fontId="5" fillId="3" borderId="7" numFmtId="0" xfId="0" applyFont="1" applyFill="1" applyBorder="1" applyAlignment="1">
      <alignment horizontal="center"/>
    </xf>
    <xf fontId="5" fillId="3" borderId="5" numFmtId="0" xfId="0" applyFont="1" applyFill="1" applyBorder="1" applyAlignment="1">
      <alignment horizontal="center" readingOrder="0"/>
    </xf>
    <xf fontId="5" fillId="3" borderId="1" numFmtId="0" xfId="0" applyFont="1" applyFill="1" applyBorder="1" applyAlignment="1">
      <alignment horizontal="center" readingOrder="0"/>
    </xf>
    <xf fontId="5" fillId="3" borderId="7" numFmtId="0" xfId="0" applyFont="1" applyFill="1" applyBorder="1" applyAlignment="1">
      <alignment horizontal="center" readingOrder="0"/>
    </xf>
    <xf fontId="0" fillId="0" borderId="8" numFmtId="0" xfId="0" applyBorder="1" applyAlignment="1">
      <alignment readingOrder="0"/>
      <protection hidden="0" locked="1"/>
    </xf>
    <xf fontId="0" fillId="4" borderId="9" numFmtId="0" xfId="0" applyFill="1" applyBorder="1" applyAlignment="1">
      <alignment readingOrder="0"/>
    </xf>
    <xf fontId="0" fillId="0" borderId="0" numFmtId="0" xfId="0" applyAlignment="1">
      <alignment readingOrder="0"/>
      <protection hidden="0" locked="1"/>
    </xf>
    <xf fontId="6" fillId="0" borderId="0" numFmtId="0" xfId="0" applyFont="1" applyAlignment="1">
      <alignment readingOrder="0"/>
    </xf>
    <xf fontId="1" fillId="0" borderId="1" numFmtId="0" xfId="0" applyFont="1" applyBorder="1" applyAlignment="1">
      <alignment readingOrder="0"/>
    </xf>
    <xf fontId="1" fillId="0" borderId="10" numFmtId="0" xfId="0" applyFont="1" applyBorder="1" applyAlignment="1">
      <alignment readingOrder="0"/>
    </xf>
    <xf fontId="2" fillId="0" borderId="1" numFmtId="0" xfId="0" applyFont="1" applyBorder="1" applyAlignment="1">
      <alignment readingOrder="0"/>
    </xf>
    <xf fontId="2" fillId="0" borderId="1" numFmtId="0" xfId="0" applyFont="1" applyBorder="1"/>
    <xf fontId="1" fillId="0" borderId="0" numFmtId="0" xfId="0" applyFont="1" applyAlignment="1">
      <alignment readingOrder="0"/>
    </xf>
    <xf fontId="2" fillId="4" borderId="9" numFmtId="0" xfId="0" applyFont="1" applyFill="1" applyBorder="1" applyAlignment="1">
      <alignment readingOrder="0"/>
    </xf>
    <xf fontId="0" fillId="0" borderId="0" numFmtId="0" xfId="0" applyAlignment="1">
      <alignment readingOrder="0"/>
    </xf>
    <xf fontId="7" fillId="0" borderId="0" numFmtId="0" xfId="0" applyFont="1" applyAlignment="1">
      <alignment readingOrder="0"/>
    </xf>
    <xf fontId="8" fillId="0" borderId="0" numFmtId="0" xfId="0" applyFont="1" applyAlignment="1">
      <alignment readingOrder="0"/>
    </xf>
    <xf fontId="2" fillId="0" borderId="0" numFmtId="0" xfId="0" applyFont="1"/>
    <xf fontId="9" fillId="0" borderId="0" numFmtId="0" xfId="0" applyFont="1" applyAlignment="1">
      <alignment readingOrder="0"/>
    </xf>
    <xf fontId="10" fillId="0" borderId="0" numFmtId="0" xfId="0" applyFont="1" applyAlignment="1">
      <alignment readingOrder="0"/>
    </xf>
    <xf fontId="11" fillId="0" borderId="0" numFmtId="0" xfId="0" applyFont="1" applyAlignment="1">
      <alignment horizontal="left"/>
    </xf>
    <xf fontId="11" fillId="0" borderId="0" numFmtId="0" xfId="0" applyFont="1" applyAlignment="1">
      <alignment horizontal="left" readingOrder="0"/>
    </xf>
    <xf fontId="1" fillId="4" borderId="9" numFmtId="0" xfId="0" applyFont="1" applyFill="1" applyBorder="1" applyAlignment="1">
      <alignment readingOrder="0"/>
    </xf>
    <xf fontId="12" fillId="0" borderId="0" numFmtId="0" xfId="0" applyFont="1" applyAlignment="1">
      <alignment readingOrder="0"/>
    </xf>
    <xf fontId="13" fillId="0" borderId="0" numFmtId="0" xfId="0" applyFont="1" applyAlignment="1">
      <alignment readingOrder="0"/>
    </xf>
    <xf fontId="0" fillId="0" borderId="11" numFmtId="0" xfId="0" applyBorder="1" applyAlignment="1">
      <alignment readingOrder="0"/>
      <protection hidden="0" locked="1"/>
    </xf>
    <xf fontId="2" fillId="0" borderId="10" numFmtId="0" xfId="0" applyFont="1" applyBorder="1" applyAlignment="1">
      <alignment readingOrder="0"/>
    </xf>
    <xf fontId="2" fillId="0" borderId="8" numFmtId="0" xfId="0" applyFont="1" applyBorder="1" applyAlignment="1">
      <alignment readingOrder="0"/>
    </xf>
    <xf fontId="2" fillId="5" borderId="9" numFmtId="0" xfId="0" applyFont="1" applyFill="1" applyBorder="1" applyAlignment="1">
      <alignment readingOrder="0"/>
    </xf>
    <xf fontId="14" fillId="0" borderId="0" numFmtId="0" xfId="0" applyFont="1" applyAlignment="1">
      <alignment horizontal="left" readingOrder="0"/>
    </xf>
    <xf fontId="0" fillId="0" borderId="9" numFmtId="0" xfId="0" applyBorder="1" applyAlignment="1">
      <alignment readingOrder="0"/>
      <protection hidden="0" locked="1"/>
    </xf>
    <xf fontId="2" fillId="6" borderId="9" numFmtId="0" xfId="0" applyFont="1" applyFill="1" applyBorder="1" applyAlignment="1">
      <alignment readingOrder="0"/>
    </xf>
    <xf fontId="7" fillId="0" borderId="0" numFmtId="0" xfId="0" applyFont="1"/>
    <xf fontId="0" fillId="6" borderId="9" numFmtId="0" xfId="0" applyFill="1" applyBorder="1" applyAlignment="1">
      <alignment readingOrder="0"/>
    </xf>
    <xf fontId="0" fillId="0" borderId="0" numFmtId="0" xfId="0">
      <protection hidden="0" locked="1"/>
    </xf>
    <xf fontId="1" fillId="7" borderId="0" numFmtId="0" xfId="0" applyFont="1" applyFill="1" applyAlignment="1">
      <alignment horizontal="center" readingOrder="0"/>
    </xf>
    <xf fontId="0" fillId="0" borderId="0" numFmtId="0" xfId="0" applyAlignment="1">
      <alignment horizontal="left" readingOrder="0"/>
    </xf>
    <xf fontId="5" fillId="3" borderId="2" numFmtId="0" xfId="0" applyFont="1" applyFill="1" applyBorder="1" applyAlignment="1">
      <alignment horizontal="center" readingOrder="0"/>
    </xf>
    <xf fontId="5" fillId="3" borderId="3" numFmtId="0" xfId="0" applyFont="1" applyFill="1" applyBorder="1" applyAlignment="1">
      <alignment horizontal="center" readingOrder="0"/>
    </xf>
    <xf fontId="2" fillId="0" borderId="12" numFmtId="0" xfId="0" applyFont="1" applyBorder="1" applyAlignment="1">
      <alignment readingOrder="0"/>
    </xf>
    <xf fontId="2" fillId="0" borderId="10" numFmtId="0" xfId="0" applyFont="1" applyBorder="1"/>
    <xf fontId="2" fillId="0" borderId="13" numFmtId="0" xfId="0" applyFont="1" applyBorder="1" applyAlignment="1">
      <alignment readingOrder="0"/>
    </xf>
    <xf fontId="15" fillId="0" borderId="0" numFmtId="0" xfId="0" applyFont="1" applyAlignment="1">
      <alignment readingOrder="0"/>
    </xf>
    <xf fontId="2" fillId="0" borderId="2" numFmtId="0" xfId="0" applyFont="1" applyBorder="1" applyAlignment="1">
      <alignment readingOrder="0"/>
    </xf>
    <xf fontId="2" fillId="0" borderId="14" numFmtId="0" xfId="0" applyFont="1" applyBorder="1"/>
    <xf fontId="2" fillId="0" borderId="15" numFmtId="0" xfId="0" applyFont="1" applyBorder="1"/>
    <xf fontId="2" fillId="0" borderId="16" numFmtId="0" xfId="0" applyFont="1" applyBorder="1" applyAlignment="1">
      <alignment readingOrder="0"/>
    </xf>
    <xf fontId="0" fillId="0" borderId="16" numFmtId="0" xfId="0" applyBorder="1" applyAlignment="1">
      <alignment readingOrder="0"/>
      <protection hidden="0" locked="1"/>
    </xf>
    <xf fontId="0" fillId="0" borderId="2" numFmtId="0" xfId="0" applyBorder="1" applyAlignment="1">
      <alignment readingOrder="0"/>
      <protection hidden="0" locked="1"/>
    </xf>
    <xf fontId="10" fillId="0" borderId="0" numFmtId="0" xfId="0" applyFont="1"/>
    <xf fontId="2" fillId="0" borderId="17" numFmtId="0" xfId="0" applyFont="1" applyBorder="1"/>
    <xf fontId="16" fillId="0" borderId="0" numFmtId="0" xfId="0" applyFont="1" applyAlignment="1">
      <alignment readingOrder="0"/>
    </xf>
    <xf fontId="1" fillId="8" borderId="0" numFmtId="0" xfId="0" applyFont="1" applyFill="1" applyAlignment="1">
      <alignment horizontal="center"/>
    </xf>
    <xf fontId="1" fillId="8" borderId="18" numFmtId="0" xfId="0" applyFont="1" applyFill="1" applyBorder="1" applyAlignment="1">
      <alignment horizontal="center"/>
    </xf>
    <xf fontId="1" fillId="0" borderId="0" numFmtId="0" xfId="0" applyFont="1" applyAlignment="1">
      <alignment horizontal="right"/>
    </xf>
    <xf fontId="17" fillId="0" borderId="0" numFmtId="0" xfId="0" applyFont="1" applyAlignment="1">
      <alignment horizontal="center" readingOrder="0"/>
    </xf>
    <xf fontId="8" fillId="9" borderId="0" numFmtId="0" xfId="0" applyFont="1" applyFill="1" applyAlignment="1">
      <alignment horizontal="center" readingOrder="0"/>
    </xf>
    <xf fontId="8" fillId="9" borderId="0" numFmtId="0" xfId="0" applyFont="1" applyFill="1" applyAlignment="1">
      <alignment horizontal="center"/>
    </xf>
    <xf fontId="1" fillId="10" borderId="0" numFmtId="0" xfId="0" applyFont="1" applyFill="1" applyAlignment="1">
      <alignment readingOrder="0"/>
    </xf>
    <xf fontId="2" fillId="10" borderId="0" numFmtId="0" xfId="0" applyFont="1" applyFill="1"/>
    <xf fontId="2" fillId="11" borderId="0" numFmtId="0" xfId="0" applyFont="1" applyFill="1" applyAlignment="1">
      <alignment readingOrder="0"/>
    </xf>
    <xf fontId="2" fillId="11" borderId="0" numFmtId="0" xfId="0" applyFont="1" applyFill="1"/>
    <xf fontId="2" fillId="12" borderId="0" numFmtId="0" xfId="0" applyFont="1" applyFill="1" applyAlignment="1">
      <alignment readingOrder="0"/>
    </xf>
    <xf fontId="2" fillId="12" borderId="0" numFmtId="0" xfId="0" applyFont="1" applyFill="1"/>
    <xf fontId="2" fillId="13" borderId="0" numFmtId="0" xfId="0" applyFont="1" applyFill="1" applyAlignment="1">
      <alignment readingOrder="0"/>
    </xf>
    <xf fontId="2" fillId="14" borderId="0" numFmtId="0" xfId="0" applyFont="1" applyFill="1" applyAlignment="1">
      <alignment readingOrder="0"/>
    </xf>
    <xf fontId="2" fillId="15" borderId="0" numFmtId="0" xfId="0" applyFont="1" applyFill="1" applyAlignment="1">
      <alignment readingOrder="0"/>
    </xf>
    <xf fontId="2" fillId="2" borderId="0" numFmtId="0" xfId="0" applyFont="1" applyFill="1" applyAlignment="1">
      <alignment readingOrder="0"/>
    </xf>
    <xf fontId="2" fillId="9" borderId="0" numFmtId="0" xfId="0" applyFont="1" applyFill="1"/>
    <xf fontId="2" fillId="16" borderId="0" numFmtId="0" xfId="0" applyFont="1" applyFill="1"/>
    <xf fontId="2" fillId="15" borderId="0" numFmtId="0" xfId="0" applyFont="1" applyFill="1"/>
    <xf fontId="2" fillId="2" borderId="0" numFmtId="0" xfId="0" applyFont="1" applyFill="1"/>
    <xf fontId="2" fillId="14" borderId="0" numFmtId="0" xfId="0" applyFont="1" applyFill="1"/>
    <xf fontId="2" fillId="17" borderId="0" numFmtId="0" xfId="0" applyFont="1" applyFill="1" applyAlignment="1">
      <alignment readingOrder="0"/>
    </xf>
    <xf fontId="2" fillId="17" borderId="0" numFmtId="0" xfId="0" applyFont="1" applyFill="1"/>
    <xf fontId="2" fillId="7" borderId="0" numFmtId="0" xfId="0" applyFont="1" applyFill="1" applyAlignment="1">
      <alignment readingOrder="0"/>
    </xf>
    <xf fontId="2" fillId="7" borderId="0" numFmtId="0" xfId="0" applyFont="1" applyFill="1"/>
    <xf fontId="2" fillId="18" borderId="0" numFmtId="0" xfId="0" applyFont="1" applyFill="1" applyAlignment="1">
      <alignment readingOrder="0"/>
    </xf>
    <xf fontId="1" fillId="18" borderId="0" numFmtId="0" xfId="0" applyFont="1" applyFill="1"/>
    <xf fontId="2" fillId="18" borderId="0" numFmtId="0" xfId="0" applyFont="1" applyFill="1"/>
    <xf fontId="18" fillId="0" borderId="0" numFmtId="0" xfId="0" applyFont="1" applyAlignment="1">
      <alignment readingOrder="0"/>
    </xf>
    <xf fontId="2" fillId="19" borderId="0" numFmtId="0" xfId="0" applyFont="1" applyFill="1" applyAlignment="1">
      <alignment readingOrder="0"/>
    </xf>
    <xf fontId="1" fillId="19" borderId="0" numFmtId="0" xfId="0" applyFont="1" applyFill="1" applyAlignment="1">
      <alignment horizontal="right"/>
    </xf>
    <xf fontId="2" fillId="19" borderId="0" numFmtId="0" xfId="0" applyFont="1" applyFill="1"/>
    <xf fontId="19" fillId="19" borderId="0" numFmtId="0" xfId="0" applyFont="1" applyFill="1" applyAlignment="1">
      <alignment readingOrder="0"/>
    </xf>
    <xf fontId="20" fillId="0" borderId="0" numFmtId="0" xfId="0" applyFont="1" applyAlignment="1">
      <alignment readingOrder="0"/>
    </xf>
    <xf fontId="21" fillId="9" borderId="0" numFmtId="0" xfId="0" applyFont="1" applyFill="1" applyAlignment="1">
      <alignment horizontal="center" readingOrder="0"/>
    </xf>
    <xf fontId="2" fillId="20" borderId="0" numFmtId="0" xfId="0" applyFont="1" applyFill="1" applyAlignment="1">
      <alignment readingOrder="0"/>
    </xf>
    <xf fontId="2" fillId="6" borderId="0" numFmtId="0" xfId="0" applyFont="1" applyFill="1" applyAlignment="1">
      <alignment readingOrder="0"/>
    </xf>
    <xf fontId="2" fillId="21" borderId="0" numFmtId="0" xfId="0" applyFont="1" applyFill="1" applyAlignment="1">
      <alignment readingOrder="0"/>
    </xf>
    <xf fontId="22" fillId="12" borderId="0" numFmtId="0" xfId="0" applyFont="1" applyFill="1"/>
    <xf fontId="2" fillId="0" borderId="0" numFmtId="0" xfId="0" applyFont="1" applyAlignment="1">
      <alignment readingOrder="0" vertical="center"/>
    </xf>
    <xf fontId="22" fillId="17" borderId="0" numFmtId="0" xfId="0" applyFont="1" applyFill="1"/>
    <xf fontId="22" fillId="18" borderId="0" numFmtId="0" xfId="0" applyFont="1" applyFill="1"/>
    <xf fontId="22" fillId="11" borderId="0" numFmtId="0" xfId="0" applyFont="1" applyFill="1"/>
    <xf fontId="22" fillId="22" borderId="0" numFmtId="0" xfId="0" applyFont="1" applyFill="1"/>
    <xf fontId="23" fillId="3" borderId="0" numFmtId="0" xfId="0" applyFont="1" applyFill="1" applyAlignment="1">
      <alignment readingOrder="0"/>
    </xf>
    <xf fontId="19" fillId="0" borderId="0" numFmtId="0" xfId="0" applyFont="1" applyAlignment="1">
      <alignment readingOrder="0"/>
    </xf>
    <xf fontId="16" fillId="0" borderId="0" numFmtId="0" xfId="0" applyFont="1" applyAlignment="1">
      <alignment horizontal="left" readingOrder="0"/>
    </xf>
    <xf fontId="0" fillId="0" borderId="0" numFmtId="0" xfId="0" applyAlignment="1">
      <alignment readingOrder="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4.xml.rels><?xml version="1.0" encoding="UTF-8" standalone="yes"?><Relationships xmlns="http://schemas.openxmlformats.org/package/2006/relationships"><Relationship  Id="rId1" Type="http://schemas.openxmlformats.org/officeDocument/2006/relationships/hyperlink" Target="https://passthepopcorn.me/forums.php?action=viewthread&amp;threadid=45732&amp;postid=2524811#post2524811" TargetMode="External"/><Relationship  Id="rId2" Type="http://schemas.openxmlformats.org/officeDocument/2006/relationships/hyperlink" Target="https://passthepopcorn.me/forums.php?action=viewthread&amp;threadid=45732&amp;postid=2525963#post2525963"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chathe.net/join/Ywa7p0P7Lo" TargetMode="External"/><Relationship  Id="rId2" Type="http://schemas.openxmlformats.org/officeDocument/2006/relationships/hyperlink" Target="https://chathe.net/join/xMv7GpjQJ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1" showOutlineSymbols="1"/>
    <pageSetUpPr autoPageBreaks="1" fitToPage="0"/>
  </sheetPr>
  <sheetViews>
    <sheetView showRowColHeaders="1" zoomScale="100" workbookViewId="0">
      <pane xSplit="7" ySplit="2" topLeftCell="H3" activePane="bottomRight" state="frozen"/>
      <selection activeCell="H3" activeCellId="0" sqref="H3"/>
    </sheetView>
  </sheetViews>
  <sheetFormatPr defaultColWidth="12.630000000000001" defaultRowHeight="15.75" customHeight="1" outlineLevelCol="1"/>
  <cols>
    <col customWidth="1" hidden="1" min="1" max="2" outlineLevel="1" width="29.5"/>
    <col customWidth="1" hidden="1" min="3" max="3" outlineLevel="1" width="13.380000000000001"/>
    <col collapsed="1" customWidth="1" min="4" max="4" width="13.380000000000001"/>
    <col customWidth="1" min="5" max="5" width="22.629999999999999"/>
    <col customWidth="1" min="6" max="6" width="17.00390625"/>
    <col customWidth="1" min="7" max="7" width="11.00390625"/>
    <col customWidth="1" min="8" max="72" width="17.140625"/>
  </cols>
  <sheetData>
    <row r="1">
      <c r="A1" s="1" t="s">
        <v>0</v>
      </c>
      <c r="B1" s="2"/>
      <c r="C1" s="2"/>
      <c r="D1" s="2" t="s">
        <v>1</v>
      </c>
      <c r="E1" t="str">
        <f>"With " &amp; D107 &amp; " players alive, it takes " &amp; D108 &amp; " to (no) lynch."</f>
        <v xml:space="preserve">With 18 players alive, it takes 10 to (no) lynch.</v>
      </c>
      <c r="F1" s="3"/>
      <c r="H1" s="4" t="s">
        <v>2</v>
      </c>
      <c r="I1" s="5"/>
      <c r="J1" s="6"/>
      <c r="K1" s="6"/>
      <c r="L1" s="7"/>
      <c r="M1" s="7"/>
      <c r="N1" s="8"/>
      <c r="O1" s="8"/>
      <c r="P1" s="7"/>
      <c r="Q1" s="7"/>
      <c r="R1" s="8"/>
      <c r="S1" s="8"/>
      <c r="T1" s="7"/>
      <c r="U1" s="7"/>
      <c r="V1" s="8"/>
      <c r="W1" s="8"/>
      <c r="X1" s="7"/>
      <c r="Y1" s="7"/>
      <c r="Z1" s="8"/>
      <c r="AA1" s="8"/>
      <c r="AB1" s="7"/>
      <c r="AC1" s="7"/>
      <c r="AD1" s="8"/>
      <c r="AE1" s="7"/>
      <c r="AF1" s="7"/>
      <c r="AG1" s="8"/>
      <c r="AH1" s="7"/>
      <c r="AI1" s="7"/>
      <c r="AJ1" s="8"/>
      <c r="AK1" s="7"/>
      <c r="AL1" s="7"/>
      <c r="AM1" s="8"/>
      <c r="AN1" s="7"/>
      <c r="AO1" s="7"/>
      <c r="AP1" s="8"/>
      <c r="AQ1" s="7"/>
      <c r="AR1" s="7"/>
      <c r="AS1" s="8"/>
      <c r="AT1" s="7"/>
      <c r="AU1" s="7"/>
      <c r="AV1" s="8"/>
      <c r="AW1" s="7"/>
      <c r="AX1" s="7"/>
      <c r="AY1" s="8"/>
      <c r="AZ1" s="7"/>
      <c r="BA1" s="7"/>
      <c r="BB1" s="8"/>
      <c r="BC1" s="7"/>
      <c r="BD1" s="7"/>
      <c r="BE1" s="8"/>
      <c r="BF1" s="7"/>
      <c r="BG1" s="7"/>
      <c r="BH1" s="8"/>
      <c r="BI1" s="7"/>
      <c r="BJ1" s="7"/>
      <c r="BK1" s="8"/>
      <c r="BL1" s="7"/>
      <c r="BM1" s="7"/>
      <c r="BN1" s="8"/>
      <c r="BO1" s="7"/>
      <c r="BP1" s="7"/>
      <c r="BQ1" s="8"/>
      <c r="BR1" s="7"/>
      <c r="BS1" s="7"/>
      <c r="BT1" s="8"/>
    </row>
    <row r="2" ht="14.25" customHeight="1">
      <c r="A2" s="9" t="s">
        <v>3</v>
      </c>
      <c r="B2" s="9" t="s">
        <v>4</v>
      </c>
      <c r="C2" s="9" t="s">
        <v>5</v>
      </c>
      <c r="D2" s="10" t="s">
        <v>6</v>
      </c>
      <c r="E2" s="11" t="s">
        <v>7</v>
      </c>
      <c r="F2" s="12" t="s">
        <v>8</v>
      </c>
      <c r="G2" s="12" t="s">
        <v>9</v>
      </c>
      <c r="H2" s="13" t="s">
        <v>10</v>
      </c>
      <c r="I2" s="9" t="s">
        <v>11</v>
      </c>
      <c r="J2" s="14" t="s">
        <v>12</v>
      </c>
      <c r="K2" s="14" t="s">
        <v>13</v>
      </c>
      <c r="L2" s="15" t="s">
        <v>14</v>
      </c>
      <c r="M2" s="16" t="s">
        <v>15</v>
      </c>
      <c r="N2" s="17" t="s">
        <v>16</v>
      </c>
      <c r="O2" s="17" t="s">
        <v>13</v>
      </c>
      <c r="P2" s="18" t="s">
        <v>17</v>
      </c>
      <c r="Q2" s="16" t="s">
        <v>18</v>
      </c>
      <c r="R2" s="17" t="s">
        <v>19</v>
      </c>
      <c r="S2" s="17" t="s">
        <v>20</v>
      </c>
      <c r="T2" s="18" t="s">
        <v>21</v>
      </c>
      <c r="U2" s="16" t="s">
        <v>22</v>
      </c>
      <c r="V2" s="17" t="s">
        <v>23</v>
      </c>
      <c r="W2" s="17" t="s">
        <v>24</v>
      </c>
      <c r="X2" s="18" t="s">
        <v>25</v>
      </c>
      <c r="Y2" s="16" t="s">
        <v>26</v>
      </c>
      <c r="Z2" s="17" t="s">
        <v>27</v>
      </c>
      <c r="AA2" s="17" t="s">
        <v>28</v>
      </c>
      <c r="AB2" s="18" t="s">
        <v>29</v>
      </c>
      <c r="AC2" s="16" t="s">
        <v>30</v>
      </c>
      <c r="AD2" s="17" t="s">
        <v>31</v>
      </c>
      <c r="AE2" s="18" t="s">
        <v>32</v>
      </c>
      <c r="AF2" s="16" t="s">
        <v>33</v>
      </c>
      <c r="AG2" s="17" t="s">
        <v>34</v>
      </c>
      <c r="AH2" s="18" t="s">
        <v>35</v>
      </c>
      <c r="AI2" s="16" t="s">
        <v>36</v>
      </c>
      <c r="AJ2" s="17" t="s">
        <v>37</v>
      </c>
      <c r="AK2" s="18" t="s">
        <v>38</v>
      </c>
      <c r="AL2" s="16" t="s">
        <v>39</v>
      </c>
      <c r="AM2" s="17" t="s">
        <v>40</v>
      </c>
      <c r="AN2" s="18" t="s">
        <v>41</v>
      </c>
      <c r="AO2" s="16" t="s">
        <v>42</v>
      </c>
      <c r="AP2" s="17" t="s">
        <v>43</v>
      </c>
      <c r="AQ2" s="18" t="s">
        <v>44</v>
      </c>
      <c r="AR2" s="16" t="s">
        <v>45</v>
      </c>
      <c r="AS2" s="17" t="s">
        <v>46</v>
      </c>
      <c r="AT2" s="18" t="s">
        <v>47</v>
      </c>
      <c r="AU2" s="16" t="s">
        <v>48</v>
      </c>
      <c r="AV2" s="17" t="s">
        <v>49</v>
      </c>
      <c r="AW2" s="18" t="s">
        <v>50</v>
      </c>
      <c r="AX2" s="16" t="s">
        <v>51</v>
      </c>
      <c r="AY2" s="17" t="s">
        <v>52</v>
      </c>
      <c r="AZ2" s="18" t="s">
        <v>53</v>
      </c>
      <c r="BA2" s="16" t="s">
        <v>54</v>
      </c>
      <c r="BB2" s="17" t="s">
        <v>55</v>
      </c>
      <c r="BC2" s="18" t="s">
        <v>56</v>
      </c>
      <c r="BD2" s="16" t="s">
        <v>57</v>
      </c>
      <c r="BE2" s="17" t="s">
        <v>58</v>
      </c>
      <c r="BF2" s="18" t="s">
        <v>59</v>
      </c>
      <c r="BG2" s="16" t="s">
        <v>60</v>
      </c>
      <c r="BH2" s="17" t="s">
        <v>61</v>
      </c>
      <c r="BI2" s="18" t="s">
        <v>62</v>
      </c>
      <c r="BJ2" s="16" t="s">
        <v>63</v>
      </c>
      <c r="BK2" s="17" t="s">
        <v>64</v>
      </c>
      <c r="BL2" s="18" t="s">
        <v>65</v>
      </c>
      <c r="BM2" s="16" t="s">
        <v>66</v>
      </c>
      <c r="BN2" s="17" t="s">
        <v>67</v>
      </c>
      <c r="BO2" s="18" t="s">
        <v>68</v>
      </c>
      <c r="BP2" s="16" t="s">
        <v>69</v>
      </c>
      <c r="BQ2" s="17" t="s">
        <v>70</v>
      </c>
      <c r="BR2" s="18" t="s">
        <v>71</v>
      </c>
      <c r="BS2" s="16" t="s">
        <v>72</v>
      </c>
      <c r="BT2" s="17" t="s">
        <v>73</v>
      </c>
    </row>
    <row r="3">
      <c r="A3" t="str">
        <f t="array" ref="A3:A53">_xlfn._xlws.SORT(D3:D53,1,TRUE)</f>
        <v>ajc6123</v>
      </c>
      <c r="B3" s="3" t="e">
        <f>CONCATENATE(#REF!," - ",IF(C3="Town","[color=#00ff00]",IF(C3="Mafia","[color=red]",IF(C3="3rd party","[color=#8e7cc3]",IF(C3="Modifier","[color=ff9900]",IF(C3="Yakuza","[color=ffff00]",IF(C3="KGB","[color=cyan]","[color=magenta]")))))),#REF!,"[/color])")</f>
        <v>#REF!</v>
      </c>
      <c r="D3" s="19" t="s">
        <v>74</v>
      </c>
      <c r="E3" s="20" t="s">
        <v>75</v>
      </c>
      <c r="F3" s="21" t="s">
        <v>76</v>
      </c>
      <c r="G3" s="22" t="s">
        <v>77</v>
      </c>
      <c r="H3" s="3" t="s">
        <v>78</v>
      </c>
      <c r="I3" s="3" t="s">
        <v>79</v>
      </c>
      <c r="J3" s="23"/>
      <c r="K3" s="24"/>
      <c r="L3" s="3" t="s">
        <v>80</v>
      </c>
      <c r="M3" s="3" t="s">
        <v>79</v>
      </c>
      <c r="N3" s="25"/>
      <c r="O3" s="26"/>
      <c r="P3" s="3" t="s">
        <v>81</v>
      </c>
      <c r="Q3" s="3" t="s">
        <v>79</v>
      </c>
      <c r="R3" s="26"/>
      <c r="S3" s="26"/>
      <c r="T3" s="3" t="s">
        <v>82</v>
      </c>
      <c r="U3" s="3" t="s">
        <v>79</v>
      </c>
      <c r="V3" s="26"/>
      <c r="W3" s="26"/>
      <c r="X3" s="3" t="s">
        <v>83</v>
      </c>
      <c r="Y3" s="27" t="s">
        <v>84</v>
      </c>
      <c r="Z3" s="26" t="s">
        <v>85</v>
      </c>
      <c r="AA3" s="26"/>
      <c r="AB3" t="s">
        <v>86</v>
      </c>
      <c r="AC3" t="s">
        <v>79</v>
      </c>
      <c r="AD3" s="26"/>
      <c r="AE3" t="s">
        <v>87</v>
      </c>
      <c r="AF3" s="27" t="s">
        <v>79</v>
      </c>
      <c r="AG3" s="26"/>
      <c r="AH3" s="3" t="s">
        <v>82</v>
      </c>
      <c r="AI3" s="3" t="s">
        <v>88</v>
      </c>
      <c r="AJ3" s="25"/>
      <c r="AK3" s="3" t="s">
        <v>89</v>
      </c>
      <c r="AL3" s="3" t="s">
        <v>90</v>
      </c>
      <c r="AM3" s="25"/>
      <c r="AP3" s="26"/>
      <c r="AS3" s="26"/>
      <c r="AV3" s="26"/>
      <c r="AY3" s="26"/>
      <c r="BB3" s="26"/>
      <c r="BE3" s="26"/>
      <c r="BH3" s="26"/>
      <c r="BK3" s="26"/>
      <c r="BN3" s="26"/>
      <c r="BQ3" s="26"/>
      <c r="BT3" s="26"/>
    </row>
    <row r="4">
      <c r="A4" t="str">
        <f/>
        <v>b4lr0g_ch</v>
      </c>
      <c r="B4" s="3"/>
      <c r="C4" s="3"/>
      <c r="D4" t="s">
        <v>91</v>
      </c>
      <c r="E4" s="28" t="s">
        <v>92</v>
      </c>
      <c r="F4" s="29" t="s">
        <v>93</v>
      </c>
      <c r="G4" s="7"/>
      <c r="H4" s="3" t="s">
        <v>94</v>
      </c>
      <c r="I4" s="30" t="s">
        <v>95</v>
      </c>
      <c r="J4" s="23"/>
      <c r="K4" s="23"/>
      <c r="L4" s="27" t="s">
        <v>83</v>
      </c>
      <c r="M4" s="27" t="s">
        <v>84</v>
      </c>
      <c r="N4" s="8" t="s">
        <v>96</v>
      </c>
      <c r="O4" s="26"/>
      <c r="P4" s="3" t="s">
        <v>97</v>
      </c>
      <c r="Q4" s="3" t="s">
        <v>79</v>
      </c>
      <c r="R4" s="26"/>
      <c r="S4" s="26"/>
      <c r="T4" s="3" t="s">
        <v>98</v>
      </c>
      <c r="U4" s="3" t="s">
        <v>79</v>
      </c>
      <c r="V4" s="26"/>
      <c r="W4" s="26"/>
      <c r="X4" s="3" t="s">
        <v>99</v>
      </c>
      <c r="Y4" s="27" t="s">
        <v>79</v>
      </c>
      <c r="Z4" s="26"/>
      <c r="AA4" s="26"/>
      <c r="AB4" s="3" t="s">
        <v>100</v>
      </c>
      <c r="AC4" s="27" t="s">
        <v>79</v>
      </c>
      <c r="AD4" s="26"/>
      <c r="AE4" s="3" t="s">
        <v>80</v>
      </c>
      <c r="AF4" s="27" t="s">
        <v>79</v>
      </c>
      <c r="AG4" s="26"/>
      <c r="AH4" t="s">
        <v>101</v>
      </c>
      <c r="AI4" s="27" t="s">
        <v>79</v>
      </c>
      <c r="AJ4" s="26"/>
      <c r="AK4" t="s">
        <v>102</v>
      </c>
      <c r="AL4" t="s">
        <v>79</v>
      </c>
      <c r="AM4" s="26"/>
      <c r="AN4" s="27"/>
      <c r="AO4" s="27"/>
      <c r="AP4" s="8"/>
      <c r="AQ4" s="27"/>
      <c r="AR4" s="27"/>
      <c r="AS4" s="8"/>
      <c r="AT4" s="27"/>
      <c r="AU4" s="27"/>
      <c r="AV4" s="8"/>
      <c r="AW4" s="27"/>
      <c r="AX4" s="27"/>
      <c r="AY4" s="8"/>
      <c r="AZ4" s="27"/>
      <c r="BA4" s="27"/>
      <c r="BB4" s="8"/>
      <c r="BC4" s="27"/>
      <c r="BD4" s="27"/>
      <c r="BE4" s="8"/>
      <c r="BF4" s="27"/>
      <c r="BG4" s="27"/>
      <c r="BH4" s="8"/>
      <c r="BI4" s="27"/>
      <c r="BJ4" s="27"/>
      <c r="BK4" s="8"/>
      <c r="BL4" s="27"/>
      <c r="BM4" s="27"/>
      <c r="BN4" s="8"/>
      <c r="BO4" s="27"/>
      <c r="BP4" s="27"/>
      <c r="BQ4" s="8"/>
      <c r="BR4" s="27"/>
      <c r="BS4" s="27"/>
      <c r="BT4" s="8"/>
    </row>
    <row r="5">
      <c r="A5" t="str">
        <f/>
        <v xml:space="preserve">Bliepo amcfarla</v>
      </c>
      <c r="B5" s="3"/>
      <c r="C5" s="3"/>
      <c r="D5" t="s">
        <v>87</v>
      </c>
      <c r="E5" s="20" t="s">
        <v>92</v>
      </c>
      <c r="F5" s="7" t="s">
        <v>103</v>
      </c>
      <c r="G5" s="3"/>
      <c r="H5" s="3" t="s">
        <v>104</v>
      </c>
      <c r="I5" s="3" t="s">
        <v>79</v>
      </c>
      <c r="J5" s="25"/>
      <c r="K5" s="25"/>
      <c r="L5" s="3" t="s">
        <v>102</v>
      </c>
      <c r="M5" s="3" t="s">
        <v>79</v>
      </c>
      <c r="N5" s="26"/>
      <c r="O5" s="26"/>
      <c r="P5" s="3" t="s">
        <v>100</v>
      </c>
      <c r="Q5" s="3" t="s">
        <v>79</v>
      </c>
      <c r="R5" s="26"/>
      <c r="S5" s="26"/>
      <c r="T5" t="s">
        <v>105</v>
      </c>
      <c r="U5" t="s">
        <v>79</v>
      </c>
      <c r="V5" s="26"/>
      <c r="W5" s="26"/>
      <c r="X5" t="s">
        <v>97</v>
      </c>
      <c r="Y5" s="3" t="s">
        <v>84</v>
      </c>
      <c r="Z5" s="26" t="s">
        <v>106</v>
      </c>
      <c r="AA5" s="26"/>
      <c r="AB5" s="3" t="s">
        <v>107</v>
      </c>
      <c r="AC5" s="27" t="s">
        <v>79</v>
      </c>
      <c r="AD5" s="26"/>
      <c r="AE5" s="3" t="s">
        <v>100</v>
      </c>
      <c r="AF5" s="27" t="s">
        <v>79</v>
      </c>
      <c r="AG5" s="26" t="s">
        <v>108</v>
      </c>
      <c r="AH5" s="3" t="s">
        <v>109</v>
      </c>
      <c r="AI5" s="27" t="s">
        <v>79</v>
      </c>
      <c r="AJ5" s="26"/>
      <c r="AK5" s="3" t="s">
        <v>102</v>
      </c>
      <c r="AL5" s="3" t="s">
        <v>84</v>
      </c>
      <c r="AM5" s="26"/>
      <c r="AN5" s="3"/>
      <c r="AO5" s="3"/>
      <c r="AP5" s="25"/>
      <c r="AQ5" s="3"/>
      <c r="AR5" s="3"/>
      <c r="AS5" s="25"/>
      <c r="AT5" s="3"/>
      <c r="AU5" s="3"/>
      <c r="AV5" s="25"/>
      <c r="AW5" s="3"/>
      <c r="AX5" s="3"/>
      <c r="AY5" s="25"/>
      <c r="AZ5" s="3"/>
      <c r="BA5" s="3"/>
      <c r="BB5" s="25"/>
      <c r="BC5" s="3"/>
      <c r="BD5" s="3"/>
      <c r="BE5" s="25"/>
      <c r="BF5" s="3"/>
      <c r="BG5" s="3"/>
      <c r="BH5" s="25"/>
      <c r="BI5" s="3"/>
      <c r="BJ5" s="3"/>
      <c r="BK5" s="25"/>
      <c r="BL5" s="3"/>
      <c r="BM5" s="3"/>
      <c r="BN5" s="25"/>
      <c r="BO5" s="3"/>
      <c r="BP5" s="3"/>
      <c r="BQ5" s="25"/>
      <c r="BR5" s="3"/>
      <c r="BS5" s="3"/>
      <c r="BT5" s="25"/>
    </row>
    <row r="6">
      <c r="A6" t="str">
        <f/>
        <v>BlueMarble</v>
      </c>
      <c r="B6" s="3"/>
      <c r="C6" s="3"/>
      <c r="D6" t="s">
        <v>110</v>
      </c>
      <c r="E6" s="28" t="s">
        <v>111</v>
      </c>
      <c r="F6" s="21" t="s">
        <v>112</v>
      </c>
      <c r="H6" s="31" t="s">
        <v>94</v>
      </c>
      <c r="I6" s="30" t="s">
        <v>95</v>
      </c>
      <c r="J6" s="8"/>
      <c r="K6" s="8"/>
      <c r="L6" s="27" t="s">
        <v>86</v>
      </c>
      <c r="M6" s="27" t="s">
        <v>113</v>
      </c>
      <c r="N6" s="23"/>
      <c r="O6" s="23"/>
      <c r="P6" s="27" t="s">
        <v>105</v>
      </c>
      <c r="Q6" s="27" t="s">
        <v>84</v>
      </c>
      <c r="R6" s="23" t="s">
        <v>96</v>
      </c>
      <c r="S6" s="26"/>
      <c r="T6" s="32" t="s">
        <v>114</v>
      </c>
      <c r="U6" s="3" t="s">
        <v>115</v>
      </c>
      <c r="V6" s="26"/>
      <c r="W6" s="26"/>
      <c r="X6" s="3" t="s">
        <v>116</v>
      </c>
      <c r="Y6" s="27" t="s">
        <v>117</v>
      </c>
      <c r="Z6" s="8"/>
      <c r="AA6" s="8"/>
      <c r="AB6" s="27" t="s">
        <v>118</v>
      </c>
      <c r="AC6" s="27" t="s">
        <v>119</v>
      </c>
      <c r="AD6" s="8" t="s">
        <v>120</v>
      </c>
      <c r="AE6" t="s">
        <v>97</v>
      </c>
      <c r="AF6" t="s">
        <v>119</v>
      </c>
      <c r="AG6" s="26"/>
      <c r="AH6" s="3" t="s">
        <v>99</v>
      </c>
      <c r="AI6" s="3" t="s">
        <v>121</v>
      </c>
      <c r="AJ6" s="26"/>
      <c r="AK6" s="3" t="s">
        <v>91</v>
      </c>
      <c r="AL6" s="3" t="s">
        <v>122</v>
      </c>
      <c r="AM6" s="26"/>
      <c r="AP6" s="26"/>
      <c r="AS6" s="26"/>
      <c r="AV6" s="26"/>
      <c r="AY6" s="26"/>
      <c r="BB6" s="26"/>
      <c r="BE6" s="26"/>
      <c r="BH6" s="26"/>
      <c r="BK6" s="26"/>
      <c r="BN6" s="26"/>
      <c r="BQ6" s="26"/>
      <c r="BT6" s="26"/>
    </row>
    <row r="7">
      <c r="A7" t="str">
        <f/>
        <v>cdbossbrad</v>
      </c>
      <c r="B7" s="3"/>
      <c r="C7" s="3"/>
      <c r="D7" t="s">
        <v>86</v>
      </c>
      <c r="E7" s="28" t="s">
        <v>123</v>
      </c>
      <c r="F7" s="21" t="s">
        <v>124</v>
      </c>
      <c r="G7" s="3"/>
      <c r="H7" s="3" t="s">
        <v>107</v>
      </c>
      <c r="I7" s="3" t="s">
        <v>125</v>
      </c>
      <c r="J7" s="23"/>
      <c r="K7" s="25"/>
      <c r="L7" s="3" t="s">
        <v>105</v>
      </c>
      <c r="M7" s="3" t="s">
        <v>125</v>
      </c>
      <c r="N7" s="25" t="s">
        <v>126</v>
      </c>
      <c r="O7" s="26"/>
      <c r="P7" s="3" t="s">
        <v>101</v>
      </c>
      <c r="Q7" s="3" t="s">
        <v>127</v>
      </c>
      <c r="R7" s="25"/>
      <c r="S7" s="26"/>
      <c r="T7" t="s">
        <v>128</v>
      </c>
      <c r="U7" s="32" t="s">
        <v>125</v>
      </c>
      <c r="V7" s="26" t="s">
        <v>129</v>
      </c>
      <c r="W7" s="26"/>
      <c r="X7" s="32" t="s">
        <v>105</v>
      </c>
      <c r="Y7" s="3" t="s">
        <v>130</v>
      </c>
      <c r="Z7" s="26"/>
      <c r="AA7" s="26"/>
      <c r="AB7" s="3" t="s">
        <v>101</v>
      </c>
      <c r="AC7" s="3" t="s">
        <v>125</v>
      </c>
      <c r="AD7" s="26"/>
      <c r="AE7" s="27" t="s">
        <v>98</v>
      </c>
      <c r="AF7" s="27" t="s">
        <v>125</v>
      </c>
      <c r="AG7" s="8" t="s">
        <v>131</v>
      </c>
      <c r="AH7" t="s">
        <v>86</v>
      </c>
      <c r="AI7" t="s">
        <v>132</v>
      </c>
      <c r="AJ7" s="26"/>
      <c r="AK7" t="s">
        <v>133</v>
      </c>
      <c r="AL7" t="s">
        <v>134</v>
      </c>
      <c r="AM7" s="26"/>
      <c r="AN7" s="3"/>
      <c r="AO7" s="3"/>
      <c r="AP7" s="26"/>
      <c r="AQ7" s="3"/>
      <c r="AR7" s="3"/>
      <c r="AS7" s="26"/>
      <c r="AT7" s="3"/>
      <c r="AU7" s="3"/>
      <c r="AV7" s="26"/>
      <c r="AW7" s="3"/>
      <c r="AX7" s="3"/>
      <c r="AY7" s="26"/>
      <c r="AZ7" s="3"/>
      <c r="BA7" s="3"/>
      <c r="BB7" s="26"/>
      <c r="BC7" s="3"/>
      <c r="BD7" s="3"/>
      <c r="BE7" s="26"/>
      <c r="BF7" s="3"/>
      <c r="BG7" s="3"/>
      <c r="BH7" s="26"/>
      <c r="BI7" s="3"/>
      <c r="BJ7" s="3"/>
      <c r="BK7" s="26"/>
      <c r="BL7" s="3"/>
      <c r="BM7" s="3"/>
      <c r="BN7" s="26"/>
      <c r="BO7" s="3"/>
      <c r="BP7" s="3"/>
      <c r="BQ7" s="26"/>
      <c r="BR7" s="3"/>
      <c r="BS7" s="3"/>
      <c r="BT7" s="26"/>
    </row>
    <row r="8">
      <c r="A8" t="str">
        <f/>
        <v>CrkMStanz</v>
      </c>
      <c r="B8" s="3"/>
      <c r="C8" s="3"/>
      <c r="D8" t="s">
        <v>98</v>
      </c>
      <c r="E8" s="20" t="s">
        <v>135</v>
      </c>
      <c r="F8" s="21" t="s">
        <v>136</v>
      </c>
      <c r="G8" s="33" t="s">
        <v>77</v>
      </c>
      <c r="H8" s="3" t="s">
        <v>137</v>
      </c>
      <c r="I8" s="27" t="s">
        <v>84</v>
      </c>
      <c r="J8" s="26" t="s">
        <v>138</v>
      </c>
      <c r="K8" s="26"/>
      <c r="L8" s="3" t="s">
        <v>107</v>
      </c>
      <c r="M8" s="3" t="s">
        <v>139</v>
      </c>
      <c r="N8" s="26"/>
      <c r="O8" s="25"/>
      <c r="P8" s="3" t="s">
        <v>101</v>
      </c>
      <c r="Q8" s="34" t="s">
        <v>140</v>
      </c>
      <c r="R8" s="25" t="s">
        <v>141</v>
      </c>
      <c r="S8" s="23"/>
      <c r="T8" s="27" t="s">
        <v>82</v>
      </c>
      <c r="U8" s="27" t="s">
        <v>84</v>
      </c>
      <c r="V8" s="23" t="s">
        <v>138</v>
      </c>
      <c r="W8" s="23"/>
      <c r="X8" s="27" t="s">
        <v>142</v>
      </c>
      <c r="Y8" s="32" t="s">
        <v>139</v>
      </c>
      <c r="Z8" s="26"/>
      <c r="AA8" s="26"/>
      <c r="AB8" s="32" t="s">
        <v>143</v>
      </c>
      <c r="AC8" s="32" t="s">
        <v>139</v>
      </c>
      <c r="AD8" s="26"/>
      <c r="AE8" s="3" t="s">
        <v>83</v>
      </c>
      <c r="AF8" s="3" t="s">
        <v>139</v>
      </c>
      <c r="AG8" s="26" t="s">
        <v>129</v>
      </c>
      <c r="AH8" s="27" t="s">
        <v>86</v>
      </c>
      <c r="AI8" s="27" t="s">
        <v>139</v>
      </c>
      <c r="AJ8" s="8"/>
      <c r="AK8" s="27" t="s">
        <v>109</v>
      </c>
      <c r="AL8" s="27" t="s">
        <v>139</v>
      </c>
      <c r="AM8" s="8"/>
      <c r="AN8" s="3"/>
      <c r="AO8" s="3"/>
      <c r="AP8" s="26"/>
      <c r="AQ8" s="3"/>
      <c r="AR8" s="3"/>
      <c r="AS8" s="26"/>
      <c r="AT8" s="3"/>
      <c r="AU8" s="3"/>
      <c r="AV8" s="26"/>
      <c r="AW8" s="3"/>
      <c r="AX8" s="3"/>
      <c r="AY8" s="26"/>
      <c r="AZ8" s="3"/>
      <c r="BA8" s="3"/>
      <c r="BB8" s="26"/>
      <c r="BC8" s="3"/>
      <c r="BD8" s="3"/>
      <c r="BE8" s="26"/>
      <c r="BF8" s="3"/>
      <c r="BG8" s="3"/>
      <c r="BH8" s="26"/>
      <c r="BI8" s="3"/>
      <c r="BJ8" s="3"/>
      <c r="BK8" s="26"/>
      <c r="BL8" s="3"/>
      <c r="BM8" s="3"/>
      <c r="BN8" s="26"/>
      <c r="BO8" s="3"/>
      <c r="BP8" s="3"/>
      <c r="BQ8" s="26"/>
      <c r="BR8" s="3"/>
      <c r="BS8" s="3"/>
      <c r="BT8" s="26"/>
    </row>
    <row r="9">
      <c r="A9" t="str">
        <f/>
        <v>darisk</v>
      </c>
      <c r="B9" s="3"/>
      <c r="C9" s="3"/>
      <c r="D9" t="s">
        <v>144</v>
      </c>
      <c r="E9" s="20" t="s">
        <v>145</v>
      </c>
      <c r="F9" s="21" t="s">
        <v>146</v>
      </c>
      <c r="G9" t="s">
        <v>147</v>
      </c>
      <c r="H9" s="27" t="s">
        <v>95</v>
      </c>
      <c r="I9" s="30" t="s">
        <v>95</v>
      </c>
      <c r="J9" s="8"/>
      <c r="K9" s="8"/>
      <c r="L9" s="27" t="s">
        <v>101</v>
      </c>
      <c r="M9" s="27" t="s">
        <v>84</v>
      </c>
      <c r="N9" s="8" t="s">
        <v>96</v>
      </c>
      <c r="O9" s="26"/>
      <c r="P9" s="31" t="s">
        <v>94</v>
      </c>
      <c r="Q9" s="3" t="s">
        <v>95</v>
      </c>
      <c r="R9" s="26"/>
      <c r="S9" s="25"/>
      <c r="T9" s="31" t="s">
        <v>94</v>
      </c>
      <c r="U9" s="3" t="s">
        <v>95</v>
      </c>
      <c r="V9" s="26" t="s">
        <v>141</v>
      </c>
      <c r="W9" s="26"/>
      <c r="X9" s="31" t="s">
        <v>94</v>
      </c>
      <c r="Y9" s="3" t="s">
        <v>95</v>
      </c>
      <c r="Z9" s="23" t="s">
        <v>148</v>
      </c>
      <c r="AA9" s="23"/>
      <c r="AB9" s="27" t="s">
        <v>116</v>
      </c>
      <c r="AC9" s="27" t="s">
        <v>79</v>
      </c>
      <c r="AD9" s="23" t="s">
        <v>149</v>
      </c>
      <c r="AE9" s="35" t="s">
        <v>107</v>
      </c>
      <c r="AF9" s="7" t="s">
        <v>79</v>
      </c>
      <c r="AG9" s="26"/>
      <c r="AH9" s="36" t="s">
        <v>114</v>
      </c>
      <c r="AI9" s="3" t="s">
        <v>84</v>
      </c>
      <c r="AJ9" s="26"/>
      <c r="AK9" s="3" t="s">
        <v>104</v>
      </c>
      <c r="AL9" s="3" t="s">
        <v>79</v>
      </c>
      <c r="AM9" s="26"/>
      <c r="AP9" s="26"/>
      <c r="AS9" s="26"/>
      <c r="AV9" s="26"/>
      <c r="AY9" s="26"/>
      <c r="BB9" s="26"/>
      <c r="BE9" s="26"/>
      <c r="BH9" s="26"/>
      <c r="BK9" s="26"/>
      <c r="BN9" s="26"/>
      <c r="BQ9" s="26"/>
      <c r="BT9" s="26"/>
    </row>
    <row r="10">
      <c r="A10" t="str">
        <f/>
        <v>Dead</v>
      </c>
      <c r="B10" s="3"/>
      <c r="C10" s="3"/>
      <c r="D10" t="s">
        <v>99</v>
      </c>
      <c r="E10" s="37" t="s">
        <v>145</v>
      </c>
      <c r="F10" s="21" t="s">
        <v>150</v>
      </c>
      <c r="G10" t="s">
        <v>151</v>
      </c>
      <c r="H10" s="3" t="s">
        <v>152</v>
      </c>
      <c r="I10" s="30" t="s">
        <v>95</v>
      </c>
      <c r="J10" s="25" t="s">
        <v>153</v>
      </c>
      <c r="K10" s="25"/>
      <c r="L10" t="s">
        <v>95</v>
      </c>
      <c r="M10" s="30" t="s">
        <v>95</v>
      </c>
      <c r="N10" s="26"/>
      <c r="O10" s="26"/>
      <c r="P10" s="3" t="s">
        <v>95</v>
      </c>
      <c r="Q10" s="3" t="s">
        <v>95</v>
      </c>
      <c r="R10" s="26"/>
      <c r="S10" s="23"/>
      <c r="T10" s="27" t="s">
        <v>105</v>
      </c>
      <c r="U10" s="27" t="s">
        <v>84</v>
      </c>
      <c r="V10" s="23" t="s">
        <v>85</v>
      </c>
      <c r="W10" s="23"/>
      <c r="X10" s="27" t="s">
        <v>105</v>
      </c>
      <c r="Y10" s="3" t="s">
        <v>84</v>
      </c>
      <c r="Z10" s="26" t="s">
        <v>138</v>
      </c>
      <c r="AA10" s="26"/>
      <c r="AB10" s="3" t="s">
        <v>101</v>
      </c>
      <c r="AC10" s="3" t="s">
        <v>84</v>
      </c>
      <c r="AD10" s="26" t="s">
        <v>138</v>
      </c>
      <c r="AE10" s="27" t="s">
        <v>143</v>
      </c>
      <c r="AF10" s="27" t="s">
        <v>79</v>
      </c>
      <c r="AG10" s="23"/>
      <c r="AH10" s="32" t="s">
        <v>114</v>
      </c>
      <c r="AI10" s="32" t="s">
        <v>84</v>
      </c>
      <c r="AJ10" s="26"/>
      <c r="AK10" s="32" t="s">
        <v>80</v>
      </c>
      <c r="AL10" s="32" t="s">
        <v>84</v>
      </c>
      <c r="AM10" s="26" t="s">
        <v>154</v>
      </c>
      <c r="AN10" s="27" t="s">
        <v>109</v>
      </c>
      <c r="AO10" s="27"/>
      <c r="AP10" s="8"/>
      <c r="AQ10" s="27"/>
      <c r="AR10" s="27"/>
      <c r="AS10" s="8"/>
      <c r="AT10" s="27"/>
      <c r="AU10" s="27"/>
      <c r="AV10" s="8"/>
      <c r="AW10" s="27"/>
      <c r="AX10" s="27"/>
      <c r="AY10" s="8"/>
      <c r="AZ10" s="27"/>
      <c r="BA10" s="27"/>
      <c r="BB10" s="8"/>
      <c r="BC10" s="27"/>
      <c r="BD10" s="27"/>
      <c r="BE10" s="8"/>
      <c r="BF10" s="27"/>
      <c r="BG10" s="27"/>
      <c r="BH10" s="8"/>
      <c r="BI10" s="27"/>
      <c r="BJ10" s="27"/>
      <c r="BK10" s="8"/>
      <c r="BL10" s="27"/>
      <c r="BM10" s="27"/>
      <c r="BN10" s="8"/>
      <c r="BO10" s="27"/>
      <c r="BP10" s="27"/>
      <c r="BQ10" s="8"/>
      <c r="BR10" s="27"/>
      <c r="BS10" s="27"/>
      <c r="BT10" s="8"/>
    </row>
    <row r="11">
      <c r="A11" t="str">
        <f/>
        <v>dyno10</v>
      </c>
      <c r="B11" s="3"/>
      <c r="C11" s="3"/>
      <c r="D11" t="s">
        <v>101</v>
      </c>
      <c r="E11" s="20" t="s">
        <v>155</v>
      </c>
      <c r="F11" s="21" t="s">
        <v>156</v>
      </c>
      <c r="G11" s="38" t="s">
        <v>77</v>
      </c>
      <c r="H11" s="3" t="s">
        <v>98</v>
      </c>
      <c r="I11" s="3" t="s">
        <v>157</v>
      </c>
      <c r="J11" s="25"/>
      <c r="K11" s="25"/>
      <c r="L11" s="3" t="s">
        <v>158</v>
      </c>
      <c r="M11" s="3" t="s">
        <v>159</v>
      </c>
      <c r="N11" s="26" t="s">
        <v>141</v>
      </c>
      <c r="O11" s="8"/>
      <c r="P11" s="27" t="s">
        <v>116</v>
      </c>
      <c r="Q11" s="27" t="s">
        <v>160</v>
      </c>
      <c r="R11" s="23" t="s">
        <v>96</v>
      </c>
      <c r="S11" s="25"/>
      <c r="T11" s="3" t="s">
        <v>116</v>
      </c>
      <c r="U11" t="s">
        <v>161</v>
      </c>
      <c r="V11" s="25"/>
      <c r="W11" s="25"/>
      <c r="X11" s="3" t="s">
        <v>118</v>
      </c>
      <c r="Y11" s="27" t="s">
        <v>157</v>
      </c>
      <c r="Z11" s="23"/>
      <c r="AA11" s="23"/>
      <c r="AB11" s="27" t="s">
        <v>99</v>
      </c>
      <c r="AC11" s="27" t="s">
        <v>157</v>
      </c>
      <c r="AD11" s="23"/>
      <c r="AE11" s="3" t="s">
        <v>102</v>
      </c>
      <c r="AF11" s="3" t="s">
        <v>162</v>
      </c>
      <c r="AG11" s="26"/>
      <c r="AH11" s="27" t="s">
        <v>163</v>
      </c>
      <c r="AI11" s="27" t="s">
        <v>164</v>
      </c>
      <c r="AJ11" s="23" t="s">
        <v>138</v>
      </c>
      <c r="AK11" s="27" t="s">
        <v>80</v>
      </c>
      <c r="AL11" s="27" t="s">
        <v>162</v>
      </c>
      <c r="AM11" s="23"/>
      <c r="AN11" s="3"/>
      <c r="AO11" s="3"/>
      <c r="AP11" s="26"/>
      <c r="AQ11" s="3"/>
      <c r="AR11" s="3"/>
      <c r="AS11" s="26"/>
      <c r="AT11" s="3"/>
      <c r="AU11" s="3"/>
      <c r="AV11" s="26"/>
      <c r="AW11" s="3"/>
      <c r="AX11" s="3"/>
      <c r="AY11" s="26"/>
      <c r="AZ11" s="3"/>
      <c r="BA11" s="3"/>
      <c r="BB11" s="26"/>
      <c r="BC11" s="3"/>
      <c r="BD11" s="3"/>
      <c r="BE11" s="26"/>
      <c r="BF11" s="3"/>
      <c r="BG11" s="3"/>
      <c r="BH11" s="26"/>
      <c r="BI11" s="3"/>
      <c r="BJ11" s="3"/>
      <c r="BK11" s="26"/>
      <c r="BL11" s="3"/>
      <c r="BM11" s="3"/>
      <c r="BN11" s="26"/>
      <c r="BO11" s="3"/>
      <c r="BP11" s="3"/>
      <c r="BQ11" s="26"/>
      <c r="BR11" s="3"/>
      <c r="BS11" s="3"/>
      <c r="BT11" s="26"/>
    </row>
    <row r="12" ht="14.25" customHeight="1">
      <c r="A12" t="str">
        <f/>
        <v>eastlondondon</v>
      </c>
      <c r="B12" s="3"/>
      <c r="C12" s="3"/>
      <c r="D12" t="s">
        <v>142</v>
      </c>
      <c r="E12" s="20" t="s">
        <v>165</v>
      </c>
      <c r="F12" t="s">
        <v>166</v>
      </c>
      <c r="G12" s="39"/>
      <c r="H12" s="3" t="s">
        <v>95</v>
      </c>
      <c r="I12" s="30" t="s">
        <v>95</v>
      </c>
      <c r="J12" s="25"/>
      <c r="K12" s="25"/>
      <c r="L12" s="3" t="s">
        <v>114</v>
      </c>
      <c r="M12" s="3" t="s">
        <v>79</v>
      </c>
      <c r="N12" s="26"/>
      <c r="O12" s="26"/>
      <c r="P12" s="3" t="s">
        <v>89</v>
      </c>
      <c r="Q12" s="3" t="s">
        <v>79</v>
      </c>
      <c r="R12" s="26"/>
      <c r="S12" s="26"/>
      <c r="T12" s="3" t="s">
        <v>95</v>
      </c>
      <c r="U12" s="27" t="s">
        <v>95</v>
      </c>
      <c r="V12" s="26"/>
      <c r="W12" s="26"/>
      <c r="X12" s="27" t="s">
        <v>104</v>
      </c>
      <c r="Y12" s="27" t="s">
        <v>79</v>
      </c>
      <c r="Z12" s="26"/>
      <c r="AA12" s="26"/>
      <c r="AB12" s="3" t="s">
        <v>167</v>
      </c>
      <c r="AC12" s="3" t="s">
        <v>79</v>
      </c>
      <c r="AD12" s="26"/>
      <c r="AE12" s="3" t="s">
        <v>133</v>
      </c>
      <c r="AF12" s="27" t="s">
        <v>79</v>
      </c>
      <c r="AG12" s="25" t="s">
        <v>149</v>
      </c>
      <c r="AH12" s="3" t="s">
        <v>167</v>
      </c>
      <c r="AI12" s="3" t="s">
        <v>79</v>
      </c>
      <c r="AJ12" s="26"/>
      <c r="AK12" s="3" t="s">
        <v>98</v>
      </c>
      <c r="AL12" s="3" t="s">
        <v>79</v>
      </c>
      <c r="AM12" s="26"/>
      <c r="AN12" s="32"/>
      <c r="AO12" s="32"/>
      <c r="AP12" s="26"/>
      <c r="AQ12" s="32"/>
      <c r="AR12" s="32"/>
      <c r="AS12" s="26"/>
      <c r="AT12" s="32"/>
      <c r="AU12" s="32"/>
      <c r="AV12" s="26"/>
      <c r="AW12" s="32"/>
      <c r="AX12" s="32"/>
      <c r="AY12" s="26"/>
      <c r="AZ12" s="32"/>
      <c r="BA12" s="32"/>
      <c r="BB12" s="26"/>
      <c r="BC12" s="32"/>
      <c r="BD12" s="32"/>
      <c r="BE12" s="26"/>
      <c r="BF12" s="32"/>
      <c r="BG12" s="32"/>
      <c r="BH12" s="26"/>
      <c r="BI12" s="32"/>
      <c r="BJ12" s="32"/>
      <c r="BK12" s="26"/>
      <c r="BL12" s="32"/>
      <c r="BM12" s="32"/>
      <c r="BN12" s="26"/>
      <c r="BO12" s="32"/>
      <c r="BP12" s="32"/>
      <c r="BQ12" s="26"/>
      <c r="BR12" s="32"/>
      <c r="BS12" s="32"/>
      <c r="BT12" s="26"/>
    </row>
    <row r="13">
      <c r="A13" t="str">
        <f/>
        <v>Flatline</v>
      </c>
      <c r="B13" s="3"/>
      <c r="C13" s="3"/>
      <c r="D13" t="s">
        <v>102</v>
      </c>
      <c r="E13" s="20" t="s">
        <v>168</v>
      </c>
      <c r="F13" t="s">
        <v>169</v>
      </c>
      <c r="G13" s="7"/>
      <c r="H13" s="27" t="s">
        <v>95</v>
      </c>
      <c r="I13" s="30" t="s">
        <v>95</v>
      </c>
      <c r="J13" s="8"/>
      <c r="K13" s="8"/>
      <c r="L13" s="27" t="s">
        <v>95</v>
      </c>
      <c r="M13" s="30" t="s">
        <v>95</v>
      </c>
      <c r="N13" s="8" t="s">
        <v>138</v>
      </c>
      <c r="O13" s="23"/>
      <c r="P13" s="27" t="s">
        <v>95</v>
      </c>
      <c r="Q13" s="27" t="s">
        <v>95</v>
      </c>
      <c r="R13" s="23"/>
      <c r="S13" s="23"/>
      <c r="T13" s="27" t="s">
        <v>95</v>
      </c>
      <c r="U13" s="27" t="s">
        <v>95</v>
      </c>
      <c r="V13" s="23" t="s">
        <v>96</v>
      </c>
      <c r="W13" s="23"/>
      <c r="X13" s="27" t="s">
        <v>95</v>
      </c>
      <c r="Y13" s="27" t="s">
        <v>95</v>
      </c>
      <c r="Z13" s="26"/>
      <c r="AA13" s="26"/>
      <c r="AB13" s="3" t="s">
        <v>95</v>
      </c>
      <c r="AC13" s="3" t="s">
        <v>95</v>
      </c>
      <c r="AD13" s="26"/>
      <c r="AE13" s="3" t="s">
        <v>95</v>
      </c>
      <c r="AF13" s="3" t="s">
        <v>95</v>
      </c>
      <c r="AG13" s="26" t="s">
        <v>170</v>
      </c>
      <c r="AH13" s="27" t="s">
        <v>95</v>
      </c>
      <c r="AI13" s="3" t="s">
        <v>95</v>
      </c>
      <c r="AJ13" s="23"/>
      <c r="AK13" s="27" t="s">
        <v>95</v>
      </c>
      <c r="AL13" s="3" t="s">
        <v>95</v>
      </c>
      <c r="AM13" s="23" t="s">
        <v>138</v>
      </c>
      <c r="AN13" s="27"/>
      <c r="AO13" s="27"/>
      <c r="AP13" s="23"/>
      <c r="AQ13" s="27"/>
      <c r="AR13" s="27"/>
      <c r="AS13" s="23"/>
      <c r="AT13" s="27"/>
      <c r="AU13" s="27"/>
      <c r="AV13" s="23"/>
      <c r="AW13" s="27"/>
      <c r="AX13" s="27"/>
      <c r="AY13" s="23"/>
      <c r="AZ13" s="27"/>
      <c r="BA13" s="27"/>
      <c r="BB13" s="23"/>
      <c r="BC13" s="27"/>
      <c r="BD13" s="27"/>
      <c r="BE13" s="23"/>
      <c r="BF13" s="27"/>
      <c r="BG13" s="27"/>
      <c r="BH13" s="23"/>
      <c r="BI13" s="27"/>
      <c r="BJ13" s="27"/>
      <c r="BK13" s="23"/>
      <c r="BL13" s="27"/>
      <c r="BM13" s="27"/>
      <c r="BN13" s="23"/>
      <c r="BO13" s="27"/>
      <c r="BP13" s="27"/>
      <c r="BQ13" s="23"/>
      <c r="BR13" s="27"/>
      <c r="BS13" s="27"/>
      <c r="BT13" s="23"/>
    </row>
    <row r="14">
      <c r="A14" s="3" t="str">
        <f/>
        <v>getrav</v>
      </c>
      <c r="B14" s="3"/>
      <c r="C14" s="3"/>
      <c r="D14" s="21"/>
      <c r="E14" s="40"/>
      <c r="F14" s="21"/>
      <c r="G14" s="27"/>
      <c r="H14" s="3"/>
      <c r="I14" s="3"/>
      <c r="J14" s="25"/>
      <c r="K14" s="41"/>
      <c r="L14" s="3"/>
      <c r="M14" s="3"/>
      <c r="N14" s="25"/>
      <c r="O14" s="24"/>
      <c r="P14" s="27"/>
      <c r="Q14" s="27"/>
      <c r="R14" s="23"/>
      <c r="S14" s="41"/>
      <c r="T14" s="21"/>
      <c r="U14" s="3"/>
      <c r="V14" s="25"/>
      <c r="W14" s="41"/>
      <c r="X14" s="21"/>
      <c r="Y14" s="27"/>
      <c r="Z14" s="23"/>
      <c r="AA14" s="24"/>
      <c r="AB14" s="27"/>
      <c r="AC14" s="27"/>
      <c r="AD14" s="23"/>
      <c r="AE14" s="3"/>
      <c r="AF14" s="3"/>
      <c r="AG14" s="25"/>
      <c r="AH14" s="3"/>
      <c r="AI14" s="3"/>
      <c r="AJ14" s="25"/>
      <c r="AK14" s="3"/>
      <c r="AL14" s="3"/>
      <c r="AM14" s="25"/>
      <c r="AN14" s="3"/>
      <c r="AO14" s="3"/>
      <c r="AP14" s="26"/>
      <c r="AQ14" s="3"/>
      <c r="AR14" s="3"/>
      <c r="AS14" s="26"/>
      <c r="AT14" s="3"/>
      <c r="AU14" s="3"/>
      <c r="AV14" s="26"/>
      <c r="AW14" s="3"/>
      <c r="AX14" s="3"/>
      <c r="AY14" s="26"/>
      <c r="AZ14" s="3"/>
      <c r="BA14" s="3"/>
      <c r="BB14" s="26"/>
      <c r="BC14" s="3"/>
      <c r="BD14" s="3"/>
      <c r="BE14" s="26"/>
      <c r="BF14" s="3"/>
      <c r="BG14" s="3"/>
      <c r="BH14" s="26"/>
      <c r="BI14" s="3"/>
      <c r="BJ14" s="3"/>
      <c r="BK14" s="26"/>
      <c r="BL14" s="3"/>
      <c r="BM14" s="3"/>
      <c r="BN14" s="26"/>
      <c r="BO14" s="3"/>
      <c r="BP14" s="3"/>
      <c r="BQ14" s="26"/>
      <c r="BR14" s="3"/>
      <c r="BS14" s="3"/>
      <c r="BT14" s="26"/>
    </row>
    <row r="15">
      <c r="A15" s="3" t="str">
        <f/>
        <v>HookTL</v>
      </c>
      <c r="B15" s="3"/>
      <c r="C15" s="3"/>
      <c r="D15" s="21"/>
      <c r="E15" s="40"/>
      <c r="F15" s="21"/>
      <c r="G15" s="27"/>
      <c r="H15" s="3"/>
      <c r="I15" s="3"/>
      <c r="J15" s="25"/>
      <c r="K15" s="41"/>
      <c r="L15" s="3"/>
      <c r="M15" s="3"/>
      <c r="N15" s="25"/>
      <c r="O15" s="24"/>
      <c r="P15" s="27"/>
      <c r="Q15" s="27"/>
      <c r="R15" s="23"/>
      <c r="S15" s="41"/>
      <c r="T15" s="21"/>
      <c r="U15" s="3"/>
      <c r="V15" s="25"/>
      <c r="W15" s="41"/>
      <c r="X15" s="21"/>
      <c r="Y15" s="27"/>
      <c r="Z15" s="23"/>
      <c r="AA15" s="24"/>
      <c r="AB15" s="27"/>
      <c r="AC15" s="27"/>
      <c r="AD15" s="23"/>
      <c r="AE15" s="3"/>
      <c r="AF15" s="3"/>
      <c r="AG15" s="25"/>
      <c r="AH15" s="3"/>
      <c r="AI15" s="3"/>
      <c r="AJ15" s="25"/>
      <c r="AK15" s="3"/>
      <c r="AL15" s="3"/>
      <c r="AM15" s="25"/>
      <c r="AN15" s="27"/>
      <c r="AO15" s="27"/>
      <c r="AP15" s="23"/>
      <c r="AQ15" s="27"/>
      <c r="AR15" s="27"/>
      <c r="AS15" s="23"/>
      <c r="AT15" s="27"/>
      <c r="AU15" s="27"/>
      <c r="AV15" s="23"/>
      <c r="AW15" s="27"/>
      <c r="AX15" s="27"/>
      <c r="AY15" s="23"/>
      <c r="AZ15" s="27"/>
      <c r="BA15" s="27"/>
      <c r="BB15" s="23"/>
      <c r="BC15" s="27"/>
      <c r="BD15" s="27"/>
      <c r="BE15" s="23"/>
      <c r="BF15" s="27"/>
      <c r="BG15" s="27"/>
      <c r="BH15" s="23"/>
      <c r="BI15" s="27"/>
      <c r="BJ15" s="27"/>
      <c r="BK15" s="23"/>
      <c r="BL15" s="27"/>
      <c r="BM15" s="27"/>
      <c r="BN15" s="23"/>
      <c r="BO15" s="27"/>
      <c r="BP15" s="27"/>
      <c r="BQ15" s="23"/>
      <c r="BR15" s="27"/>
      <c r="BS15" s="27"/>
      <c r="BT15" s="23"/>
    </row>
    <row r="16">
      <c r="A16" s="3" t="str">
        <f/>
        <v xml:space="preserve">hotshotxwl MasterOfTheMovies ChikaNoChika</v>
      </c>
      <c r="B16" s="3"/>
      <c r="C16" s="3"/>
      <c r="D16" s="42" t="s">
        <v>171</v>
      </c>
      <c r="E16" s="43" t="s">
        <v>172</v>
      </c>
      <c r="F16" s="3" t="s">
        <v>173</v>
      </c>
      <c r="G16" s="21"/>
      <c r="H16" s="31" t="s">
        <v>94</v>
      </c>
      <c r="I16" s="30" t="s">
        <v>95</v>
      </c>
      <c r="J16" s="25"/>
      <c r="K16" s="41"/>
      <c r="L16" s="36" t="s">
        <v>104</v>
      </c>
      <c r="M16" s="3" t="s">
        <v>79</v>
      </c>
      <c r="N16" s="25"/>
      <c r="O16" s="41"/>
      <c r="P16" s="36" t="s">
        <v>101</v>
      </c>
      <c r="Q16" s="3" t="s">
        <v>79</v>
      </c>
      <c r="R16" s="25"/>
      <c r="S16" s="23"/>
      <c r="T16" s="36" t="s">
        <v>78</v>
      </c>
      <c r="U16" s="27" t="s">
        <v>79</v>
      </c>
      <c r="V16" s="23"/>
      <c r="W16" s="23"/>
      <c r="X16" s="36" t="s">
        <v>89</v>
      </c>
      <c r="Y16" s="27" t="s">
        <v>79</v>
      </c>
      <c r="Z16" s="26" t="s">
        <v>96</v>
      </c>
      <c r="AA16" s="26"/>
      <c r="AB16" s="3" t="s">
        <v>81</v>
      </c>
      <c r="AC16" s="27" t="s">
        <v>79</v>
      </c>
      <c r="AD16" s="26" t="s">
        <v>96</v>
      </c>
      <c r="AE16" s="36" t="s">
        <v>89</v>
      </c>
      <c r="AF16" s="27" t="s">
        <v>79</v>
      </c>
      <c r="AG16" s="26" t="s">
        <v>96</v>
      </c>
      <c r="AH16" s="36" t="s">
        <v>81</v>
      </c>
      <c r="AI16" s="27" t="s">
        <v>79</v>
      </c>
      <c r="AJ16" s="26" t="s">
        <v>96</v>
      </c>
      <c r="AK16" s="44" t="s">
        <v>89</v>
      </c>
      <c r="AL16" s="27" t="s">
        <v>79</v>
      </c>
      <c r="AM16" s="26" t="s">
        <v>96</v>
      </c>
      <c r="AN16" s="3"/>
      <c r="AO16" s="3"/>
      <c r="AP16" s="25"/>
      <c r="AQ16" s="3"/>
      <c r="AR16" s="3"/>
      <c r="AS16" s="25"/>
      <c r="AT16" s="3"/>
      <c r="AU16" s="3"/>
      <c r="AV16" s="25"/>
      <c r="AW16" s="3"/>
      <c r="AX16" s="3"/>
      <c r="AY16" s="25"/>
      <c r="AZ16" s="3"/>
      <c r="BA16" s="3"/>
      <c r="BB16" s="25"/>
      <c r="BC16" s="3"/>
      <c r="BD16" s="3"/>
      <c r="BE16" s="25"/>
      <c r="BF16" s="3"/>
      <c r="BG16" s="3"/>
      <c r="BH16" s="25"/>
      <c r="BI16" s="3"/>
      <c r="BJ16" s="3"/>
      <c r="BK16" s="25"/>
      <c r="BL16" s="3"/>
      <c r="BM16" s="3"/>
      <c r="BN16" s="25"/>
      <c r="BO16" s="3"/>
      <c r="BP16" s="3"/>
      <c r="BQ16" s="25"/>
      <c r="BR16" s="3"/>
      <c r="BS16" s="3"/>
      <c r="BT16" s="25"/>
    </row>
    <row r="17">
      <c r="A17" s="3" t="str">
        <f/>
        <v>James868</v>
      </c>
      <c r="B17" s="3"/>
      <c r="C17" s="3"/>
      <c r="D17" s="42" t="s">
        <v>89</v>
      </c>
      <c r="E17" s="43" t="s">
        <v>172</v>
      </c>
      <c r="F17" s="21" t="s">
        <v>174</v>
      </c>
      <c r="G17" s="3"/>
      <c r="H17" s="36" t="s">
        <v>175</v>
      </c>
      <c r="I17" s="3" t="s">
        <v>79</v>
      </c>
      <c r="J17" s="25"/>
      <c r="K17" s="41"/>
      <c r="L17" s="36" t="s">
        <v>176</v>
      </c>
      <c r="M17" s="3" t="s">
        <v>79</v>
      </c>
      <c r="N17" s="25"/>
      <c r="O17" s="8"/>
      <c r="P17" s="36" t="s">
        <v>133</v>
      </c>
      <c r="Q17" s="3" t="s">
        <v>79</v>
      </c>
      <c r="R17" s="8"/>
      <c r="S17" s="26"/>
      <c r="T17" s="36" t="s">
        <v>177</v>
      </c>
      <c r="U17" s="27" t="s">
        <v>79</v>
      </c>
      <c r="V17" s="26"/>
      <c r="W17" s="26"/>
      <c r="X17" s="36" t="s">
        <v>81</v>
      </c>
      <c r="Y17" s="27" t="s">
        <v>79</v>
      </c>
      <c r="Z17" s="25" t="s">
        <v>96</v>
      </c>
      <c r="AA17" s="23"/>
      <c r="AB17" s="36" t="s">
        <v>82</v>
      </c>
      <c r="AC17" s="27" t="s">
        <v>79</v>
      </c>
      <c r="AD17" s="25" t="s">
        <v>96</v>
      </c>
      <c r="AE17" s="27" t="s">
        <v>81</v>
      </c>
      <c r="AF17" s="27" t="s">
        <v>79</v>
      </c>
      <c r="AG17" s="25" t="s">
        <v>96</v>
      </c>
      <c r="AH17" s="36" t="s">
        <v>82</v>
      </c>
      <c r="AI17" s="27" t="s">
        <v>79</v>
      </c>
      <c r="AJ17" s="26" t="s">
        <v>96</v>
      </c>
      <c r="AK17" s="3" t="s">
        <v>81</v>
      </c>
      <c r="AL17" s="27" t="s">
        <v>79</v>
      </c>
      <c r="AM17" s="26" t="s">
        <v>96</v>
      </c>
      <c r="AN17" s="3"/>
      <c r="AO17" s="3"/>
      <c r="AP17" s="26"/>
      <c r="AQ17" s="3"/>
      <c r="AR17" s="3"/>
      <c r="AS17" s="26"/>
      <c r="AT17" s="3"/>
      <c r="AU17" s="3"/>
      <c r="AV17" s="26"/>
      <c r="AW17" s="3"/>
      <c r="AX17" s="3"/>
      <c r="AY17" s="26"/>
      <c r="AZ17" s="3"/>
      <c r="BA17" s="3"/>
      <c r="BB17" s="26"/>
      <c r="BC17" s="3"/>
      <c r="BD17" s="3"/>
      <c r="BE17" s="26"/>
      <c r="BF17" s="3"/>
      <c r="BG17" s="3"/>
      <c r="BH17" s="26"/>
      <c r="BI17" s="3"/>
      <c r="BJ17" s="3"/>
      <c r="BK17" s="26"/>
      <c r="BL17" s="3"/>
      <c r="BM17" s="3"/>
      <c r="BN17" s="26"/>
      <c r="BO17" s="3"/>
      <c r="BP17" s="3"/>
      <c r="BQ17" s="26"/>
      <c r="BR17" s="3"/>
      <c r="BS17" s="3"/>
      <c r="BT17" s="26"/>
    </row>
    <row r="18">
      <c r="A18" s="3" t="str">
        <f/>
        <v>jetstream</v>
      </c>
      <c r="B18" s="3"/>
      <c r="C18" s="3"/>
      <c r="D18" s="42" t="s">
        <v>81</v>
      </c>
      <c r="E18" s="43" t="s">
        <v>172</v>
      </c>
      <c r="F18" s="21" t="s">
        <v>178</v>
      </c>
      <c r="G18" s="27"/>
      <c r="H18" s="36" t="s">
        <v>179</v>
      </c>
      <c r="I18" s="3" t="s">
        <v>79</v>
      </c>
      <c r="J18" s="23"/>
      <c r="K18" s="24"/>
      <c r="L18" s="36" t="s">
        <v>91</v>
      </c>
      <c r="M18" s="3" t="s">
        <v>79</v>
      </c>
      <c r="N18" s="23"/>
      <c r="O18" s="26"/>
      <c r="P18" s="36" t="s">
        <v>104</v>
      </c>
      <c r="Q18" s="3" t="s">
        <v>79</v>
      </c>
      <c r="R18" s="26"/>
      <c r="S18" s="8"/>
      <c r="T18" s="36" t="s">
        <v>180</v>
      </c>
      <c r="U18" s="27" t="s">
        <v>79</v>
      </c>
      <c r="V18" s="8"/>
      <c r="W18" s="8"/>
      <c r="X18" s="27" t="s">
        <v>82</v>
      </c>
      <c r="Y18" s="27" t="s">
        <v>79</v>
      </c>
      <c r="Z18" s="26" t="s">
        <v>96</v>
      </c>
      <c r="AA18" s="26"/>
      <c r="AB18" s="36" t="s">
        <v>89</v>
      </c>
      <c r="AC18" s="27" t="s">
        <v>79</v>
      </c>
      <c r="AD18" s="26" t="s">
        <v>96</v>
      </c>
      <c r="AE18" s="36" t="s">
        <v>82</v>
      </c>
      <c r="AF18" s="27" t="s">
        <v>79</v>
      </c>
      <c r="AG18" s="26" t="s">
        <v>96</v>
      </c>
      <c r="AH18" s="36" t="s">
        <v>89</v>
      </c>
      <c r="AI18" s="27" t="s">
        <v>79</v>
      </c>
      <c r="AJ18" s="26" t="s">
        <v>96</v>
      </c>
      <c r="AK18" s="44" t="s">
        <v>82</v>
      </c>
      <c r="AL18" s="27" t="s">
        <v>79</v>
      </c>
      <c r="AM18" s="26" t="s">
        <v>96</v>
      </c>
      <c r="AN18" s="3"/>
      <c r="AO18" s="3"/>
      <c r="AP18" s="26"/>
      <c r="AQ18" s="3"/>
      <c r="AR18" s="3"/>
      <c r="AS18" s="26"/>
      <c r="AT18" s="3"/>
      <c r="AU18" s="3"/>
      <c r="AV18" s="26"/>
      <c r="AW18" s="3"/>
      <c r="AX18" s="3"/>
      <c r="AY18" s="26"/>
      <c r="AZ18" s="3"/>
      <c r="BA18" s="3"/>
      <c r="BB18" s="26"/>
      <c r="BC18" s="3"/>
      <c r="BD18" s="3"/>
      <c r="BE18" s="26"/>
      <c r="BF18" s="3"/>
      <c r="BG18" s="3"/>
      <c r="BH18" s="26"/>
      <c r="BI18" s="3"/>
      <c r="BJ18" s="3"/>
      <c r="BK18" s="26"/>
      <c r="BL18" s="3"/>
      <c r="BM18" s="3"/>
      <c r="BN18" s="26"/>
      <c r="BO18" s="3"/>
      <c r="BP18" s="3"/>
      <c r="BQ18" s="26"/>
      <c r="BR18" s="3"/>
      <c r="BS18" s="3"/>
      <c r="BT18" s="26"/>
    </row>
    <row r="19">
      <c r="A19" s="3" t="str">
        <f/>
        <v>JonathanDummy</v>
      </c>
      <c r="B19" s="3"/>
      <c r="C19" s="3"/>
      <c r="D19" s="19"/>
      <c r="E19" s="45"/>
      <c r="F19" s="21"/>
      <c r="G19" s="27"/>
      <c r="H19" s="3"/>
      <c r="I19" s="3"/>
      <c r="J19" s="25"/>
      <c r="K19" s="41"/>
      <c r="L19" s="3"/>
      <c r="M19" s="3"/>
      <c r="N19" s="25"/>
      <c r="O19" s="24"/>
      <c r="P19" s="27"/>
      <c r="Q19" s="27"/>
      <c r="R19" s="23"/>
      <c r="S19" s="41"/>
      <c r="T19" s="3"/>
      <c r="U19" s="3"/>
      <c r="V19" s="25"/>
      <c r="W19" s="41"/>
      <c r="X19" s="3"/>
      <c r="Y19" s="3"/>
      <c r="Z19" s="25"/>
      <c r="AA19" s="41"/>
      <c r="AB19" s="21"/>
      <c r="AC19" s="3"/>
      <c r="AD19" s="25"/>
      <c r="AE19" s="21"/>
      <c r="AF19" s="3"/>
      <c r="AG19" s="25"/>
      <c r="AH19" s="21"/>
      <c r="AI19" s="3"/>
      <c r="AJ19" s="25"/>
      <c r="AK19" s="21"/>
      <c r="AL19" s="3"/>
      <c r="AM19" s="25"/>
      <c r="AN19" s="27"/>
      <c r="AO19" s="27"/>
      <c r="AP19" s="8"/>
      <c r="AQ19" s="27"/>
      <c r="AR19" s="27"/>
      <c r="AS19" s="8"/>
      <c r="AT19" s="27"/>
      <c r="AU19" s="27"/>
      <c r="AV19" s="8"/>
      <c r="AW19" s="27"/>
      <c r="AX19" s="27"/>
      <c r="AY19" s="8"/>
      <c r="AZ19" s="27"/>
      <c r="BA19" s="27"/>
      <c r="BB19" s="8"/>
      <c r="BC19" s="27"/>
      <c r="BD19" s="27"/>
      <c r="BE19" s="8"/>
      <c r="BF19" s="27"/>
      <c r="BG19" s="27"/>
      <c r="BH19" s="8"/>
      <c r="BI19" s="27"/>
      <c r="BJ19" s="27"/>
      <c r="BK19" s="8"/>
      <c r="BL19" s="27"/>
      <c r="BM19" s="27"/>
      <c r="BN19" s="8"/>
      <c r="BO19" s="27"/>
      <c r="BP19" s="27"/>
      <c r="BQ19" s="8"/>
      <c r="BR19" s="27"/>
      <c r="BS19" s="27"/>
      <c r="BT19" s="8"/>
    </row>
    <row r="20">
      <c r="A20" s="3" t="str">
        <f/>
        <v>Katara</v>
      </c>
      <c r="B20" s="3"/>
      <c r="C20" s="3"/>
      <c r="D20" s="19"/>
      <c r="E20" s="45"/>
      <c r="F20" s="21"/>
      <c r="G20" s="27"/>
      <c r="H20" s="3"/>
      <c r="I20" s="3"/>
      <c r="J20" s="25"/>
      <c r="K20" s="41"/>
      <c r="L20" s="3"/>
      <c r="M20" s="3"/>
      <c r="N20" s="25"/>
      <c r="O20" s="24"/>
      <c r="P20" s="27"/>
      <c r="Q20" s="27"/>
      <c r="R20" s="23"/>
      <c r="S20" s="26"/>
      <c r="T20" s="3"/>
      <c r="U20" s="3"/>
      <c r="V20" s="26"/>
      <c r="W20" s="26"/>
      <c r="X20" s="3"/>
      <c r="Y20" s="32"/>
      <c r="Z20" s="26"/>
      <c r="AA20" s="26"/>
      <c r="AC20" s="32"/>
      <c r="AD20" s="26"/>
      <c r="AF20" s="32"/>
      <c r="AG20" s="26"/>
      <c r="AI20" s="32"/>
      <c r="AJ20" s="26"/>
      <c r="AL20" s="32"/>
      <c r="AM20" s="26"/>
      <c r="AO20" s="32"/>
      <c r="AP20" s="26"/>
      <c r="AR20" s="32"/>
      <c r="AS20" s="26"/>
      <c r="AU20" s="32"/>
      <c r="AV20" s="26"/>
      <c r="AX20" s="32"/>
      <c r="AY20" s="26"/>
      <c r="BA20" s="32"/>
      <c r="BB20" s="26"/>
      <c r="BD20" s="32"/>
      <c r="BE20" s="26"/>
      <c r="BG20" s="32"/>
      <c r="BH20" s="26"/>
      <c r="BJ20" s="32"/>
      <c r="BK20" s="26"/>
      <c r="BM20" s="32"/>
      <c r="BN20" s="26"/>
      <c r="BP20" s="32"/>
      <c r="BQ20" s="26"/>
      <c r="BS20" s="32"/>
      <c r="BT20" s="26"/>
    </row>
    <row r="21">
      <c r="A21" s="3" t="str">
        <f/>
        <v>Landorus</v>
      </c>
      <c r="B21" s="3"/>
      <c r="C21" s="3"/>
      <c r="D21" s="3" t="s">
        <v>80</v>
      </c>
      <c r="E21" s="46" t="s">
        <v>181</v>
      </c>
      <c r="F21" s="3" t="s">
        <v>182</v>
      </c>
      <c r="H21" s="3" t="s">
        <v>95</v>
      </c>
      <c r="I21" s="47" t="s">
        <v>95</v>
      </c>
      <c r="J21" s="25"/>
      <c r="K21" s="25"/>
      <c r="L21" s="3" t="s">
        <v>183</v>
      </c>
      <c r="M21" t="s">
        <v>79</v>
      </c>
      <c r="N21" s="25" t="s">
        <v>184</v>
      </c>
      <c r="O21" s="24"/>
      <c r="P21" s="27" t="s">
        <v>185</v>
      </c>
      <c r="Q21" s="3" t="s">
        <v>79</v>
      </c>
      <c r="R21" s="23" t="s">
        <v>149</v>
      </c>
      <c r="S21" s="23"/>
      <c r="T21" t="s">
        <v>186</v>
      </c>
      <c r="U21" s="3" t="s">
        <v>79</v>
      </c>
      <c r="V21" s="8" t="s">
        <v>149</v>
      </c>
      <c r="W21" s="8"/>
      <c r="X21" s="27" t="s">
        <v>187</v>
      </c>
      <c r="Y21" s="27" t="s">
        <v>79</v>
      </c>
      <c r="Z21" s="26" t="s">
        <v>149</v>
      </c>
      <c r="AA21" s="26"/>
      <c r="AB21" s="3" t="s">
        <v>95</v>
      </c>
      <c r="AC21" s="3" t="s">
        <v>95</v>
      </c>
      <c r="AD21" s="26"/>
      <c r="AE21" s="3" t="s">
        <v>188</v>
      </c>
      <c r="AF21" s="3" t="s">
        <v>95</v>
      </c>
      <c r="AG21" s="26" t="s">
        <v>138</v>
      </c>
      <c r="AH21" s="27" t="s">
        <v>95</v>
      </c>
      <c r="AI21" s="3" t="s">
        <v>95</v>
      </c>
      <c r="AJ21" s="23"/>
      <c r="AK21" s="27" t="s">
        <v>189</v>
      </c>
      <c r="AL21" s="27" t="s">
        <v>79</v>
      </c>
      <c r="AM21" s="23" t="s">
        <v>170</v>
      </c>
      <c r="AN21" s="3"/>
      <c r="AO21" s="3"/>
      <c r="AP21" s="26"/>
      <c r="AQ21" s="3"/>
      <c r="AR21" s="3"/>
      <c r="AS21" s="26"/>
      <c r="AT21" s="3"/>
      <c r="AU21" s="3"/>
      <c r="AV21" s="26"/>
      <c r="AW21" s="3"/>
      <c r="AX21" s="3"/>
      <c r="AY21" s="26"/>
      <c r="AZ21" s="3"/>
      <c r="BA21" s="3"/>
      <c r="BB21" s="26"/>
      <c r="BC21" s="3"/>
      <c r="BD21" s="3"/>
      <c r="BE21" s="26"/>
      <c r="BF21" s="3"/>
      <c r="BG21" s="3"/>
      <c r="BH21" s="26"/>
      <c r="BI21" s="3"/>
      <c r="BJ21" s="3"/>
      <c r="BK21" s="26"/>
      <c r="BL21" s="3"/>
      <c r="BM21" s="3"/>
      <c r="BN21" s="26"/>
      <c r="BO21" s="3"/>
      <c r="BP21" s="3"/>
      <c r="BQ21" s="26"/>
      <c r="BR21" s="3"/>
      <c r="BS21" s="3"/>
      <c r="BT21" s="26"/>
    </row>
    <row r="22">
      <c r="A22" s="3" t="str">
        <f/>
        <v>Ledda</v>
      </c>
      <c r="B22" s="3"/>
      <c r="C22" s="3"/>
      <c r="D22" t="s">
        <v>190</v>
      </c>
      <c r="E22" s="46" t="s">
        <v>191</v>
      </c>
      <c r="F22" t="s">
        <v>192</v>
      </c>
      <c r="G22" s="7"/>
      <c r="H22" s="27" t="s">
        <v>105</v>
      </c>
      <c r="I22" s="3" t="s">
        <v>79</v>
      </c>
      <c r="J22" s="8"/>
      <c r="K22" s="8"/>
      <c r="L22" s="27" t="s">
        <v>193</v>
      </c>
      <c r="M22" s="3" t="s">
        <v>79</v>
      </c>
      <c r="N22" s="8"/>
      <c r="O22" s="25"/>
      <c r="P22" s="3" t="s">
        <v>194</v>
      </c>
      <c r="Q22" s="3" t="s">
        <v>79</v>
      </c>
      <c r="R22" s="25"/>
      <c r="S22" s="25"/>
      <c r="T22" s="29" t="s">
        <v>195</v>
      </c>
      <c r="U22" s="3" t="s">
        <v>84</v>
      </c>
      <c r="V22" s="25" t="s">
        <v>85</v>
      </c>
      <c r="W22" s="25"/>
      <c r="X22" s="3" t="s">
        <v>193</v>
      </c>
      <c r="Y22" s="7" t="s">
        <v>79</v>
      </c>
      <c r="Z22" s="26"/>
      <c r="AA22" s="26"/>
      <c r="AB22" s="32" t="s">
        <v>196</v>
      </c>
      <c r="AC22" s="32" t="s">
        <v>79</v>
      </c>
      <c r="AD22" s="26"/>
      <c r="AE22" s="32" t="s">
        <v>196</v>
      </c>
      <c r="AF22" s="7" t="s">
        <v>79</v>
      </c>
      <c r="AG22" s="26"/>
      <c r="AH22" s="3" t="s">
        <v>197</v>
      </c>
      <c r="AI22" s="3" t="s">
        <v>79</v>
      </c>
      <c r="AJ22" s="26"/>
      <c r="AK22" s="3" t="s">
        <v>193</v>
      </c>
      <c r="AL22" s="3" t="s">
        <v>84</v>
      </c>
      <c r="AM22" s="26" t="s">
        <v>154</v>
      </c>
      <c r="AN22" s="27"/>
      <c r="AO22" s="27"/>
      <c r="AP22" s="23"/>
      <c r="AQ22" s="27"/>
      <c r="AR22" s="27"/>
      <c r="AS22" s="23"/>
      <c r="AT22" s="27"/>
      <c r="AU22" s="27"/>
      <c r="AV22" s="23"/>
      <c r="AW22" s="27"/>
      <c r="AX22" s="27"/>
      <c r="AY22" s="23"/>
      <c r="AZ22" s="27"/>
      <c r="BA22" s="27"/>
      <c r="BB22" s="23"/>
      <c r="BC22" s="27"/>
      <c r="BD22" s="27"/>
      <c r="BE22" s="23"/>
      <c r="BF22" s="27"/>
      <c r="BG22" s="27"/>
      <c r="BH22" s="23"/>
      <c r="BI22" s="27"/>
      <c r="BJ22" s="27"/>
      <c r="BK22" s="23"/>
      <c r="BL22" s="27"/>
      <c r="BM22" s="27"/>
      <c r="BN22" s="23"/>
      <c r="BO22" s="27"/>
      <c r="BP22" s="27"/>
      <c r="BQ22" s="23"/>
      <c r="BR22" s="27"/>
      <c r="BS22" s="27"/>
      <c r="BT22" s="23"/>
    </row>
    <row r="23">
      <c r="A23" s="3" t="str">
        <f/>
        <v>lksaar</v>
      </c>
      <c r="B23" s="3"/>
      <c r="C23" s="3"/>
      <c r="D23" s="3" t="s">
        <v>198</v>
      </c>
      <c r="E23" s="48" t="s">
        <v>199</v>
      </c>
      <c r="F23" s="21" t="s">
        <v>200</v>
      </c>
      <c r="G23" s="49"/>
      <c r="H23" s="27" t="s">
        <v>201</v>
      </c>
      <c r="I23" s="27" t="s">
        <v>202</v>
      </c>
      <c r="J23" s="8"/>
      <c r="K23" s="8"/>
      <c r="L23" s="27" t="s">
        <v>203</v>
      </c>
      <c r="M23" s="27" t="s">
        <v>204</v>
      </c>
      <c r="N23" s="23"/>
      <c r="O23" s="8"/>
      <c r="P23" s="27" t="s">
        <v>205</v>
      </c>
      <c r="Q23" s="27" t="s">
        <v>206</v>
      </c>
      <c r="R23" s="8" t="s">
        <v>149</v>
      </c>
      <c r="S23" s="41"/>
      <c r="T23" t="s">
        <v>207</v>
      </c>
      <c r="U23" s="3" t="s">
        <v>208</v>
      </c>
      <c r="V23" s="25"/>
      <c r="W23" s="41"/>
      <c r="X23" s="3" t="s">
        <v>209</v>
      </c>
      <c r="Y23" s="27" t="s">
        <v>210</v>
      </c>
      <c r="Z23" s="23"/>
      <c r="AA23" s="23"/>
      <c r="AB23" s="27" t="s">
        <v>211</v>
      </c>
      <c r="AC23" s="27" t="s">
        <v>212</v>
      </c>
      <c r="AD23" s="23"/>
      <c r="AE23" s="27" t="s">
        <v>213</v>
      </c>
      <c r="AF23" s="27" t="s">
        <v>214</v>
      </c>
      <c r="AG23" s="23"/>
      <c r="AH23" s="27" t="s">
        <v>215</v>
      </c>
      <c r="AI23" s="27" t="s">
        <v>84</v>
      </c>
      <c r="AJ23" s="23" t="s">
        <v>216</v>
      </c>
      <c r="AK23" s="27" t="s">
        <v>217</v>
      </c>
      <c r="AL23" s="27" t="s">
        <v>218</v>
      </c>
      <c r="AM23" s="8"/>
      <c r="AN23" s="3"/>
      <c r="AO23" s="3"/>
      <c r="AP23" s="26"/>
      <c r="AQ23" s="3"/>
      <c r="AR23" s="3"/>
      <c r="AS23" s="26"/>
      <c r="AT23" s="3"/>
      <c r="AU23" s="3"/>
      <c r="AV23" s="26"/>
      <c r="AW23" s="3"/>
      <c r="AX23" s="3"/>
      <c r="AY23" s="26"/>
      <c r="AZ23" s="3"/>
      <c r="BA23" s="3"/>
      <c r="BB23" s="26"/>
      <c r="BC23" s="3"/>
      <c r="BD23" s="3"/>
      <c r="BE23" s="26"/>
      <c r="BF23" s="3"/>
      <c r="BG23" s="3"/>
      <c r="BH23" s="26"/>
      <c r="BI23" s="3"/>
      <c r="BJ23" s="3"/>
      <c r="BK23" s="26"/>
      <c r="BL23" s="3"/>
      <c r="BM23" s="3"/>
      <c r="BN23" s="26"/>
      <c r="BO23" s="3"/>
      <c r="BP23" s="3"/>
      <c r="BQ23" s="26"/>
      <c r="BR23" s="3"/>
      <c r="BS23" s="3"/>
      <c r="BT23" s="26"/>
    </row>
    <row r="24">
      <c r="A24" s="3" t="str">
        <f/>
        <v>mkvGOD</v>
      </c>
      <c r="B24" s="3"/>
      <c r="C24" s="3"/>
      <c r="D24" s="3" t="s">
        <v>100</v>
      </c>
      <c r="E24" s="48" t="s">
        <v>219</v>
      </c>
      <c r="F24" s="3" t="s">
        <v>220</v>
      </c>
      <c r="G24" s="21"/>
      <c r="H24" s="3" t="s">
        <v>95</v>
      </c>
      <c r="I24" s="30" t="s">
        <v>95</v>
      </c>
      <c r="J24" s="8" t="s">
        <v>96</v>
      </c>
      <c r="K24" s="8"/>
      <c r="L24" s="3" t="s">
        <v>221</v>
      </c>
      <c r="M24" s="3" t="s">
        <v>79</v>
      </c>
      <c r="N24" s="25"/>
      <c r="O24" s="8"/>
      <c r="P24" s="3" t="s">
        <v>222</v>
      </c>
      <c r="Q24" s="27" t="s">
        <v>84</v>
      </c>
      <c r="R24" s="8" t="s">
        <v>138</v>
      </c>
      <c r="S24" s="26"/>
      <c r="T24" s="21" t="s">
        <v>223</v>
      </c>
      <c r="U24" s="3" t="s">
        <v>84</v>
      </c>
      <c r="V24" s="26" t="s">
        <v>85</v>
      </c>
      <c r="W24" s="26"/>
      <c r="X24" s="3" t="s">
        <v>222</v>
      </c>
      <c r="Y24" s="27" t="s">
        <v>79</v>
      </c>
      <c r="Z24" s="25"/>
      <c r="AA24" s="41"/>
      <c r="AB24" s="3" t="s">
        <v>224</v>
      </c>
      <c r="AC24" s="3" t="s">
        <v>84</v>
      </c>
      <c r="AD24" s="25" t="s">
        <v>138</v>
      </c>
      <c r="AE24" s="3" t="s">
        <v>225</v>
      </c>
      <c r="AF24" s="27" t="s">
        <v>84</v>
      </c>
      <c r="AG24" s="25" t="s">
        <v>138</v>
      </c>
      <c r="AH24" s="3" t="s">
        <v>226</v>
      </c>
      <c r="AI24" s="3" t="s">
        <v>79</v>
      </c>
      <c r="AJ24" s="26"/>
      <c r="AK24" s="27" t="s">
        <v>224</v>
      </c>
      <c r="AL24" s="3" t="s">
        <v>84</v>
      </c>
      <c r="AM24" s="25" t="s">
        <v>154</v>
      </c>
      <c r="AN24" s="27"/>
      <c r="AO24" s="27"/>
      <c r="AP24" s="8"/>
      <c r="AQ24" s="27"/>
      <c r="AR24" s="27"/>
      <c r="AS24" s="8"/>
      <c r="AT24" s="27"/>
      <c r="AU24" s="27"/>
      <c r="AV24" s="8"/>
      <c r="AW24" s="27"/>
      <c r="AX24" s="27"/>
      <c r="AY24" s="8"/>
      <c r="AZ24" s="27"/>
      <c r="BA24" s="27"/>
      <c r="BB24" s="8"/>
      <c r="BC24" s="27"/>
      <c r="BD24" s="27"/>
      <c r="BE24" s="8"/>
      <c r="BF24" s="27"/>
      <c r="BG24" s="27"/>
      <c r="BH24" s="8"/>
      <c r="BI24" s="27"/>
      <c r="BJ24" s="27"/>
      <c r="BK24" s="8"/>
      <c r="BL24" s="27"/>
      <c r="BM24" s="27"/>
      <c r="BN24" s="8"/>
      <c r="BO24" s="27"/>
      <c r="BP24" s="27"/>
      <c r="BQ24" s="8"/>
      <c r="BR24" s="27"/>
      <c r="BS24" s="27"/>
      <c r="BT24" s="8"/>
    </row>
    <row r="25">
      <c r="A25" s="3" t="str">
        <f/>
        <v xml:space="preserve">Nehtaro derels</v>
      </c>
      <c r="B25" s="3"/>
      <c r="C25" s="3"/>
      <c r="D25" s="19"/>
      <c r="E25" s="45"/>
      <c r="F25" s="21"/>
      <c r="G25" s="27"/>
      <c r="H25" s="3"/>
      <c r="I25" s="3"/>
      <c r="J25" s="25"/>
      <c r="K25" s="41"/>
      <c r="L25" s="3"/>
      <c r="M25" s="3"/>
      <c r="N25" s="25"/>
      <c r="O25" s="24"/>
      <c r="P25" s="27"/>
      <c r="Q25" s="27"/>
      <c r="R25" s="23"/>
      <c r="S25" s="41"/>
      <c r="T25" s="3"/>
      <c r="U25" s="3"/>
      <c r="V25" s="25"/>
      <c r="W25" s="41"/>
      <c r="X25" s="3"/>
      <c r="Y25" s="3"/>
      <c r="Z25" s="25"/>
      <c r="AA25" s="41"/>
      <c r="AB25" s="21"/>
      <c r="AC25" s="3"/>
      <c r="AD25" s="25"/>
      <c r="AE25" s="21"/>
      <c r="AF25" s="3"/>
      <c r="AG25" s="25"/>
      <c r="AH25" s="21"/>
      <c r="AI25" s="3"/>
      <c r="AJ25" s="25"/>
      <c r="AK25" s="21"/>
      <c r="AL25" s="3"/>
      <c r="AM25" s="25"/>
      <c r="AN25" s="27"/>
      <c r="AO25" s="27"/>
      <c r="AP25" s="23"/>
      <c r="AQ25" s="27"/>
      <c r="AR25" s="27"/>
      <c r="AS25" s="23"/>
      <c r="AT25" s="27"/>
      <c r="AU25" s="27"/>
      <c r="AV25" s="23"/>
      <c r="AW25" s="27"/>
      <c r="AX25" s="27"/>
      <c r="AY25" s="23"/>
      <c r="AZ25" s="27"/>
      <c r="BA25" s="27"/>
      <c r="BB25" s="23"/>
      <c r="BC25" s="27"/>
      <c r="BD25" s="27"/>
      <c r="BE25" s="23"/>
      <c r="BF25" s="27"/>
      <c r="BG25" s="27"/>
      <c r="BH25" s="23"/>
      <c r="BI25" s="27"/>
      <c r="BJ25" s="27"/>
      <c r="BK25" s="23"/>
      <c r="BL25" s="27"/>
      <c r="BM25" s="27"/>
      <c r="BN25" s="23"/>
      <c r="BO25" s="27"/>
      <c r="BP25" s="27"/>
      <c r="BQ25" s="23"/>
      <c r="BR25" s="27"/>
      <c r="BS25" s="27"/>
      <c r="BT25" s="23"/>
    </row>
    <row r="26">
      <c r="A26" s="3" t="str">
        <f/>
        <v>Neo</v>
      </c>
      <c r="B26" s="3"/>
      <c r="C26" s="3"/>
      <c r="D26" s="42"/>
      <c r="E26" s="45"/>
      <c r="F26" s="21"/>
      <c r="G26" s="3"/>
      <c r="H26" s="3"/>
      <c r="I26" s="3"/>
      <c r="J26" s="25"/>
      <c r="K26" s="41"/>
      <c r="L26" s="3"/>
      <c r="M26" s="3"/>
      <c r="N26" s="25"/>
      <c r="O26" s="41"/>
      <c r="P26" s="3"/>
      <c r="Q26" s="3"/>
      <c r="R26" s="25"/>
      <c r="S26" s="24"/>
      <c r="T26" s="21"/>
      <c r="U26" s="27"/>
      <c r="V26" s="23"/>
      <c r="W26" s="24"/>
      <c r="X26" s="27"/>
      <c r="Y26" s="27"/>
      <c r="Z26" s="23"/>
      <c r="AA26" s="41"/>
      <c r="AB26" s="3"/>
      <c r="AC26" s="3"/>
      <c r="AD26" s="25"/>
      <c r="AE26" s="3"/>
      <c r="AF26" s="21"/>
      <c r="AG26" s="25"/>
      <c r="AH26" s="3"/>
      <c r="AI26" s="3"/>
      <c r="AJ26" s="25"/>
      <c r="AK26" s="3"/>
      <c r="AL26" s="3"/>
      <c r="AM26" s="26"/>
      <c r="AN26" s="3"/>
      <c r="AO26" s="3"/>
      <c r="AP26" s="26"/>
      <c r="AQ26" s="3"/>
      <c r="AR26" s="3"/>
      <c r="AS26" s="26"/>
      <c r="AT26" s="3"/>
      <c r="AU26" s="3"/>
      <c r="AV26" s="26"/>
      <c r="AW26" s="3"/>
      <c r="AX26" s="3"/>
      <c r="AY26" s="26"/>
      <c r="AZ26" s="3"/>
      <c r="BA26" s="3"/>
      <c r="BB26" s="26"/>
      <c r="BC26" s="3"/>
      <c r="BD26" s="3"/>
      <c r="BE26" s="26"/>
      <c r="BF26" s="3"/>
      <c r="BG26" s="3"/>
      <c r="BH26" s="26"/>
      <c r="BI26" s="3"/>
      <c r="BJ26" s="3"/>
      <c r="BK26" s="26"/>
      <c r="BL26" s="3"/>
      <c r="BM26" s="3"/>
      <c r="BN26" s="26"/>
      <c r="BO26" s="3"/>
      <c r="BP26" s="3"/>
      <c r="BQ26" s="26"/>
      <c r="BR26" s="3"/>
      <c r="BS26" s="3"/>
      <c r="BT26" s="26"/>
    </row>
    <row r="27">
      <c r="A27" s="3" t="str">
        <f/>
        <v>PeterParker</v>
      </c>
      <c r="B27" s="3"/>
      <c r="C27" s="3"/>
      <c r="D27" s="50" t="s">
        <v>227</v>
      </c>
      <c r="E27" s="51">
        <f>D109</f>
        <v>18</v>
      </c>
      <c r="I27" s="32"/>
      <c r="J27" s="26"/>
      <c r="K27" s="26"/>
      <c r="N27" s="26"/>
      <c r="O27" s="26"/>
      <c r="R27" s="26"/>
      <c r="S27" s="26"/>
      <c r="V27" s="26"/>
      <c r="W27" s="26"/>
      <c r="X27" s="3"/>
      <c r="Y27" s="3"/>
      <c r="Z27" s="26"/>
      <c r="AA27" s="26"/>
      <c r="AB27" s="3"/>
      <c r="AC27" s="3"/>
      <c r="AD27" s="26"/>
      <c r="AE27" s="3"/>
      <c r="AF27" s="3"/>
      <c r="AG27" s="26"/>
      <c r="AH27" s="3"/>
      <c r="AI27" s="3"/>
      <c r="AJ27" s="26"/>
      <c r="AK27" s="3"/>
      <c r="AL27" s="3"/>
      <c r="AM27" s="26"/>
      <c r="AN27" s="3"/>
      <c r="AO27" s="3"/>
      <c r="AP27" s="26"/>
      <c r="AQ27" s="3"/>
      <c r="AR27" s="3"/>
      <c r="AS27" s="26"/>
      <c r="AT27" s="3"/>
      <c r="AU27" s="3"/>
      <c r="AV27" s="26"/>
      <c r="AW27" s="3"/>
      <c r="AX27" s="3"/>
      <c r="AY27" s="26"/>
      <c r="AZ27" s="3"/>
      <c r="BA27" s="3"/>
      <c r="BB27" s="26"/>
      <c r="BC27" s="3"/>
      <c r="BD27" s="3"/>
      <c r="BE27" s="26"/>
      <c r="BF27" s="3"/>
      <c r="BG27" s="3"/>
      <c r="BH27" s="26"/>
      <c r="BI27" s="3"/>
      <c r="BJ27" s="3"/>
      <c r="BK27" s="26"/>
      <c r="BL27" s="3"/>
      <c r="BM27" s="3"/>
      <c r="BN27" s="26"/>
      <c r="BO27" s="3"/>
      <c r="BP27" s="3"/>
      <c r="BQ27" s="26"/>
      <c r="BR27" s="3"/>
      <c r="BS27" s="3"/>
      <c r="BT27" s="26"/>
    </row>
    <row r="28">
      <c r="A28" s="3" t="str">
        <f/>
        <v>Player</v>
      </c>
      <c r="B28" s="3"/>
      <c r="C28" s="3"/>
      <c r="D28" s="52" t="s">
        <v>6</v>
      </c>
      <c r="E28" s="53"/>
      <c r="F28" s="52"/>
      <c r="G28" s="52"/>
      <c r="H28" s="52"/>
      <c r="I28" s="10"/>
      <c r="J28" s="10"/>
      <c r="K28" s="10"/>
      <c r="L28" s="52"/>
      <c r="M28" s="52"/>
      <c r="N28" s="10"/>
      <c r="O28" s="10"/>
      <c r="P28" s="52"/>
      <c r="Q28" s="52"/>
      <c r="R28" s="10"/>
      <c r="S28" s="10"/>
      <c r="T28" s="52"/>
      <c r="U28" s="52"/>
      <c r="V28" s="10"/>
      <c r="W28" s="10"/>
      <c r="X28" s="52"/>
      <c r="Y28" s="52"/>
      <c r="Z28" s="10"/>
      <c r="AA28" s="10"/>
      <c r="AB28" s="52"/>
      <c r="AC28" s="52"/>
      <c r="AD28" s="10"/>
      <c r="AE28" s="52"/>
      <c r="AF28" s="52"/>
      <c r="AG28" s="10"/>
      <c r="AH28" s="52"/>
      <c r="AI28" s="52"/>
      <c r="AJ28" s="10"/>
      <c r="AK28" s="52"/>
      <c r="AL28" s="52"/>
      <c r="AM28" s="10"/>
      <c r="AN28" s="52"/>
      <c r="AO28" s="52"/>
      <c r="AP28" s="10"/>
      <c r="AQ28" s="52"/>
      <c r="AR28" s="52"/>
      <c r="AS28" s="10"/>
      <c r="AT28" s="52"/>
      <c r="AU28" s="52"/>
      <c r="AV28" s="10"/>
      <c r="AW28" s="52"/>
      <c r="AX28" s="52"/>
      <c r="AY28" s="10"/>
      <c r="AZ28" s="52"/>
      <c r="BA28" s="52"/>
      <c r="BB28" s="10"/>
      <c r="BC28" s="52"/>
      <c r="BD28" s="52"/>
      <c r="BE28" s="10"/>
      <c r="BF28" s="52"/>
      <c r="BG28" s="52"/>
      <c r="BH28" s="10"/>
      <c r="BI28" s="52"/>
      <c r="BJ28" s="52"/>
      <c r="BK28" s="10"/>
      <c r="BL28" s="52"/>
      <c r="BM28" s="52"/>
      <c r="BN28" s="10"/>
      <c r="BO28" s="52"/>
      <c r="BP28" s="52"/>
      <c r="BQ28" s="10"/>
      <c r="BR28" s="52"/>
      <c r="BS28" s="52"/>
      <c r="BT28" s="10"/>
    </row>
    <row r="29">
      <c r="A29" s="3" t="str">
        <f/>
        <v>Red123</v>
      </c>
      <c r="B29" s="3"/>
      <c r="C29" s="3"/>
      <c r="D29" s="19" t="s">
        <v>228</v>
      </c>
      <c r="E29" s="20" t="s">
        <v>75</v>
      </c>
      <c r="F29" s="54" t="s">
        <v>229</v>
      </c>
      <c r="G29" s="3"/>
      <c r="H29" s="3" t="s">
        <v>99</v>
      </c>
      <c r="I29" s="32" t="s">
        <v>230</v>
      </c>
      <c r="J29" s="26"/>
      <c r="K29" s="55"/>
      <c r="L29" s="56" t="s">
        <v>143</v>
      </c>
      <c r="M29" s="3" t="s">
        <v>79</v>
      </c>
      <c r="N29" s="26" t="s">
        <v>231</v>
      </c>
      <c r="O29" s="26"/>
      <c r="R29" s="26"/>
      <c r="S29" s="26"/>
      <c r="V29" s="26"/>
      <c r="W29" s="26"/>
      <c r="X29" s="3"/>
      <c r="Y29" s="3"/>
      <c r="Z29" s="26"/>
      <c r="AA29" s="26"/>
      <c r="AB29" s="3"/>
      <c r="AC29" s="3"/>
      <c r="AD29" s="26"/>
      <c r="AE29" s="3"/>
      <c r="AF29" s="3"/>
      <c r="AG29" s="26"/>
      <c r="AH29" s="3"/>
      <c r="AI29" s="3"/>
      <c r="AJ29" s="26"/>
      <c r="AK29" s="3"/>
      <c r="AL29" s="3"/>
      <c r="AM29" s="26"/>
      <c r="AN29" s="3"/>
      <c r="AO29" s="3"/>
      <c r="AP29" s="26"/>
      <c r="AQ29" s="3"/>
      <c r="AR29" s="3"/>
      <c r="AS29" s="26"/>
      <c r="AT29" s="3"/>
      <c r="AU29" s="3"/>
      <c r="AV29" s="26"/>
      <c r="AW29" s="3"/>
      <c r="AX29" s="3"/>
      <c r="AY29" s="26"/>
      <c r="AZ29" s="3"/>
      <c r="BA29" s="3"/>
      <c r="BB29" s="26"/>
      <c r="BC29" s="3"/>
      <c r="BD29" s="3"/>
      <c r="BE29" s="26"/>
      <c r="BF29" s="3"/>
      <c r="BG29" s="3"/>
      <c r="BH29" s="26"/>
      <c r="BI29" s="3"/>
      <c r="BJ29" s="3"/>
      <c r="BK29" s="26"/>
      <c r="BL29" s="3"/>
      <c r="BM29" s="3"/>
      <c r="BN29" s="26"/>
      <c r="BO29" s="3"/>
      <c r="BP29" s="3"/>
      <c r="BQ29" s="26"/>
      <c r="BR29" s="3"/>
      <c r="BS29" s="3"/>
      <c r="BT29" s="26"/>
    </row>
    <row r="30">
      <c r="A30" s="3" t="str">
        <f/>
        <v>repairmanman</v>
      </c>
      <c r="B30" s="3"/>
      <c r="C30" s="3"/>
      <c r="D30" s="19" t="s">
        <v>137</v>
      </c>
      <c r="E30" s="37" t="s">
        <v>232</v>
      </c>
      <c r="F30" t="s">
        <v>233</v>
      </c>
      <c r="G30" s="21"/>
      <c r="H30" s="21" t="s">
        <v>95</v>
      </c>
      <c r="I30" s="47" t="s">
        <v>95</v>
      </c>
      <c r="J30" s="26"/>
      <c r="K30" s="26"/>
      <c r="L30" s="21" t="s">
        <v>105</v>
      </c>
      <c r="M30" s="3" t="s">
        <v>79</v>
      </c>
      <c r="N30" s="26" t="s">
        <v>234</v>
      </c>
      <c r="O30" s="26"/>
      <c r="R30" s="26"/>
      <c r="S30" s="26"/>
      <c r="V30" s="26"/>
      <c r="W30" s="26"/>
      <c r="X30" s="3"/>
      <c r="Y30" s="3"/>
      <c r="Z30" s="26"/>
      <c r="AA30" s="26"/>
      <c r="AB30" s="3"/>
      <c r="AC30" s="3"/>
      <c r="AD30" s="26"/>
      <c r="AE30" s="3"/>
      <c r="AF30" s="3"/>
      <c r="AG30" s="26"/>
      <c r="AH30" s="3"/>
      <c r="AI30" s="3"/>
      <c r="AJ30" s="26"/>
      <c r="AK30" s="3"/>
      <c r="AL30" s="3"/>
      <c r="AM30" s="26"/>
      <c r="AN30" s="3"/>
      <c r="AO30" s="3"/>
      <c r="AP30" s="26"/>
      <c r="AQ30" s="3"/>
      <c r="AR30" s="3"/>
      <c r="AS30" s="26"/>
      <c r="AT30" s="3"/>
      <c r="AU30" s="3"/>
      <c r="AV30" s="26"/>
      <c r="AW30" s="3"/>
      <c r="AX30" s="3"/>
      <c r="AY30" s="26"/>
      <c r="AZ30" s="3"/>
      <c r="BA30" s="3"/>
      <c r="BB30" s="26"/>
      <c r="BC30" s="3"/>
      <c r="BD30" s="3"/>
      <c r="BE30" s="26"/>
      <c r="BF30" s="3"/>
      <c r="BG30" s="3"/>
      <c r="BH30" s="26"/>
      <c r="BI30" s="3"/>
      <c r="BJ30" s="3"/>
      <c r="BK30" s="26"/>
      <c r="BL30" s="3"/>
      <c r="BM30" s="3"/>
      <c r="BN30" s="26"/>
      <c r="BO30" s="3"/>
      <c r="BP30" s="3"/>
      <c r="BQ30" s="26"/>
      <c r="BR30" s="3"/>
      <c r="BS30" s="3"/>
      <c r="BT30" s="26"/>
    </row>
    <row r="31">
      <c r="A31" s="3" t="str">
        <f/>
        <v>Senna</v>
      </c>
      <c r="B31" s="3"/>
      <c r="C31" s="3"/>
      <c r="D31" s="42" t="s">
        <v>235</v>
      </c>
      <c r="E31" s="43" t="s">
        <v>236</v>
      </c>
      <c r="F31" s="21" t="s">
        <v>237</v>
      </c>
      <c r="G31" s="21"/>
      <c r="H31" s="27" t="s">
        <v>95</v>
      </c>
      <c r="I31" s="47" t="s">
        <v>95</v>
      </c>
      <c r="J31" s="8"/>
      <c r="K31" s="8"/>
      <c r="L31" s="36" t="s">
        <v>238</v>
      </c>
      <c r="M31" s="57" t="s">
        <v>239</v>
      </c>
      <c r="N31" s="8"/>
      <c r="O31" s="8" t="s">
        <v>240</v>
      </c>
      <c r="R31" s="26"/>
      <c r="S31" s="26"/>
      <c r="V31" s="26"/>
      <c r="W31" s="26"/>
      <c r="X31" s="3"/>
      <c r="Y31" s="3"/>
      <c r="Z31" s="25"/>
      <c r="AA31" s="41"/>
      <c r="AB31" s="3"/>
      <c r="AC31" s="3"/>
      <c r="AD31" s="25"/>
      <c r="AE31" s="3"/>
      <c r="AF31" s="3"/>
      <c r="AG31" s="25"/>
      <c r="AH31" s="3"/>
      <c r="AI31" s="3"/>
      <c r="AJ31" s="25"/>
      <c r="AK31" s="3"/>
      <c r="AL31" s="3"/>
      <c r="AM31" s="25"/>
      <c r="AN31" s="3"/>
      <c r="AO31" s="3"/>
      <c r="AP31" s="25"/>
      <c r="AQ31" s="3"/>
      <c r="AR31" s="3"/>
      <c r="AS31" s="25"/>
      <c r="AT31" s="3"/>
      <c r="AU31" s="3"/>
      <c r="AV31" s="25"/>
      <c r="AW31" s="3"/>
      <c r="AX31" s="3"/>
      <c r="AY31" s="25"/>
      <c r="AZ31" s="3"/>
      <c r="BA31" s="3"/>
      <c r="BB31" s="25"/>
      <c r="BC31" s="3"/>
      <c r="BD31" s="3"/>
      <c r="BE31" s="25"/>
      <c r="BF31" s="3"/>
      <c r="BG31" s="3"/>
      <c r="BH31" s="25"/>
      <c r="BI31" s="3"/>
      <c r="BJ31" s="3"/>
      <c r="BK31" s="25"/>
      <c r="BL31" s="3"/>
      <c r="BM31" s="3"/>
      <c r="BN31" s="25"/>
      <c r="BO31" s="3"/>
      <c r="BP31" s="3"/>
      <c r="BQ31" s="25"/>
      <c r="BR31" s="3"/>
      <c r="BS31" s="3"/>
      <c r="BT31" s="25"/>
    </row>
    <row r="32">
      <c r="A32" s="3" t="str">
        <f/>
        <v xml:space="preserve">SFerris Trivium</v>
      </c>
      <c r="B32" s="3"/>
      <c r="C32" s="3"/>
      <c r="D32" s="19" t="s">
        <v>241</v>
      </c>
      <c r="E32" s="20" t="s">
        <v>242</v>
      </c>
      <c r="F32" s="3" t="s">
        <v>243</v>
      </c>
      <c r="G32" s="3" t="s">
        <v>244</v>
      </c>
      <c r="H32" s="3" t="s">
        <v>99</v>
      </c>
      <c r="I32" s="32" t="s">
        <v>125</v>
      </c>
      <c r="J32" s="25"/>
      <c r="K32" s="25"/>
      <c r="L32" s="3" t="s">
        <v>99</v>
      </c>
      <c r="M32" s="3" t="s">
        <v>245</v>
      </c>
      <c r="N32" s="25" t="s">
        <v>141</v>
      </c>
      <c r="O32" s="23"/>
      <c r="P32" s="27" t="s">
        <v>99</v>
      </c>
      <c r="Q32" s="3" t="s">
        <v>245</v>
      </c>
      <c r="R32" s="23" t="s">
        <v>246</v>
      </c>
      <c r="S32" s="25"/>
      <c r="T32" s="3"/>
      <c r="V32" s="25"/>
      <c r="W32" s="25"/>
      <c r="X32" s="3"/>
      <c r="Y32" s="3"/>
      <c r="Z32" s="25"/>
      <c r="AA32" s="41"/>
      <c r="AB32" s="3"/>
      <c r="AC32" s="3"/>
      <c r="AD32" s="25"/>
      <c r="AE32" s="3"/>
      <c r="AF32" s="3"/>
      <c r="AG32" s="25"/>
      <c r="AH32" s="3"/>
      <c r="AI32" s="3"/>
      <c r="AJ32" s="25"/>
      <c r="AK32" s="3"/>
      <c r="AL32" s="3"/>
      <c r="AM32" s="25"/>
      <c r="AN32" s="3"/>
      <c r="AO32" s="3"/>
      <c r="AP32" s="25"/>
      <c r="AQ32" s="3"/>
      <c r="AR32" s="3"/>
      <c r="AS32" s="25"/>
      <c r="AT32" s="3"/>
      <c r="AU32" s="3"/>
      <c r="AV32" s="25"/>
      <c r="AW32" s="3"/>
      <c r="AX32" s="3"/>
      <c r="AY32" s="25"/>
      <c r="AZ32" s="3"/>
      <c r="BA32" s="3"/>
      <c r="BB32" s="25"/>
      <c r="BC32" s="3"/>
      <c r="BD32" s="3"/>
      <c r="BE32" s="25"/>
      <c r="BF32" s="3"/>
      <c r="BG32" s="3"/>
      <c r="BH32" s="25"/>
      <c r="BI32" s="3"/>
      <c r="BJ32" s="3"/>
      <c r="BK32" s="25"/>
      <c r="BL32" s="3"/>
      <c r="BM32" s="3"/>
      <c r="BN32" s="25"/>
      <c r="BO32" s="3"/>
      <c r="BP32" s="3"/>
      <c r="BQ32" s="25"/>
      <c r="BR32" s="3"/>
      <c r="BS32" s="3"/>
      <c r="BT32" s="25"/>
    </row>
    <row r="33">
      <c r="A33" s="3" t="str">
        <f/>
        <v>shogunsama</v>
      </c>
      <c r="B33" s="3"/>
      <c r="C33" s="3"/>
      <c r="D33" s="19" t="s">
        <v>247</v>
      </c>
      <c r="E33" s="37" t="s">
        <v>248</v>
      </c>
      <c r="F33" s="3" t="s">
        <v>249</v>
      </c>
      <c r="G33" s="27"/>
      <c r="H33" s="3" t="s">
        <v>94</v>
      </c>
      <c r="I33" s="47" t="s">
        <v>95</v>
      </c>
      <c r="J33" s="23"/>
      <c r="K33" s="23"/>
      <c r="L33" s="27" t="s">
        <v>104</v>
      </c>
      <c r="M33" s="57" t="s">
        <v>250</v>
      </c>
      <c r="N33" s="23" t="s">
        <v>126</v>
      </c>
      <c r="O33" s="25"/>
      <c r="P33" s="3" t="s">
        <v>143</v>
      </c>
      <c r="Q33" s="3" t="s">
        <v>245</v>
      </c>
      <c r="R33" s="25" t="s">
        <v>231</v>
      </c>
      <c r="S33" s="25"/>
      <c r="T33" s="3"/>
      <c r="V33" s="25"/>
      <c r="W33" s="25"/>
      <c r="Z33" s="26"/>
      <c r="AA33" s="26"/>
      <c r="AD33" s="26"/>
      <c r="AG33" s="26"/>
      <c r="AJ33" s="26"/>
      <c r="AM33" s="26"/>
      <c r="AP33" s="26"/>
      <c r="AS33" s="26"/>
      <c r="AV33" s="26"/>
      <c r="AY33" s="26"/>
      <c r="BB33" s="26"/>
      <c r="BE33" s="26"/>
      <c r="BH33" s="26"/>
      <c r="BK33" s="26"/>
      <c r="BN33" s="26"/>
      <c r="BQ33" s="26"/>
      <c r="BT33" s="26"/>
    </row>
    <row r="34">
      <c r="A34" s="3" t="str">
        <f/>
        <v>sl0play</v>
      </c>
      <c r="B34" s="3"/>
      <c r="C34" s="3"/>
      <c r="D34" s="19" t="s">
        <v>251</v>
      </c>
      <c r="E34" s="20" t="s">
        <v>135</v>
      </c>
      <c r="F34" s="21" t="s">
        <v>252</v>
      </c>
      <c r="G34" s="3" t="s">
        <v>244</v>
      </c>
      <c r="H34" s="3" t="s">
        <v>253</v>
      </c>
      <c r="I34" s="32" t="s">
        <v>254</v>
      </c>
      <c r="J34" s="25" t="s">
        <v>141</v>
      </c>
      <c r="K34" s="25"/>
      <c r="L34" s="3" t="s">
        <v>137</v>
      </c>
      <c r="M34" s="3" t="s">
        <v>139</v>
      </c>
      <c r="N34" s="25" t="s">
        <v>255</v>
      </c>
      <c r="O34" s="23"/>
      <c r="P34" s="27" t="s">
        <v>83</v>
      </c>
      <c r="Q34" s="27" t="s">
        <v>139</v>
      </c>
      <c r="R34" s="23" t="s">
        <v>246</v>
      </c>
      <c r="S34" s="25"/>
      <c r="T34" s="3"/>
      <c r="V34" s="25"/>
      <c r="W34" s="25"/>
      <c r="X34" s="58"/>
      <c r="Y34" s="58"/>
      <c r="Z34" s="59"/>
      <c r="AA34" s="60"/>
      <c r="AB34" s="61"/>
      <c r="AC34" s="58"/>
      <c r="AD34" s="59"/>
      <c r="AE34" s="61"/>
      <c r="AF34" s="58"/>
      <c r="AG34" s="59"/>
      <c r="AH34" s="62"/>
      <c r="AI34" s="63"/>
      <c r="AJ34" s="59"/>
      <c r="AK34" s="62"/>
      <c r="AL34" s="63"/>
      <c r="AM34" s="59"/>
      <c r="AN34" s="62"/>
      <c r="AO34" s="63"/>
      <c r="AP34" s="59"/>
      <c r="AQ34" s="62"/>
      <c r="AR34" s="63"/>
      <c r="AS34" s="59"/>
      <c r="AT34" s="62"/>
      <c r="AU34" s="63"/>
      <c r="AV34" s="59"/>
      <c r="AW34" s="62"/>
      <c r="AX34" s="63"/>
      <c r="AY34" s="59"/>
      <c r="AZ34" s="62"/>
      <c r="BA34" s="63"/>
      <c r="BB34" s="59"/>
      <c r="BC34" s="62"/>
      <c r="BD34" s="63"/>
      <c r="BE34" s="59"/>
      <c r="BF34" s="62"/>
      <c r="BG34" s="63"/>
      <c r="BH34" s="59"/>
      <c r="BI34" s="62"/>
      <c r="BJ34" s="63"/>
      <c r="BK34" s="59"/>
      <c r="BL34" s="62"/>
      <c r="BM34" s="63"/>
      <c r="BN34" s="59"/>
      <c r="BO34" s="62"/>
      <c r="BP34" s="63"/>
      <c r="BQ34" s="59"/>
      <c r="BR34" s="62"/>
      <c r="BS34" s="63"/>
      <c r="BT34" s="59"/>
    </row>
    <row r="35">
      <c r="A35" s="3" t="str">
        <f/>
        <v xml:space="preserve">TheFranswer horrorchamp</v>
      </c>
      <c r="B35" s="3"/>
      <c r="C35" s="3"/>
      <c r="D35" t="s">
        <v>256</v>
      </c>
      <c r="E35" s="37" t="s">
        <v>257</v>
      </c>
      <c r="F35" s="21" t="s">
        <v>258</v>
      </c>
      <c r="G35" s="39"/>
      <c r="I35" s="64" t="s">
        <v>95</v>
      </c>
      <c r="J35" s="26"/>
      <c r="K35" s="65"/>
      <c r="L35" s="3" t="s">
        <v>91</v>
      </c>
      <c r="M35" s="57" t="s">
        <v>259</v>
      </c>
      <c r="N35" s="26"/>
      <c r="O35" s="26"/>
      <c r="P35" s="3" t="s">
        <v>101</v>
      </c>
      <c r="Q35" t="s">
        <v>260</v>
      </c>
      <c r="R35" s="26"/>
      <c r="S35" s="26"/>
      <c r="T35" s="3" t="s">
        <v>143</v>
      </c>
      <c r="U35" s="3" t="s">
        <v>261</v>
      </c>
      <c r="V35" s="25" t="s">
        <v>262</v>
      </c>
      <c r="W35" s="25"/>
      <c r="Z35" s="26"/>
      <c r="AA35" s="26"/>
      <c r="AD35" s="26"/>
      <c r="AG35" s="26"/>
      <c r="AJ35" s="26"/>
      <c r="AM35" s="26"/>
      <c r="AP35" s="26"/>
      <c r="AS35" s="26"/>
      <c r="AV35" s="26"/>
      <c r="AY35" s="26"/>
      <c r="BB35" s="26"/>
      <c r="BE35" s="26"/>
      <c r="BH35" s="26"/>
      <c r="BK35" s="26"/>
      <c r="BN35" s="26"/>
      <c r="BQ35" s="26"/>
      <c r="BT35" s="26"/>
    </row>
    <row r="36">
      <c r="A36" s="3" t="str">
        <f/>
        <v>TimeLine</v>
      </c>
      <c r="B36" s="3"/>
      <c r="C36" s="3"/>
      <c r="D36" s="42" t="s">
        <v>263</v>
      </c>
      <c r="E36" s="48" t="s">
        <v>264</v>
      </c>
      <c r="F36" s="21" t="s">
        <v>265</v>
      </c>
      <c r="G36" s="3"/>
      <c r="H36" s="3" t="s">
        <v>251</v>
      </c>
      <c r="I36" s="3" t="s">
        <v>79</v>
      </c>
      <c r="J36" s="25" t="s">
        <v>149</v>
      </c>
      <c r="K36" s="25"/>
      <c r="L36" s="3" t="s">
        <v>266</v>
      </c>
      <c r="M36" s="3" t="s">
        <v>79</v>
      </c>
      <c r="N36" s="25" t="s">
        <v>131</v>
      </c>
      <c r="O36" s="25"/>
      <c r="P36" s="3" t="s">
        <v>267</v>
      </c>
      <c r="Q36" s="3" t="s">
        <v>268</v>
      </c>
      <c r="R36" s="25"/>
      <c r="S36" s="23"/>
      <c r="T36" s="21" t="s">
        <v>269</v>
      </c>
      <c r="U36" s="27" t="s">
        <v>270</v>
      </c>
      <c r="V36" s="23" t="s">
        <v>149</v>
      </c>
      <c r="W36" s="25" t="s">
        <v>240</v>
      </c>
      <c r="Z36" s="26"/>
      <c r="AA36" s="26"/>
      <c r="AD36" s="26"/>
      <c r="AG36" s="26"/>
      <c r="AJ36" s="26"/>
      <c r="AM36" s="26"/>
      <c r="AP36" s="26"/>
      <c r="AS36" s="26"/>
      <c r="AV36" s="26"/>
      <c r="AY36" s="26"/>
      <c r="BB36" s="26"/>
      <c r="BE36" s="26"/>
      <c r="BH36" s="26"/>
      <c r="BK36" s="26"/>
      <c r="BN36" s="26"/>
      <c r="BQ36" s="26"/>
      <c r="BT36" s="26"/>
    </row>
    <row r="37">
      <c r="A37" s="3" t="str">
        <f/>
        <v>ugle43</v>
      </c>
      <c r="B37" s="3"/>
      <c r="C37" s="3"/>
      <c r="D37" s="42" t="s">
        <v>105</v>
      </c>
      <c r="E37" s="48" t="s">
        <v>264</v>
      </c>
      <c r="F37" s="21" t="s">
        <v>271</v>
      </c>
      <c r="G37" s="3"/>
      <c r="H37" s="3" t="s">
        <v>99</v>
      </c>
      <c r="I37" s="3" t="s">
        <v>79</v>
      </c>
      <c r="J37" s="25" t="s">
        <v>149</v>
      </c>
      <c r="K37" s="41"/>
      <c r="L37" s="3" t="s">
        <v>272</v>
      </c>
      <c r="M37" s="3" t="s">
        <v>79</v>
      </c>
      <c r="N37" s="25" t="s">
        <v>273</v>
      </c>
      <c r="O37" s="41"/>
      <c r="P37" s="3" t="s">
        <v>274</v>
      </c>
      <c r="Q37" s="3" t="s">
        <v>275</v>
      </c>
      <c r="R37" s="25" t="s">
        <v>149</v>
      </c>
      <c r="S37" s="24"/>
      <c r="T37" s="21" t="s">
        <v>276</v>
      </c>
      <c r="U37" s="27" t="s">
        <v>84</v>
      </c>
      <c r="V37" s="23" t="s">
        <v>138</v>
      </c>
      <c r="W37" s="24"/>
      <c r="X37" s="27" t="s">
        <v>277</v>
      </c>
      <c r="Y37" s="27" t="s">
        <v>79</v>
      </c>
      <c r="Z37" s="26" t="s">
        <v>240</v>
      </c>
      <c r="AA37" s="26"/>
      <c r="AD37" s="26"/>
      <c r="AG37" s="26"/>
      <c r="AJ37" s="26"/>
      <c r="AM37" s="26"/>
      <c r="AP37" s="26"/>
      <c r="AS37" s="26"/>
      <c r="AV37" s="26"/>
      <c r="AY37" s="26"/>
      <c r="BB37" s="26"/>
      <c r="BE37" s="26"/>
      <c r="BH37" s="26"/>
      <c r="BK37" s="26"/>
      <c r="BN37" s="26"/>
      <c r="BQ37" s="26"/>
      <c r="BT37" s="26"/>
    </row>
    <row r="38">
      <c r="A38" s="3" t="str">
        <f/>
        <v>Venche</v>
      </c>
      <c r="B38" s="3"/>
      <c r="C38" s="3"/>
      <c r="D38" s="19" t="s">
        <v>116</v>
      </c>
      <c r="E38" s="28" t="s">
        <v>248</v>
      </c>
      <c r="F38" s="27" t="s">
        <v>278</v>
      </c>
      <c r="G38" s="3"/>
      <c r="H38" s="3" t="s">
        <v>81</v>
      </c>
      <c r="I38" s="3" t="s">
        <v>279</v>
      </c>
      <c r="J38" s="23"/>
      <c r="K38" s="24"/>
      <c r="L38" s="3" t="s">
        <v>81</v>
      </c>
      <c r="M38" s="3" t="s">
        <v>280</v>
      </c>
      <c r="N38" s="25"/>
      <c r="O38" s="41"/>
      <c r="P38" s="3" t="s">
        <v>102</v>
      </c>
      <c r="Q38" s="3" t="s">
        <v>245</v>
      </c>
      <c r="R38" s="25"/>
      <c r="S38" s="24"/>
      <c r="T38" s="27" t="s">
        <v>87</v>
      </c>
      <c r="U38" s="27" t="s">
        <v>281</v>
      </c>
      <c r="V38" s="23"/>
      <c r="W38" s="24"/>
      <c r="X38" s="27" t="s">
        <v>143</v>
      </c>
      <c r="Y38" s="21" t="s">
        <v>245</v>
      </c>
      <c r="Z38" s="25"/>
      <c r="AA38" s="25"/>
      <c r="AB38" s="21" t="s">
        <v>83</v>
      </c>
      <c r="AC38" t="s">
        <v>245</v>
      </c>
      <c r="AD38" s="25" t="s">
        <v>231</v>
      </c>
      <c r="AE38" s="3"/>
      <c r="AG38" s="25"/>
      <c r="AH38" s="3"/>
      <c r="AJ38" s="25"/>
      <c r="AK38" s="3"/>
      <c r="AM38" s="25"/>
      <c r="AN38" s="3"/>
      <c r="AP38" s="25"/>
      <c r="AQ38" s="3"/>
      <c r="AS38" s="25"/>
      <c r="AT38" s="3"/>
      <c r="AV38" s="25"/>
      <c r="AW38" s="3"/>
      <c r="AY38" s="25"/>
      <c r="AZ38" s="3"/>
      <c r="BB38" s="25"/>
      <c r="BC38" s="3"/>
      <c r="BE38" s="25"/>
      <c r="BF38" s="3"/>
      <c r="BH38" s="25"/>
      <c r="BI38" s="3"/>
      <c r="BK38" s="25"/>
      <c r="BL38" s="3"/>
      <c r="BN38" s="25"/>
      <c r="BO38" s="3"/>
      <c r="BQ38" s="25"/>
      <c r="BR38" s="3"/>
      <c r="BT38" s="25"/>
    </row>
    <row r="39">
      <c r="A39" s="3" t="str">
        <f/>
        <v>vortec42</v>
      </c>
      <c r="B39" s="3"/>
      <c r="C39" s="3"/>
      <c r="D39" s="42" t="s">
        <v>118</v>
      </c>
      <c r="E39" s="48" t="s">
        <v>111</v>
      </c>
      <c r="F39" s="21" t="s">
        <v>282</v>
      </c>
      <c r="G39" s="21"/>
      <c r="H39" s="3" t="s">
        <v>241</v>
      </c>
      <c r="I39" s="3" t="s">
        <v>283</v>
      </c>
      <c r="J39" s="25"/>
      <c r="K39" s="41"/>
      <c r="L39" s="3" t="s">
        <v>284</v>
      </c>
      <c r="M39" s="57" t="s">
        <v>285</v>
      </c>
      <c r="N39" s="25"/>
      <c r="O39" s="24"/>
      <c r="P39" s="27" t="s">
        <v>286</v>
      </c>
      <c r="Q39" s="27" t="s">
        <v>287</v>
      </c>
      <c r="R39" s="23"/>
      <c r="S39" s="41"/>
      <c r="T39" s="21" t="s">
        <v>288</v>
      </c>
      <c r="U39" s="21" t="s">
        <v>289</v>
      </c>
      <c r="V39" s="25"/>
      <c r="W39" s="41"/>
      <c r="X39" s="3" t="s">
        <v>290</v>
      </c>
      <c r="Y39" s="3" t="s">
        <v>84</v>
      </c>
      <c r="Z39" s="25" t="s">
        <v>138</v>
      </c>
      <c r="AA39" s="25"/>
      <c r="AB39" s="3" t="s">
        <v>291</v>
      </c>
      <c r="AC39" s="3" t="s">
        <v>292</v>
      </c>
      <c r="AD39" s="25" t="s">
        <v>240</v>
      </c>
      <c r="AE39" s="3"/>
      <c r="AG39" s="25"/>
      <c r="AH39" s="3"/>
      <c r="AJ39" s="25"/>
      <c r="AK39" s="3"/>
      <c r="AM39" s="25"/>
      <c r="AN39" s="3"/>
      <c r="AP39" s="25"/>
      <c r="AQ39" s="3"/>
      <c r="AS39" s="25"/>
      <c r="AT39" s="3"/>
      <c r="AV39" s="25"/>
      <c r="AW39" s="3"/>
      <c r="AY39" s="25"/>
      <c r="AZ39" s="3"/>
      <c r="BB39" s="25"/>
      <c r="BC39" s="3"/>
      <c r="BE39" s="25"/>
      <c r="BF39" s="3"/>
      <c r="BH39" s="25"/>
      <c r="BI39" s="3"/>
      <c r="BK39" s="25"/>
      <c r="BL39" s="3"/>
      <c r="BN39" s="25"/>
      <c r="BO39" s="3"/>
      <c r="BQ39" s="25"/>
      <c r="BR39" s="3"/>
      <c r="BT39" s="25"/>
    </row>
    <row r="40">
      <c r="A40" s="3" t="str">
        <f/>
        <v>w1r3d</v>
      </c>
      <c r="B40" s="3"/>
      <c r="C40" s="3"/>
      <c r="D40" s="19" t="s">
        <v>107</v>
      </c>
      <c r="E40" s="46" t="s">
        <v>191</v>
      </c>
      <c r="F40" s="21" t="s">
        <v>293</v>
      </c>
      <c r="G40" s="27"/>
      <c r="H40" s="3" t="s">
        <v>263</v>
      </c>
      <c r="I40" s="3" t="s">
        <v>79</v>
      </c>
      <c r="J40" s="25"/>
      <c r="K40" s="41"/>
      <c r="L40" s="3" t="s">
        <v>194</v>
      </c>
      <c r="M40" s="3" t="s">
        <v>79</v>
      </c>
      <c r="N40" s="25"/>
      <c r="O40" s="41"/>
      <c r="P40" s="3" t="s">
        <v>193</v>
      </c>
      <c r="Q40" s="3" t="s">
        <v>79</v>
      </c>
      <c r="R40" s="25"/>
      <c r="S40" s="41"/>
      <c r="T40" s="21" t="s">
        <v>294</v>
      </c>
      <c r="U40" s="3" t="s">
        <v>79</v>
      </c>
      <c r="V40" s="25"/>
      <c r="W40" s="41"/>
      <c r="X40" s="3" t="s">
        <v>295</v>
      </c>
      <c r="Y40" s="27" t="s">
        <v>79</v>
      </c>
      <c r="Z40" s="23"/>
      <c r="AA40" s="23"/>
      <c r="AB40" s="27" t="s">
        <v>296</v>
      </c>
      <c r="AC40" s="3" t="s">
        <v>84</v>
      </c>
      <c r="AD40" s="23" t="s">
        <v>138</v>
      </c>
      <c r="AE40" s="27" t="s">
        <v>296</v>
      </c>
      <c r="AF40" s="27" t="s">
        <v>84</v>
      </c>
      <c r="AG40" s="23" t="s">
        <v>262</v>
      </c>
      <c r="AH40" s="3"/>
      <c r="AJ40" s="25"/>
      <c r="AK40" s="3"/>
      <c r="AM40" s="25"/>
      <c r="AN40" s="3"/>
      <c r="AP40" s="25"/>
      <c r="AQ40" s="3"/>
      <c r="AS40" s="25"/>
      <c r="AT40" s="3"/>
      <c r="AV40" s="25"/>
      <c r="AW40" s="3"/>
      <c r="AY40" s="25"/>
      <c r="AZ40" s="3"/>
      <c r="BB40" s="25"/>
      <c r="BC40" s="3"/>
      <c r="BE40" s="25"/>
      <c r="BF40" s="3"/>
      <c r="BH40" s="25"/>
      <c r="BI40" s="3"/>
      <c r="BK40" s="25"/>
      <c r="BL40" s="3"/>
      <c r="BN40" s="25"/>
      <c r="BO40" s="3"/>
      <c r="BQ40" s="25"/>
      <c r="BR40" s="3"/>
      <c r="BT40" s="25"/>
    </row>
    <row r="41">
      <c r="A41" s="3">
        <f/>
        <v>0</v>
      </c>
      <c r="B41" s="3"/>
      <c r="C41" s="3"/>
      <c r="D41" s="19" t="s">
        <v>83</v>
      </c>
      <c r="E41" s="28" t="s">
        <v>297</v>
      </c>
      <c r="F41" s="21" t="s">
        <v>298</v>
      </c>
      <c r="G41" s="21"/>
      <c r="H41" s="21" t="s">
        <v>74</v>
      </c>
      <c r="I41" s="3" t="s">
        <v>299</v>
      </c>
      <c r="J41" s="25"/>
      <c r="K41" s="41"/>
      <c r="L41" s="31" t="s">
        <v>94</v>
      </c>
      <c r="M41" s="30" t="s">
        <v>95</v>
      </c>
      <c r="N41" s="25"/>
      <c r="O41" s="41"/>
      <c r="P41" s="21" t="s">
        <v>91</v>
      </c>
      <c r="Q41" s="21" t="s">
        <v>300</v>
      </c>
      <c r="R41" s="25"/>
      <c r="S41" s="41"/>
      <c r="T41" s="27" t="s">
        <v>104</v>
      </c>
      <c r="U41" s="21" t="s">
        <v>301</v>
      </c>
      <c r="V41" s="25"/>
      <c r="W41" s="41"/>
      <c r="X41" s="49" t="s">
        <v>163</v>
      </c>
      <c r="Y41" s="3" t="s">
        <v>84</v>
      </c>
      <c r="Z41" s="25" t="s">
        <v>138</v>
      </c>
      <c r="AA41" s="25"/>
      <c r="AB41" s="32" t="s">
        <v>89</v>
      </c>
      <c r="AC41" s="3" t="s">
        <v>84</v>
      </c>
      <c r="AD41" s="25" t="s">
        <v>302</v>
      </c>
      <c r="AE41" s="32" t="s">
        <v>80</v>
      </c>
      <c r="AF41" s="3" t="s">
        <v>84</v>
      </c>
      <c r="AG41" s="25" t="s">
        <v>262</v>
      </c>
      <c r="AH41" s="32"/>
      <c r="AJ41" s="25"/>
      <c r="AK41" s="32"/>
      <c r="AM41" s="25"/>
      <c r="AN41" s="32"/>
      <c r="AP41" s="25"/>
      <c r="AQ41" s="32"/>
      <c r="AS41" s="25"/>
      <c r="AT41" s="32"/>
      <c r="AV41" s="25"/>
      <c r="AW41" s="32"/>
      <c r="AY41" s="25"/>
      <c r="AZ41" s="32"/>
      <c r="BB41" s="25"/>
      <c r="BC41" s="32"/>
      <c r="BE41" s="25"/>
      <c r="BF41" s="32"/>
      <c r="BH41" s="25"/>
      <c r="BI41" s="32"/>
      <c r="BK41" s="25"/>
      <c r="BL41" s="32"/>
      <c r="BN41" s="25"/>
      <c r="BO41" s="32"/>
      <c r="BQ41" s="25"/>
      <c r="BR41" s="32"/>
      <c r="BT41" s="25"/>
    </row>
    <row r="42">
      <c r="A42" s="3">
        <f/>
        <v>0</v>
      </c>
      <c r="B42" s="3"/>
      <c r="C42" s="3"/>
      <c r="D42" s="19" t="s">
        <v>143</v>
      </c>
      <c r="E42" s="20" t="s">
        <v>191</v>
      </c>
      <c r="F42" s="21" t="s">
        <v>303</v>
      </c>
      <c r="G42" s="21"/>
      <c r="H42" s="27" t="s">
        <v>95</v>
      </c>
      <c r="I42" s="30" t="s">
        <v>95</v>
      </c>
      <c r="J42" s="23"/>
      <c r="K42" s="24"/>
      <c r="L42" s="27" t="s">
        <v>95</v>
      </c>
      <c r="M42" s="30" t="s">
        <v>95</v>
      </c>
      <c r="N42" s="23"/>
      <c r="O42" s="41"/>
      <c r="P42" s="21" t="s">
        <v>101</v>
      </c>
      <c r="Q42" s="3" t="s">
        <v>304</v>
      </c>
      <c r="R42" s="25"/>
      <c r="S42" s="41"/>
      <c r="T42" s="3" t="s">
        <v>82</v>
      </c>
      <c r="U42" s="3" t="s">
        <v>84</v>
      </c>
      <c r="V42" s="25" t="s">
        <v>96</v>
      </c>
      <c r="W42" s="41"/>
      <c r="X42" s="3" t="s">
        <v>78</v>
      </c>
      <c r="Y42" s="3" t="s">
        <v>79</v>
      </c>
      <c r="Z42" s="25"/>
      <c r="AA42" s="25"/>
      <c r="AB42" s="3" t="s">
        <v>167</v>
      </c>
      <c r="AC42" s="3" t="s">
        <v>79</v>
      </c>
      <c r="AD42" s="25"/>
      <c r="AE42" s="27" t="s">
        <v>142</v>
      </c>
      <c r="AF42" s="27" t="s">
        <v>79</v>
      </c>
      <c r="AG42" s="23" t="s">
        <v>231</v>
      </c>
      <c r="AH42" s="3"/>
      <c r="AI42" s="3"/>
      <c r="AJ42" s="25"/>
      <c r="AK42" s="3"/>
      <c r="AL42" s="3"/>
      <c r="AM42" s="25"/>
      <c r="AN42" s="3"/>
      <c r="AO42" s="3"/>
      <c r="AP42" s="25"/>
      <c r="AQ42" s="3"/>
      <c r="AR42" s="3"/>
      <c r="AS42" s="25"/>
      <c r="AT42" s="3"/>
      <c r="AU42" s="3"/>
      <c r="AV42" s="25"/>
      <c r="AW42" s="3"/>
      <c r="AX42" s="3"/>
      <c r="AY42" s="25"/>
      <c r="AZ42" s="3"/>
      <c r="BA42" s="3"/>
      <c r="BB42" s="25"/>
      <c r="BC42" s="3"/>
      <c r="BD42" s="3"/>
      <c r="BE42" s="25"/>
      <c r="BF42" s="3"/>
      <c r="BG42" s="3"/>
      <c r="BH42" s="25"/>
      <c r="BI42" s="3"/>
      <c r="BJ42" s="3"/>
      <c r="BK42" s="25"/>
      <c r="BL42" s="3"/>
      <c r="BM42" s="3"/>
      <c r="BN42" s="25"/>
      <c r="BO42" s="3"/>
      <c r="BP42" s="3"/>
      <c r="BQ42" s="25"/>
      <c r="BR42" s="3"/>
      <c r="BT42" s="25"/>
    </row>
    <row r="43">
      <c r="A43" s="3">
        <f/>
        <v>0</v>
      </c>
      <c r="B43" s="3"/>
      <c r="C43" s="3"/>
      <c r="D43" s="42" t="s">
        <v>97</v>
      </c>
      <c r="E43" s="46" t="s">
        <v>305</v>
      </c>
      <c r="F43" s="21" t="s">
        <v>306</v>
      </c>
      <c r="G43" s="66" t="s">
        <v>307</v>
      </c>
      <c r="H43" s="27" t="s">
        <v>308</v>
      </c>
      <c r="I43" s="27" t="s">
        <v>299</v>
      </c>
      <c r="J43" s="23"/>
      <c r="K43" s="23"/>
      <c r="L43" s="27" t="s">
        <v>309</v>
      </c>
      <c r="M43" s="27" t="s">
        <v>310</v>
      </c>
      <c r="N43" s="23"/>
      <c r="O43" s="23"/>
      <c r="P43" s="27" t="s">
        <v>311</v>
      </c>
      <c r="Q43" s="27" t="s">
        <v>84</v>
      </c>
      <c r="R43" s="23" t="s">
        <v>138</v>
      </c>
      <c r="S43" s="23"/>
      <c r="T43" s="21" t="s">
        <v>312</v>
      </c>
      <c r="U43" s="3" t="s">
        <v>79</v>
      </c>
      <c r="V43" s="23"/>
      <c r="W43" s="23"/>
      <c r="X43" s="27" t="s">
        <v>313</v>
      </c>
      <c r="Y43" s="27" t="s">
        <v>79</v>
      </c>
      <c r="Z43" s="23" t="s">
        <v>149</v>
      </c>
      <c r="AA43" s="23"/>
      <c r="AB43" s="27" t="s">
        <v>314</v>
      </c>
      <c r="AC43" s="27" t="s">
        <v>79</v>
      </c>
      <c r="AD43" s="23"/>
      <c r="AE43" s="27" t="s">
        <v>224</v>
      </c>
      <c r="AF43" s="27" t="s">
        <v>84</v>
      </c>
      <c r="AG43" s="23" t="s">
        <v>315</v>
      </c>
      <c r="AH43" s="3"/>
      <c r="AI43" s="3"/>
      <c r="AJ43" s="25"/>
      <c r="AK43" s="3"/>
      <c r="AL43" s="3"/>
      <c r="AM43" s="25"/>
      <c r="AN43" s="3"/>
      <c r="AO43" s="3"/>
      <c r="AP43" s="25"/>
      <c r="AQ43" s="3"/>
      <c r="AR43" s="3"/>
      <c r="AS43" s="25"/>
      <c r="AT43" s="3"/>
      <c r="AU43" s="3"/>
      <c r="AV43" s="25"/>
      <c r="AW43" s="3"/>
      <c r="AX43" s="3"/>
      <c r="AY43" s="25"/>
      <c r="AZ43" s="3"/>
      <c r="BA43" s="3"/>
      <c r="BB43" s="25"/>
      <c r="BC43" s="3"/>
      <c r="BD43" s="3"/>
      <c r="BE43" s="25"/>
      <c r="BF43" s="3"/>
      <c r="BG43" s="3"/>
      <c r="BH43" s="25"/>
      <c r="BI43" s="3"/>
      <c r="BJ43" s="3"/>
      <c r="BK43" s="25"/>
      <c r="BL43" s="3"/>
      <c r="BM43" s="3"/>
      <c r="BN43" s="25"/>
      <c r="BO43" s="3"/>
      <c r="BP43" s="3"/>
      <c r="BQ43" s="25"/>
      <c r="BR43" s="3"/>
      <c r="BT43" s="25"/>
    </row>
    <row r="44">
      <c r="A44">
        <f/>
        <v>0</v>
      </c>
      <c r="D44" s="42" t="s">
        <v>114</v>
      </c>
      <c r="E44" s="46" t="s">
        <v>316</v>
      </c>
      <c r="F44" s="21" t="s">
        <v>317</v>
      </c>
      <c r="G44" s="27"/>
      <c r="H44" s="27" t="s">
        <v>95</v>
      </c>
      <c r="I44" s="30" t="s">
        <v>95</v>
      </c>
      <c r="J44" s="23" t="s">
        <v>96</v>
      </c>
      <c r="K44" s="23"/>
      <c r="L44" s="27" t="s">
        <v>188</v>
      </c>
      <c r="M44" s="30" t="s">
        <v>95</v>
      </c>
      <c r="N44" s="23"/>
      <c r="O44" s="25"/>
      <c r="P44" s="3" t="s">
        <v>95</v>
      </c>
      <c r="Q44" s="27" t="s">
        <v>95</v>
      </c>
      <c r="R44" s="25"/>
      <c r="S44" s="23"/>
      <c r="T44" s="21" t="s">
        <v>95</v>
      </c>
      <c r="U44" s="27" t="s">
        <v>95</v>
      </c>
      <c r="V44" s="23"/>
      <c r="W44" s="23"/>
      <c r="X44" s="27" t="s">
        <v>95</v>
      </c>
      <c r="Y44" s="27" t="s">
        <v>95</v>
      </c>
      <c r="Z44" s="25"/>
      <c r="AA44" s="25"/>
      <c r="AB44" s="3" t="s">
        <v>318</v>
      </c>
      <c r="AC44" s="3" t="s">
        <v>84</v>
      </c>
      <c r="AD44" s="25" t="s">
        <v>319</v>
      </c>
      <c r="AE44" s="3" t="s">
        <v>318</v>
      </c>
      <c r="AF44" s="3" t="s">
        <v>79</v>
      </c>
      <c r="AG44" s="25" t="s">
        <v>149</v>
      </c>
      <c r="AH44" s="27" t="s">
        <v>95</v>
      </c>
      <c r="AI44" s="3" t="s">
        <v>95</v>
      </c>
      <c r="AJ44" s="23" t="s">
        <v>240</v>
      </c>
      <c r="AK44" s="3"/>
      <c r="AL44" s="3"/>
      <c r="AM44" s="25"/>
      <c r="AN44" s="3"/>
      <c r="AO44" s="3"/>
      <c r="AP44" s="25"/>
      <c r="AQ44" s="3"/>
      <c r="AR44" s="3"/>
      <c r="AS44" s="25"/>
      <c r="AT44" s="3"/>
      <c r="AU44" s="3"/>
      <c r="AV44" s="25"/>
      <c r="AW44" s="3"/>
      <c r="AX44" s="3"/>
      <c r="AY44" s="25"/>
      <c r="AZ44" s="3"/>
      <c r="BA44" s="3"/>
      <c r="BB44" s="25"/>
      <c r="BC44" s="3"/>
      <c r="BD44" s="3"/>
      <c r="BE44" s="25"/>
      <c r="BF44" s="3"/>
      <c r="BG44" s="3"/>
      <c r="BH44" s="25"/>
      <c r="BI44" s="3"/>
      <c r="BJ44" s="3"/>
      <c r="BK44" s="25"/>
      <c r="BL44" s="3"/>
      <c r="BM44" s="3"/>
      <c r="BN44" s="25"/>
      <c r="BO44" s="3"/>
      <c r="BP44" s="3"/>
      <c r="BQ44" s="25"/>
      <c r="BR44" s="3"/>
      <c r="BS44" s="3"/>
      <c r="BT44" s="25"/>
    </row>
    <row r="45">
      <c r="A45">
        <f/>
        <v>0</v>
      </c>
      <c r="D45" s="19" t="s">
        <v>104</v>
      </c>
      <c r="E45" s="28" t="s">
        <v>219</v>
      </c>
      <c r="F45" s="27" t="s">
        <v>320</v>
      </c>
      <c r="G45" s="27"/>
      <c r="H45" s="27" t="s">
        <v>100</v>
      </c>
      <c r="I45" s="27" t="s">
        <v>84</v>
      </c>
      <c r="J45" s="23" t="s">
        <v>321</v>
      </c>
      <c r="K45" s="24"/>
      <c r="L45" s="27" t="s">
        <v>74</v>
      </c>
      <c r="M45" s="27" t="s">
        <v>84</v>
      </c>
      <c r="N45" s="23" t="s">
        <v>96</v>
      </c>
      <c r="O45" s="24"/>
      <c r="P45" s="27" t="s">
        <v>241</v>
      </c>
      <c r="Q45" s="27" t="s">
        <v>84</v>
      </c>
      <c r="R45" s="23" t="s">
        <v>96</v>
      </c>
      <c r="S45" s="24"/>
      <c r="T45" s="21" t="s">
        <v>87</v>
      </c>
      <c r="U45" s="27" t="s">
        <v>79</v>
      </c>
      <c r="V45" s="23"/>
      <c r="W45" s="24"/>
      <c r="X45" s="27" t="s">
        <v>87</v>
      </c>
      <c r="Y45" s="27" t="s">
        <v>79</v>
      </c>
      <c r="Z45" s="25"/>
      <c r="AA45" s="41"/>
      <c r="AB45" s="21" t="s">
        <v>114</v>
      </c>
      <c r="AC45" s="27" t="s">
        <v>79</v>
      </c>
      <c r="AD45" s="25"/>
      <c r="AE45" s="21" t="s">
        <v>87</v>
      </c>
      <c r="AF45" s="27" t="s">
        <v>79</v>
      </c>
      <c r="AG45" s="25"/>
      <c r="AH45" s="21" t="s">
        <v>133</v>
      </c>
      <c r="AI45" s="27" t="s">
        <v>79</v>
      </c>
      <c r="AJ45" s="25"/>
      <c r="AK45" s="21" t="s">
        <v>133</v>
      </c>
      <c r="AL45" t="s">
        <v>79</v>
      </c>
      <c r="AM45" s="25" t="s">
        <v>231</v>
      </c>
      <c r="AN45" s="21"/>
      <c r="AO45" s="21"/>
      <c r="AP45" s="25"/>
      <c r="AQ45" s="21"/>
      <c r="AR45" s="21"/>
      <c r="AS45" s="25"/>
      <c r="AT45" s="21"/>
      <c r="AU45" s="21"/>
      <c r="AV45" s="25"/>
      <c r="AW45" s="21"/>
      <c r="AX45" s="21"/>
      <c r="AY45" s="25"/>
      <c r="AZ45" s="21"/>
      <c r="BA45" s="21"/>
      <c r="BB45" s="25"/>
      <c r="BC45" s="21"/>
      <c r="BD45" s="21"/>
      <c r="BE45" s="25"/>
      <c r="BF45" s="21"/>
      <c r="BG45" s="21"/>
      <c r="BH45" s="25"/>
      <c r="BI45" s="21"/>
      <c r="BJ45" s="21"/>
      <c r="BK45" s="25"/>
      <c r="BL45" s="21"/>
      <c r="BM45" s="21"/>
      <c r="BN45" s="25"/>
      <c r="BO45" s="21"/>
      <c r="BP45" s="21"/>
      <c r="BQ45" s="25"/>
      <c r="BR45" s="21"/>
      <c r="BS45" s="21"/>
      <c r="BT45" s="25"/>
    </row>
    <row r="46">
      <c r="A46">
        <f/>
        <v>0</v>
      </c>
      <c r="D46" s="19" t="s">
        <v>78</v>
      </c>
      <c r="E46" s="28" t="s">
        <v>219</v>
      </c>
      <c r="F46" s="27" t="s">
        <v>322</v>
      </c>
      <c r="G46" s="27"/>
      <c r="H46" s="3" t="s">
        <v>95</v>
      </c>
      <c r="I46" s="30" t="s">
        <v>95</v>
      </c>
      <c r="J46" s="25"/>
      <c r="K46" s="41"/>
      <c r="L46" s="3" t="s">
        <v>80</v>
      </c>
      <c r="M46" s="3" t="s">
        <v>79</v>
      </c>
      <c r="N46" s="25"/>
      <c r="O46" s="41"/>
      <c r="P46" s="3" t="s">
        <v>87</v>
      </c>
      <c r="Q46" s="3" t="s">
        <v>79</v>
      </c>
      <c r="R46" s="25"/>
      <c r="S46" s="41"/>
      <c r="T46" s="3" t="s">
        <v>87</v>
      </c>
      <c r="U46" s="3" t="s">
        <v>84</v>
      </c>
      <c r="V46" s="25" t="s">
        <v>96</v>
      </c>
      <c r="W46" s="41"/>
      <c r="X46" s="3" t="s">
        <v>87</v>
      </c>
      <c r="Y46" s="27" t="s">
        <v>79</v>
      </c>
      <c r="Z46" s="23"/>
      <c r="AA46" s="24"/>
      <c r="AB46" s="27" t="s">
        <v>83</v>
      </c>
      <c r="AC46" s="27" t="s">
        <v>79</v>
      </c>
      <c r="AD46" s="23"/>
      <c r="AE46" s="27" t="s">
        <v>86</v>
      </c>
      <c r="AF46" s="27" t="s">
        <v>79</v>
      </c>
      <c r="AG46" s="23"/>
      <c r="AH46" s="27" t="s">
        <v>133</v>
      </c>
      <c r="AI46" s="27" t="s">
        <v>79</v>
      </c>
      <c r="AJ46" s="23"/>
      <c r="AK46" s="27" t="s">
        <v>133</v>
      </c>
      <c r="AL46" s="27" t="s">
        <v>79</v>
      </c>
      <c r="AM46" s="23" t="s">
        <v>231</v>
      </c>
      <c r="AN46" s="3"/>
      <c r="AO46" s="3"/>
      <c r="AP46" s="25"/>
      <c r="AQ46" s="3"/>
      <c r="AR46" s="3"/>
      <c r="AS46" s="25"/>
      <c r="AT46" s="3"/>
      <c r="AU46" s="3"/>
      <c r="AV46" s="25"/>
      <c r="AW46" s="3"/>
      <c r="AX46" s="3"/>
      <c r="AY46" s="25"/>
      <c r="AZ46" s="3"/>
      <c r="BA46" s="3"/>
      <c r="BB46" s="25"/>
      <c r="BC46" s="3"/>
      <c r="BD46" s="3"/>
      <c r="BE46" s="25"/>
      <c r="BF46" s="3"/>
      <c r="BG46" s="3"/>
      <c r="BH46" s="25"/>
      <c r="BI46" s="3"/>
      <c r="BJ46" s="3"/>
      <c r="BK46" s="25"/>
      <c r="BL46" s="3"/>
      <c r="BM46" s="3"/>
      <c r="BN46" s="25"/>
      <c r="BO46" s="3"/>
      <c r="BP46" s="3"/>
      <c r="BQ46" s="25"/>
      <c r="BR46" s="3"/>
      <c r="BS46" s="3"/>
      <c r="BT46" s="25"/>
    </row>
    <row r="47">
      <c r="A47">
        <f/>
        <v>0</v>
      </c>
      <c r="D47" s="21"/>
      <c r="E47" s="21"/>
      <c r="F47" s="21"/>
      <c r="G47" s="21"/>
      <c r="H47" s="21"/>
      <c r="I47" s="3"/>
      <c r="J47" s="25"/>
      <c r="K47" s="41"/>
      <c r="L47" s="21"/>
      <c r="M47" s="21"/>
      <c r="N47" s="25"/>
      <c r="O47" s="41"/>
      <c r="P47" s="21"/>
      <c r="Q47" s="21"/>
      <c r="R47" s="25"/>
      <c r="S47" s="41"/>
      <c r="T47" s="21"/>
      <c r="U47" s="21"/>
      <c r="V47" s="25"/>
      <c r="W47" s="41"/>
      <c r="X47" s="21"/>
      <c r="Y47" s="21"/>
      <c r="Z47" s="25"/>
      <c r="AA47" s="41"/>
      <c r="AB47" s="21"/>
      <c r="AC47" s="21"/>
      <c r="AD47" s="25"/>
      <c r="AE47" s="21"/>
      <c r="AF47" s="21"/>
      <c r="AG47" s="25"/>
      <c r="AH47" s="21"/>
      <c r="AI47" s="21"/>
      <c r="AJ47" s="25"/>
      <c r="AK47" s="21"/>
      <c r="AL47" s="21"/>
      <c r="AM47" s="25"/>
      <c r="AN47" s="21"/>
      <c r="AO47" s="21"/>
      <c r="AP47" s="25"/>
      <c r="AQ47" s="21"/>
      <c r="AR47" s="21"/>
      <c r="AS47" s="25"/>
      <c r="AT47" s="21"/>
      <c r="AU47" s="21"/>
      <c r="AV47" s="25"/>
      <c r="AW47" s="21"/>
      <c r="AX47" s="21"/>
      <c r="AY47" s="25"/>
      <c r="AZ47" s="21"/>
      <c r="BA47" s="21"/>
      <c r="BB47" s="25"/>
      <c r="BC47" s="21"/>
      <c r="BD47" s="21"/>
      <c r="BE47" s="25"/>
      <c r="BF47" s="21"/>
      <c r="BG47" s="21"/>
      <c r="BH47" s="25"/>
      <c r="BI47" s="21"/>
      <c r="BJ47" s="21"/>
      <c r="BK47" s="25"/>
      <c r="BL47" s="21"/>
      <c r="BM47" s="21"/>
      <c r="BN47" s="25"/>
      <c r="BO47" s="21"/>
      <c r="BP47" s="21"/>
      <c r="BQ47" s="25"/>
      <c r="BR47" s="21"/>
      <c r="BS47" s="21"/>
      <c r="BT47" s="25"/>
    </row>
    <row r="48">
      <c r="A48">
        <f/>
        <v>0</v>
      </c>
      <c r="D48" s="21"/>
      <c r="E48" s="21"/>
      <c r="F48" s="21"/>
      <c r="G48" s="21"/>
      <c r="H48" s="21"/>
      <c r="I48" s="3"/>
      <c r="J48" s="25"/>
      <c r="K48" s="41"/>
      <c r="L48" s="21"/>
      <c r="M48" s="21"/>
      <c r="N48" s="25"/>
      <c r="O48" s="41"/>
      <c r="P48" s="21"/>
      <c r="Q48" s="21"/>
      <c r="R48" s="25"/>
      <c r="S48" s="41"/>
      <c r="T48" s="21"/>
      <c r="U48" s="21"/>
      <c r="V48" s="25"/>
      <c r="W48" s="41"/>
      <c r="X48" s="21"/>
      <c r="Y48" s="21"/>
      <c r="Z48" s="25"/>
      <c r="AA48" s="41"/>
      <c r="AB48" s="21"/>
      <c r="AC48" s="21"/>
      <c r="AD48" s="25"/>
      <c r="AE48" s="21"/>
      <c r="AF48" s="21"/>
      <c r="AG48" s="25"/>
      <c r="AH48" s="21"/>
      <c r="AI48" s="21"/>
      <c r="AJ48" s="25"/>
      <c r="AK48" s="21"/>
      <c r="AL48" s="21"/>
      <c r="AM48" s="25"/>
      <c r="AN48" s="21"/>
      <c r="AO48" s="21"/>
      <c r="AP48" s="25"/>
      <c r="AQ48" s="21"/>
      <c r="AR48" s="21"/>
      <c r="AS48" s="25"/>
      <c r="AT48" s="21"/>
      <c r="AU48" s="21"/>
      <c r="AV48" s="25"/>
      <c r="AW48" s="21"/>
      <c r="AX48" s="21"/>
      <c r="AY48" s="25"/>
      <c r="AZ48" s="21"/>
      <c r="BA48" s="21"/>
      <c r="BB48" s="25"/>
      <c r="BC48" s="21"/>
      <c r="BD48" s="21"/>
      <c r="BE48" s="25"/>
      <c r="BF48" s="21"/>
      <c r="BG48" s="21"/>
      <c r="BH48" s="25"/>
      <c r="BI48" s="21"/>
      <c r="BJ48" s="21"/>
      <c r="BK48" s="25"/>
      <c r="BL48" s="21"/>
      <c r="BM48" s="21"/>
      <c r="BN48" s="25"/>
      <c r="BO48" s="21"/>
      <c r="BP48" s="21"/>
      <c r="BQ48" s="25"/>
      <c r="BR48" s="21"/>
      <c r="BS48" s="21"/>
      <c r="BT48" s="25"/>
    </row>
    <row r="49">
      <c r="A49">
        <f/>
        <v>0</v>
      </c>
      <c r="D49" s="21"/>
      <c r="E49" s="21"/>
      <c r="F49" s="21"/>
      <c r="G49" s="21"/>
      <c r="H49" s="21"/>
      <c r="I49" s="3"/>
      <c r="J49" s="25"/>
      <c r="K49" s="41"/>
      <c r="L49" s="21"/>
      <c r="M49" s="21"/>
      <c r="N49" s="25"/>
      <c r="O49" s="41"/>
      <c r="P49" s="21"/>
      <c r="Q49" s="21"/>
      <c r="R49" s="25"/>
      <c r="S49" s="41"/>
      <c r="T49" s="21"/>
      <c r="U49" s="21"/>
      <c r="V49" s="25"/>
      <c r="W49" s="41"/>
      <c r="X49" s="21"/>
      <c r="Y49" s="21"/>
      <c r="Z49" s="25"/>
      <c r="AA49" s="41"/>
      <c r="AB49" s="21"/>
      <c r="AC49" s="21"/>
      <c r="AD49" s="25"/>
      <c r="AE49" s="21"/>
      <c r="AF49" s="21"/>
      <c r="AG49" s="25"/>
      <c r="AH49" s="21"/>
      <c r="AI49" s="21"/>
      <c r="AJ49" s="25"/>
      <c r="AK49" s="21"/>
      <c r="AL49" s="21"/>
      <c r="AM49" s="25"/>
      <c r="AN49" s="21"/>
      <c r="AO49" s="21"/>
      <c r="AP49" s="25"/>
      <c r="AQ49" s="21"/>
      <c r="AR49" s="21"/>
      <c r="AS49" s="25"/>
      <c r="AT49" s="21"/>
      <c r="AU49" s="21"/>
      <c r="AV49" s="25"/>
      <c r="AW49" s="21"/>
      <c r="AX49" s="21"/>
      <c r="AY49" s="25"/>
      <c r="AZ49" s="21"/>
      <c r="BA49" s="21"/>
      <c r="BB49" s="25"/>
      <c r="BC49" s="21"/>
      <c r="BD49" s="21"/>
      <c r="BE49" s="25"/>
      <c r="BF49" s="21"/>
      <c r="BG49" s="21"/>
      <c r="BH49" s="25"/>
      <c r="BI49" s="21"/>
      <c r="BJ49" s="21"/>
      <c r="BK49" s="25"/>
      <c r="BL49" s="21"/>
      <c r="BM49" s="21"/>
      <c r="BN49" s="25"/>
      <c r="BO49" s="21"/>
      <c r="BP49" s="21"/>
      <c r="BQ49" s="25"/>
      <c r="BR49" s="21"/>
      <c r="BS49" s="21"/>
      <c r="BT49" s="25"/>
    </row>
    <row r="50">
      <c r="A50" s="3">
        <f/>
        <v>0</v>
      </c>
      <c r="B50" s="3"/>
      <c r="C50" s="3"/>
      <c r="D50" s="21"/>
      <c r="E50" s="21"/>
      <c r="F50" s="21"/>
      <c r="G50" s="21"/>
      <c r="H50" s="21"/>
      <c r="I50" s="3"/>
      <c r="J50" s="25"/>
      <c r="K50" s="41"/>
      <c r="L50" s="21"/>
      <c r="M50" s="21"/>
      <c r="N50" s="25"/>
      <c r="O50" s="41"/>
      <c r="P50" s="21"/>
      <c r="Q50" s="21"/>
      <c r="R50" s="25"/>
      <c r="S50" s="41"/>
      <c r="T50" s="21"/>
      <c r="U50" s="21"/>
      <c r="V50" s="25"/>
      <c r="W50" s="41"/>
      <c r="X50" s="21"/>
      <c r="Y50" s="21"/>
      <c r="Z50" s="25"/>
      <c r="AA50" s="41"/>
      <c r="AB50" s="21"/>
      <c r="AC50" s="21"/>
      <c r="AD50" s="25"/>
      <c r="AE50" s="21"/>
      <c r="AF50" s="21"/>
      <c r="AG50" s="25"/>
      <c r="AH50" s="21"/>
      <c r="AI50" s="21"/>
      <c r="AJ50" s="25"/>
      <c r="AK50" s="21"/>
      <c r="AL50" s="21"/>
      <c r="AM50" s="25"/>
      <c r="AN50" s="21"/>
      <c r="AO50" s="21"/>
      <c r="AP50" s="25"/>
      <c r="AQ50" s="21"/>
      <c r="AR50" s="21"/>
      <c r="AS50" s="25"/>
      <c r="AT50" s="21"/>
      <c r="AU50" s="21"/>
      <c r="AV50" s="25"/>
      <c r="AW50" s="21"/>
      <c r="AX50" s="21"/>
      <c r="AY50" s="25"/>
      <c r="AZ50" s="21"/>
      <c r="BA50" s="21"/>
      <c r="BB50" s="25"/>
      <c r="BC50" s="21"/>
      <c r="BD50" s="21"/>
      <c r="BE50" s="25"/>
      <c r="BF50" s="21"/>
      <c r="BG50" s="21"/>
      <c r="BH50" s="25"/>
      <c r="BI50" s="21"/>
      <c r="BJ50" s="21"/>
      <c r="BK50" s="25"/>
      <c r="BL50" s="21"/>
      <c r="BM50" s="21"/>
      <c r="BN50" s="25"/>
      <c r="BO50" s="21"/>
      <c r="BP50" s="21"/>
      <c r="BQ50" s="25"/>
      <c r="BR50" s="21"/>
      <c r="BS50" s="21"/>
      <c r="BT50" s="25"/>
    </row>
    <row r="51">
      <c r="A51" s="3">
        <f/>
        <v>0</v>
      </c>
      <c r="B51" s="3"/>
      <c r="C51" s="3"/>
      <c r="D51" s="21"/>
      <c r="E51" s="21"/>
      <c r="F51" s="21"/>
      <c r="G51" s="21"/>
      <c r="H51" s="21"/>
      <c r="I51" s="3"/>
      <c r="J51" s="25"/>
      <c r="K51" s="41"/>
      <c r="L51" s="21"/>
      <c r="M51" s="21"/>
      <c r="N51" s="25"/>
      <c r="O51" s="41"/>
      <c r="P51" s="21"/>
      <c r="Q51" s="21"/>
      <c r="R51" s="25"/>
      <c r="S51" s="41"/>
      <c r="T51" s="21"/>
      <c r="U51" s="21"/>
      <c r="V51" s="25"/>
      <c r="W51" s="41"/>
      <c r="X51" s="21"/>
      <c r="Y51" s="21"/>
      <c r="Z51" s="25"/>
      <c r="AA51" s="41"/>
      <c r="AB51" s="21"/>
      <c r="AC51" s="21"/>
      <c r="AD51" s="25"/>
      <c r="AE51" s="21"/>
      <c r="AF51" s="21"/>
      <c r="AG51" s="25"/>
      <c r="AH51" s="21"/>
      <c r="AI51" s="21"/>
      <c r="AJ51" s="25"/>
      <c r="AK51" s="21"/>
      <c r="AL51" s="21"/>
      <c r="AM51" s="25"/>
      <c r="AN51" s="21"/>
      <c r="AO51" s="21"/>
      <c r="AP51" s="25"/>
      <c r="AQ51" s="21"/>
      <c r="AR51" s="21"/>
      <c r="AS51" s="25"/>
      <c r="AT51" s="21"/>
      <c r="AU51" s="21"/>
      <c r="AV51" s="25"/>
      <c r="AW51" s="21"/>
      <c r="AX51" s="21"/>
      <c r="AY51" s="25"/>
      <c r="AZ51" s="21"/>
      <c r="BA51" s="21"/>
      <c r="BB51" s="25"/>
      <c r="BC51" s="21"/>
      <c r="BD51" s="21"/>
      <c r="BE51" s="25"/>
      <c r="BF51" s="21"/>
      <c r="BG51" s="21"/>
      <c r="BH51" s="25"/>
      <c r="BI51" s="21"/>
      <c r="BJ51" s="21"/>
      <c r="BK51" s="25"/>
      <c r="BL51" s="21"/>
      <c r="BM51" s="21"/>
      <c r="BN51" s="25"/>
      <c r="BO51" s="21"/>
      <c r="BP51" s="21"/>
      <c r="BQ51" s="25"/>
      <c r="BR51" s="21"/>
      <c r="BS51" s="21"/>
      <c r="BT51" s="25"/>
    </row>
    <row r="52">
      <c r="A52" s="3">
        <f/>
        <v>0</v>
      </c>
      <c r="B52" s="3"/>
      <c r="C52" s="3"/>
      <c r="D52" s="21"/>
      <c r="E52" s="21"/>
      <c r="F52" s="21"/>
      <c r="G52" s="21"/>
      <c r="H52" s="21"/>
      <c r="I52" s="3"/>
      <c r="J52" s="25"/>
      <c r="K52" s="41"/>
      <c r="L52" s="21"/>
      <c r="M52" s="21"/>
      <c r="N52" s="25"/>
      <c r="O52" s="41"/>
      <c r="P52" s="21"/>
      <c r="Q52" s="21"/>
      <c r="R52" s="25"/>
      <c r="S52" s="41"/>
      <c r="T52" s="21"/>
      <c r="U52" s="21"/>
      <c r="V52" s="25"/>
      <c r="W52" s="41"/>
      <c r="X52" s="21"/>
      <c r="Y52" s="21"/>
      <c r="Z52" s="25"/>
      <c r="AA52" s="41"/>
      <c r="AB52" s="21"/>
      <c r="AC52" s="21"/>
      <c r="AD52" s="25"/>
      <c r="AE52" s="21"/>
      <c r="AF52" s="21"/>
      <c r="AG52" s="25"/>
      <c r="AH52" s="21"/>
      <c r="AI52" s="21"/>
      <c r="AJ52" s="25"/>
      <c r="AK52" s="21"/>
      <c r="AL52" s="21"/>
      <c r="AM52" s="25"/>
      <c r="AN52" s="21"/>
      <c r="AO52" s="21"/>
      <c r="AP52" s="25"/>
      <c r="AQ52" s="21"/>
      <c r="AR52" s="21"/>
      <c r="AS52" s="25"/>
      <c r="AT52" s="21"/>
      <c r="AU52" s="21"/>
      <c r="AV52" s="25"/>
      <c r="AW52" s="21"/>
      <c r="AX52" s="21"/>
      <c r="AY52" s="25"/>
      <c r="AZ52" s="21"/>
      <c r="BA52" s="21"/>
      <c r="BB52" s="25"/>
      <c r="BC52" s="21"/>
      <c r="BD52" s="21"/>
      <c r="BE52" s="25"/>
      <c r="BF52" s="21"/>
      <c r="BG52" s="21"/>
      <c r="BH52" s="25"/>
      <c r="BI52" s="21"/>
      <c r="BJ52" s="21"/>
      <c r="BK52" s="25"/>
      <c r="BL52" s="21"/>
      <c r="BM52" s="21"/>
      <c r="BN52" s="25"/>
      <c r="BO52" s="21"/>
      <c r="BP52" s="21"/>
      <c r="BQ52" s="25"/>
      <c r="BR52" s="21"/>
      <c r="BS52" s="21"/>
      <c r="BT52" s="25"/>
    </row>
    <row r="53">
      <c r="A53" s="3">
        <f/>
        <v>0</v>
      </c>
      <c r="B53" s="3"/>
      <c r="C53" s="3"/>
      <c r="D53" s="21"/>
      <c r="E53" s="21"/>
      <c r="F53" s="21"/>
      <c r="G53" s="21"/>
      <c r="H53" s="21"/>
      <c r="I53" s="3"/>
      <c r="J53" s="25"/>
      <c r="K53" s="41"/>
      <c r="L53" s="21"/>
      <c r="M53" s="21"/>
      <c r="N53" s="25"/>
      <c r="O53" s="41"/>
      <c r="P53" s="21"/>
      <c r="Q53" s="21"/>
      <c r="R53" s="25"/>
      <c r="S53" s="41"/>
      <c r="T53" s="21"/>
      <c r="U53" s="21"/>
      <c r="V53" s="25"/>
      <c r="W53" s="41"/>
      <c r="X53" s="21"/>
      <c r="Y53" s="21"/>
      <c r="Z53" s="25"/>
      <c r="AA53" s="41"/>
      <c r="AB53" s="21"/>
      <c r="AC53" s="21"/>
      <c r="AD53" s="25"/>
      <c r="AE53" s="21"/>
      <c r="AF53" s="21"/>
      <c r="AG53" s="25"/>
      <c r="AH53" s="21"/>
      <c r="AI53" s="21"/>
      <c r="AJ53" s="25"/>
      <c r="AK53" s="21"/>
      <c r="AL53" s="21"/>
      <c r="AM53" s="25"/>
      <c r="AN53" s="21"/>
      <c r="AO53" s="21"/>
      <c r="AP53" s="25"/>
      <c r="AQ53" s="21"/>
      <c r="AR53" s="21"/>
      <c r="AS53" s="25"/>
      <c r="AT53" s="21"/>
      <c r="AU53" s="21"/>
      <c r="AV53" s="25"/>
      <c r="AW53" s="21"/>
      <c r="AX53" s="21"/>
      <c r="AY53" s="25"/>
      <c r="AZ53" s="21"/>
      <c r="BA53" s="21"/>
      <c r="BB53" s="25"/>
      <c r="BC53" s="21"/>
      <c r="BD53" s="21"/>
      <c r="BE53" s="25"/>
      <c r="BF53" s="21"/>
      <c r="BG53" s="21"/>
      <c r="BH53" s="25"/>
      <c r="BI53" s="21"/>
      <c r="BJ53" s="21"/>
      <c r="BK53" s="25"/>
      <c r="BL53" s="21"/>
      <c r="BM53" s="21"/>
      <c r="BN53" s="25"/>
      <c r="BO53" s="21"/>
      <c r="BP53" s="21"/>
      <c r="BQ53" s="25"/>
      <c r="BR53" s="21"/>
      <c r="BS53" s="21"/>
      <c r="BT53" s="25"/>
    </row>
    <row r="54">
      <c r="D54" s="21"/>
      <c r="E54" s="21"/>
      <c r="F54" s="21"/>
      <c r="G54" s="21"/>
      <c r="H54" s="21"/>
      <c r="I54" s="3"/>
      <c r="J54" s="25"/>
      <c r="K54" s="41"/>
      <c r="L54" s="21"/>
      <c r="M54" s="21"/>
      <c r="N54" s="25"/>
      <c r="O54" s="41"/>
      <c r="P54" s="21"/>
      <c r="Q54" s="21"/>
      <c r="R54" s="25"/>
      <c r="S54" s="41"/>
      <c r="T54" s="21"/>
      <c r="U54" s="21"/>
      <c r="V54" s="25"/>
      <c r="W54" s="41"/>
      <c r="X54" s="21"/>
      <c r="Y54" s="21"/>
      <c r="Z54" s="25"/>
      <c r="AA54" s="41"/>
      <c r="AB54" s="21"/>
      <c r="AC54" s="21"/>
      <c r="AD54" s="25"/>
      <c r="AE54" s="21"/>
      <c r="AF54" s="21"/>
      <c r="AG54" s="25"/>
      <c r="AH54" s="21"/>
      <c r="AI54" s="21"/>
      <c r="AJ54" s="25"/>
      <c r="AK54" s="21"/>
      <c r="AL54" s="21"/>
      <c r="AM54" s="25"/>
      <c r="AN54" s="21"/>
      <c r="AO54" s="21"/>
      <c r="AP54" s="25"/>
      <c r="AQ54" s="21"/>
      <c r="AR54" s="21"/>
      <c r="AS54" s="25"/>
      <c r="AT54" s="21"/>
      <c r="AU54" s="21"/>
      <c r="AV54" s="25"/>
      <c r="AW54" s="21"/>
      <c r="AX54" s="21"/>
      <c r="AY54" s="25"/>
      <c r="AZ54" s="21"/>
      <c r="BA54" s="21"/>
      <c r="BB54" s="25"/>
      <c r="BC54" s="21"/>
      <c r="BD54" s="21"/>
      <c r="BE54" s="25"/>
      <c r="BF54" s="21"/>
      <c r="BG54" s="21"/>
      <c r="BH54" s="25"/>
      <c r="BI54" s="21"/>
      <c r="BJ54" s="21"/>
      <c r="BK54" s="25"/>
      <c r="BL54" s="21"/>
      <c r="BM54" s="21"/>
      <c r="BN54" s="25"/>
      <c r="BO54" s="21"/>
      <c r="BP54" s="21"/>
      <c r="BQ54" s="25"/>
      <c r="BR54" s="21"/>
      <c r="BS54" s="21"/>
      <c r="BT54" s="25"/>
    </row>
    <row r="55">
      <c r="D55" s="21"/>
      <c r="E55" s="21"/>
      <c r="F55" s="21"/>
      <c r="G55" s="21"/>
      <c r="H55" s="21"/>
      <c r="I55" s="3"/>
      <c r="J55" s="25"/>
      <c r="K55" s="41"/>
      <c r="L55" s="21"/>
      <c r="M55" s="21"/>
      <c r="N55" s="25"/>
      <c r="O55" s="41"/>
      <c r="P55" s="21"/>
      <c r="Q55" s="21"/>
      <c r="R55" s="25"/>
      <c r="S55" s="41"/>
      <c r="T55" s="21"/>
      <c r="U55" s="21"/>
      <c r="V55" s="25"/>
      <c r="W55" s="41"/>
      <c r="X55" s="21"/>
      <c r="Y55" s="21"/>
      <c r="Z55" s="25"/>
      <c r="AA55" s="41"/>
      <c r="AB55" s="21"/>
      <c r="AC55" s="21"/>
      <c r="AD55" s="25"/>
      <c r="AE55" s="21"/>
      <c r="AF55" s="21"/>
      <c r="AG55" s="25"/>
      <c r="AH55" s="21"/>
      <c r="AI55" s="21"/>
      <c r="AJ55" s="25"/>
      <c r="AK55" s="21"/>
      <c r="AL55" s="21"/>
      <c r="AM55" s="25"/>
      <c r="AN55" s="21"/>
      <c r="AO55" s="21"/>
      <c r="AP55" s="25"/>
      <c r="AQ55" s="21"/>
      <c r="AR55" s="21"/>
      <c r="AS55" s="25"/>
      <c r="AT55" s="21"/>
      <c r="AU55" s="21"/>
      <c r="AV55" s="25"/>
      <c r="AW55" s="21"/>
      <c r="AX55" s="21"/>
      <c r="AY55" s="25"/>
      <c r="AZ55" s="21"/>
      <c r="BA55" s="21"/>
      <c r="BB55" s="25"/>
      <c r="BC55" s="21"/>
      <c r="BD55" s="21"/>
      <c r="BE55" s="25"/>
      <c r="BF55" s="21"/>
      <c r="BG55" s="21"/>
      <c r="BH55" s="25"/>
      <c r="BI55" s="21"/>
      <c r="BJ55" s="21"/>
      <c r="BK55" s="25"/>
      <c r="BL55" s="21"/>
      <c r="BM55" s="21"/>
      <c r="BN55" s="25"/>
      <c r="BO55" s="21"/>
      <c r="BP55" s="21"/>
      <c r="BQ55" s="25"/>
      <c r="BR55" s="21"/>
      <c r="BS55" s="21"/>
      <c r="BT55" s="25"/>
    </row>
    <row r="56">
      <c r="A56" s="3"/>
      <c r="B56" s="3"/>
      <c r="C56" s="3"/>
      <c r="D56" s="21"/>
      <c r="E56" s="21"/>
      <c r="F56" s="21"/>
      <c r="G56" s="21"/>
      <c r="H56" s="21"/>
      <c r="I56" s="3"/>
      <c r="J56" s="25"/>
      <c r="K56" s="41"/>
      <c r="L56" s="21"/>
      <c r="M56" s="21"/>
      <c r="N56" s="25"/>
      <c r="O56" s="41"/>
      <c r="P56" s="21"/>
      <c r="Q56" s="21"/>
      <c r="R56" s="25"/>
      <c r="S56" s="41"/>
      <c r="T56" s="21"/>
      <c r="U56" s="21"/>
      <c r="V56" s="25"/>
      <c r="W56" s="41"/>
      <c r="X56" s="21"/>
      <c r="Y56" s="21"/>
      <c r="Z56" s="25"/>
      <c r="AA56" s="41"/>
      <c r="AB56" s="21"/>
      <c r="AC56" s="21"/>
      <c r="AD56" s="25"/>
      <c r="AE56" s="21"/>
      <c r="AF56" s="21"/>
      <c r="AG56" s="25"/>
      <c r="AH56" s="21"/>
      <c r="AI56" s="21"/>
      <c r="AJ56" s="25"/>
      <c r="AK56" s="21"/>
      <c r="AL56" s="21"/>
      <c r="AM56" s="25"/>
      <c r="AN56" s="21"/>
      <c r="AO56" s="21"/>
      <c r="AP56" s="25"/>
      <c r="AQ56" s="21"/>
      <c r="AR56" s="21"/>
      <c r="AS56" s="25"/>
      <c r="AT56" s="21"/>
      <c r="AU56" s="21"/>
      <c r="AV56" s="25"/>
      <c r="AW56" s="21"/>
      <c r="AX56" s="21"/>
      <c r="AY56" s="25"/>
      <c r="AZ56" s="21"/>
      <c r="BA56" s="21"/>
      <c r="BB56" s="25"/>
      <c r="BC56" s="21"/>
      <c r="BD56" s="21"/>
      <c r="BE56" s="25"/>
      <c r="BF56" s="21"/>
      <c r="BG56" s="21"/>
      <c r="BH56" s="25"/>
      <c r="BI56" s="21"/>
      <c r="BJ56" s="21"/>
      <c r="BK56" s="25"/>
      <c r="BL56" s="21"/>
      <c r="BM56" s="21"/>
      <c r="BN56" s="25"/>
      <c r="BO56" s="21"/>
      <c r="BP56" s="21"/>
      <c r="BQ56" s="25"/>
      <c r="BR56" s="21"/>
      <c r="BS56" s="21"/>
      <c r="BT56" s="25"/>
    </row>
    <row r="57">
      <c r="A57" s="3"/>
      <c r="B57" s="3"/>
      <c r="C57" s="3"/>
      <c r="D57" s="21"/>
      <c r="E57" s="21"/>
      <c r="F57" s="49"/>
      <c r="G57" s="49"/>
      <c r="H57" s="21"/>
      <c r="I57" s="3"/>
      <c r="J57" s="25"/>
      <c r="K57" s="25"/>
      <c r="L57" s="21"/>
      <c r="M57" s="21"/>
      <c r="N57" s="25"/>
      <c r="O57" s="25"/>
      <c r="P57" s="21"/>
      <c r="Q57" s="21"/>
      <c r="R57" s="25"/>
      <c r="S57" s="25"/>
      <c r="T57" s="21"/>
      <c r="U57" s="21"/>
      <c r="V57" s="25"/>
      <c r="W57" s="25"/>
      <c r="X57" s="21"/>
      <c r="Y57" s="21"/>
      <c r="Z57" s="25"/>
      <c r="AA57" s="25"/>
      <c r="AB57" s="21"/>
      <c r="AC57" s="21"/>
      <c r="AD57" s="25"/>
      <c r="AE57" s="21"/>
      <c r="AF57" s="21"/>
      <c r="AG57" s="25"/>
      <c r="AH57" s="21"/>
      <c r="AI57" s="21"/>
      <c r="AJ57" s="25"/>
      <c r="AK57" s="21"/>
      <c r="AL57" s="21"/>
      <c r="AM57" s="25"/>
      <c r="AN57" s="21"/>
      <c r="AO57" s="21"/>
      <c r="AP57" s="25"/>
      <c r="AQ57" s="21"/>
      <c r="AR57" s="21"/>
      <c r="AS57" s="25"/>
      <c r="AT57" s="21"/>
      <c r="AU57" s="21"/>
      <c r="AV57" s="25"/>
      <c r="AW57" s="21"/>
      <c r="AX57" s="21"/>
      <c r="AY57" s="25"/>
      <c r="AZ57" s="21"/>
      <c r="BA57" s="21"/>
      <c r="BB57" s="25"/>
      <c r="BC57" s="21"/>
      <c r="BD57" s="21"/>
      <c r="BE57" s="25"/>
      <c r="BF57" s="21"/>
      <c r="BG57" s="21"/>
      <c r="BH57" s="25"/>
      <c r="BI57" s="21"/>
      <c r="BJ57" s="21"/>
      <c r="BK57" s="25"/>
      <c r="BL57" s="21"/>
      <c r="BM57" s="21"/>
      <c r="BN57" s="25"/>
      <c r="BO57" s="21"/>
      <c r="BP57" s="21"/>
      <c r="BQ57" s="25"/>
      <c r="BR57" s="21"/>
      <c r="BS57" s="21"/>
      <c r="BT57" s="25"/>
    </row>
    <row r="58">
      <c r="D58" s="21"/>
      <c r="E58" s="21"/>
      <c r="F58" s="21"/>
      <c r="G58" s="21"/>
      <c r="H58" s="21"/>
      <c r="I58" s="32"/>
      <c r="J58" s="26"/>
      <c r="K58" s="26"/>
      <c r="L58" s="21"/>
      <c r="M58" s="21"/>
      <c r="N58" s="26"/>
      <c r="O58" s="26"/>
      <c r="P58" s="21"/>
      <c r="Q58" s="21"/>
      <c r="R58" s="26"/>
      <c r="S58" s="26"/>
      <c r="T58" s="21"/>
      <c r="U58" s="21"/>
      <c r="V58" s="26"/>
      <c r="W58" s="26"/>
      <c r="X58" s="21"/>
      <c r="Y58" s="21"/>
      <c r="Z58" s="26"/>
      <c r="AA58" s="26"/>
      <c r="AB58" s="21"/>
      <c r="AC58" s="21"/>
      <c r="AD58" s="26"/>
      <c r="AE58" s="21"/>
      <c r="AF58" s="21"/>
      <c r="AG58" s="26"/>
      <c r="AH58" s="21"/>
      <c r="AI58" s="21"/>
      <c r="AJ58" s="26"/>
      <c r="AK58" s="21"/>
      <c r="AL58" s="21"/>
      <c r="AM58" s="26"/>
      <c r="AN58" s="21"/>
      <c r="AO58" s="21"/>
      <c r="AP58" s="26"/>
      <c r="AQ58" s="21"/>
      <c r="AR58" s="21"/>
      <c r="AS58" s="26"/>
      <c r="AT58" s="21"/>
      <c r="AU58" s="21"/>
      <c r="AV58" s="26"/>
      <c r="AW58" s="21"/>
      <c r="AX58" s="21"/>
      <c r="AY58" s="26"/>
      <c r="AZ58" s="21"/>
      <c r="BA58" s="21"/>
      <c r="BB58" s="26"/>
      <c r="BC58" s="21"/>
      <c r="BD58" s="21"/>
      <c r="BE58" s="26"/>
      <c r="BF58" s="21"/>
      <c r="BG58" s="21"/>
      <c r="BH58" s="26"/>
      <c r="BI58" s="21"/>
      <c r="BJ58" s="21"/>
      <c r="BK58" s="26"/>
      <c r="BL58" s="21"/>
      <c r="BM58" s="21"/>
      <c r="BN58" s="26"/>
      <c r="BO58" s="21"/>
      <c r="BP58" s="21"/>
      <c r="BQ58" s="26"/>
      <c r="BR58" s="21"/>
      <c r="BS58" s="21"/>
      <c r="BT58" s="26"/>
    </row>
    <row r="59">
      <c r="D59" s="21"/>
      <c r="E59" s="21"/>
      <c r="F59" s="21"/>
      <c r="G59" s="21"/>
      <c r="H59" s="21"/>
      <c r="I59" s="32"/>
      <c r="J59" s="26"/>
      <c r="K59" s="26"/>
      <c r="L59" s="21"/>
      <c r="M59" s="21"/>
      <c r="N59" s="26"/>
      <c r="O59" s="26"/>
      <c r="P59" s="21"/>
      <c r="Q59" s="21"/>
      <c r="R59" s="26"/>
      <c r="S59" s="26"/>
      <c r="T59" s="21"/>
      <c r="U59" s="21"/>
      <c r="V59" s="26"/>
      <c r="W59" s="26"/>
      <c r="X59" s="21"/>
      <c r="Y59" s="21"/>
      <c r="Z59" s="26"/>
      <c r="AA59" s="26"/>
      <c r="AB59" s="21"/>
      <c r="AC59" s="21"/>
      <c r="AD59" s="26"/>
      <c r="AE59" s="21"/>
      <c r="AF59" s="21"/>
      <c r="AG59" s="26"/>
      <c r="AH59" s="21"/>
      <c r="AI59" s="21"/>
      <c r="AJ59" s="26"/>
      <c r="AK59" s="21"/>
      <c r="AL59" s="21"/>
      <c r="AM59" s="26"/>
      <c r="AN59" s="21"/>
      <c r="AO59" s="21"/>
      <c r="AP59" s="26"/>
      <c r="AQ59" s="21"/>
      <c r="AR59" s="21"/>
      <c r="AS59" s="26"/>
      <c r="AT59" s="21"/>
      <c r="AU59" s="21"/>
      <c r="AV59" s="26"/>
      <c r="AW59" s="21"/>
      <c r="AX59" s="21"/>
      <c r="AY59" s="26"/>
      <c r="AZ59" s="21"/>
      <c r="BA59" s="21"/>
      <c r="BB59" s="26"/>
      <c r="BC59" s="21"/>
      <c r="BD59" s="21"/>
      <c r="BE59" s="26"/>
      <c r="BF59" s="21"/>
      <c r="BG59" s="21"/>
      <c r="BH59" s="26"/>
      <c r="BI59" s="21"/>
      <c r="BJ59" s="21"/>
      <c r="BK59" s="26"/>
      <c r="BL59" s="21"/>
      <c r="BM59" s="21"/>
      <c r="BN59" s="26"/>
      <c r="BO59" s="21"/>
      <c r="BP59" s="21"/>
      <c r="BQ59" s="26"/>
      <c r="BR59" s="21"/>
      <c r="BS59" s="21"/>
      <c r="BT59" s="26"/>
    </row>
    <row r="60">
      <c r="D60" s="21"/>
      <c r="E60" s="21"/>
      <c r="F60" s="21"/>
      <c r="G60" s="21"/>
      <c r="H60" s="21"/>
      <c r="I60" s="32"/>
      <c r="J60" s="26"/>
      <c r="K60" s="26"/>
      <c r="L60" s="21"/>
      <c r="M60" s="21"/>
      <c r="N60" s="26"/>
      <c r="O60" s="26"/>
      <c r="P60" s="21"/>
      <c r="Q60" s="21"/>
      <c r="R60" s="26"/>
      <c r="S60" s="26"/>
      <c r="T60" s="21"/>
      <c r="U60" s="21"/>
      <c r="V60" s="26"/>
      <c r="W60" s="26"/>
      <c r="X60" s="21"/>
      <c r="Y60" s="21"/>
      <c r="Z60" s="26"/>
      <c r="AA60" s="26"/>
      <c r="AB60" s="21"/>
      <c r="AC60" s="21"/>
      <c r="AD60" s="26"/>
      <c r="AE60" s="21"/>
      <c r="AF60" s="21"/>
      <c r="AG60" s="26"/>
      <c r="AH60" s="21"/>
      <c r="AI60" s="21"/>
      <c r="AJ60" s="26"/>
      <c r="AK60" s="21"/>
      <c r="AL60" s="21"/>
      <c r="AM60" s="26"/>
      <c r="AN60" s="21"/>
      <c r="AO60" s="21"/>
      <c r="AP60" s="26"/>
      <c r="AQ60" s="21"/>
      <c r="AR60" s="21"/>
      <c r="AS60" s="26"/>
      <c r="AT60" s="21"/>
      <c r="AU60" s="21"/>
      <c r="AV60" s="26"/>
      <c r="AW60" s="21"/>
      <c r="AX60" s="21"/>
      <c r="AY60" s="26"/>
      <c r="AZ60" s="21"/>
      <c r="BA60" s="21"/>
      <c r="BB60" s="26"/>
      <c r="BC60" s="21"/>
      <c r="BD60" s="21"/>
      <c r="BE60" s="26"/>
      <c r="BF60" s="21"/>
      <c r="BG60" s="21"/>
      <c r="BH60" s="26"/>
      <c r="BI60" s="21"/>
      <c r="BJ60" s="21"/>
      <c r="BK60" s="26"/>
      <c r="BL60" s="21"/>
      <c r="BM60" s="21"/>
      <c r="BN60" s="26"/>
      <c r="BO60" s="21"/>
      <c r="BP60" s="21"/>
      <c r="BQ60" s="26"/>
      <c r="BR60" s="21"/>
      <c r="BS60" s="21"/>
      <c r="BT60" s="26"/>
    </row>
    <row r="61">
      <c r="D61" s="21"/>
      <c r="E61" s="21"/>
      <c r="F61" s="21"/>
      <c r="G61" s="21"/>
      <c r="H61" s="21"/>
      <c r="I61" s="32"/>
      <c r="J61" s="26"/>
      <c r="K61" s="26"/>
      <c r="L61" s="21"/>
      <c r="M61" s="21"/>
      <c r="N61" s="26"/>
      <c r="O61" s="26"/>
      <c r="P61" s="21"/>
      <c r="Q61" s="21"/>
      <c r="R61" s="26"/>
      <c r="S61" s="26"/>
      <c r="T61" s="21"/>
      <c r="U61" s="21"/>
      <c r="V61" s="26"/>
      <c r="W61" s="26"/>
      <c r="X61" s="21"/>
      <c r="Y61" s="21"/>
      <c r="Z61" s="26"/>
      <c r="AA61" s="26"/>
      <c r="AB61" s="21"/>
      <c r="AC61" s="21"/>
      <c r="AD61" s="26"/>
      <c r="AE61" s="21"/>
      <c r="AF61" s="21"/>
      <c r="AG61" s="26"/>
      <c r="AH61" s="21"/>
      <c r="AI61" s="21"/>
      <c r="AJ61" s="26"/>
      <c r="AK61" s="21"/>
      <c r="AL61" s="21"/>
      <c r="AM61" s="26"/>
      <c r="AN61" s="21"/>
      <c r="AO61" s="21"/>
      <c r="AP61" s="26"/>
      <c r="AQ61" s="21"/>
      <c r="AR61" s="21"/>
      <c r="AS61" s="26"/>
      <c r="AT61" s="21"/>
      <c r="AU61" s="21"/>
      <c r="AV61" s="26"/>
      <c r="AW61" s="21"/>
      <c r="AX61" s="21"/>
      <c r="AY61" s="26"/>
      <c r="AZ61" s="21"/>
      <c r="BA61" s="21"/>
      <c r="BB61" s="26"/>
      <c r="BC61" s="21"/>
      <c r="BD61" s="21"/>
      <c r="BE61" s="26"/>
      <c r="BF61" s="21"/>
      <c r="BG61" s="21"/>
      <c r="BH61" s="26"/>
      <c r="BI61" s="21"/>
      <c r="BJ61" s="21"/>
      <c r="BK61" s="26"/>
      <c r="BL61" s="21"/>
      <c r="BM61" s="21"/>
      <c r="BN61" s="26"/>
      <c r="BO61" s="21"/>
      <c r="BP61" s="21"/>
      <c r="BQ61" s="26"/>
      <c r="BR61" s="21"/>
      <c r="BS61" s="21"/>
      <c r="BT61" s="26"/>
    </row>
    <row r="62">
      <c r="I62" s="32"/>
      <c r="J62" s="26"/>
      <c r="K62" s="26"/>
      <c r="N62" s="26"/>
      <c r="O62" s="26"/>
      <c r="R62" s="26"/>
      <c r="S62" s="26"/>
      <c r="V62" s="26"/>
      <c r="W62" s="26"/>
      <c r="Z62" s="26"/>
      <c r="AA62" s="26"/>
      <c r="AD62" s="26"/>
      <c r="AG62" s="26"/>
      <c r="AJ62" s="26"/>
      <c r="AM62" s="26"/>
      <c r="AP62" s="26"/>
      <c r="AS62" s="26"/>
      <c r="AV62" s="26"/>
      <c r="AY62" s="26"/>
      <c r="BB62" s="26"/>
      <c r="BE62" s="26"/>
      <c r="BH62" s="26"/>
      <c r="BK62" s="26"/>
      <c r="BN62" s="26"/>
      <c r="BQ62" s="26"/>
      <c r="BT62" s="26"/>
    </row>
    <row r="63">
      <c r="I63" s="32"/>
      <c r="J63" s="26"/>
      <c r="K63" s="26"/>
      <c r="N63" s="26"/>
      <c r="O63" s="26"/>
      <c r="R63" s="26"/>
      <c r="S63" s="26"/>
      <c r="V63" s="26"/>
      <c r="W63" s="26"/>
      <c r="Z63" s="26"/>
      <c r="AA63" s="26"/>
      <c r="AD63" s="26"/>
      <c r="AG63" s="26"/>
      <c r="AJ63" s="26"/>
      <c r="AM63" s="26"/>
      <c r="AP63" s="26"/>
      <c r="AS63" s="26"/>
      <c r="AV63" s="26"/>
      <c r="AY63" s="26"/>
      <c r="BB63" s="26"/>
      <c r="BE63" s="26"/>
      <c r="BH63" s="26"/>
      <c r="BK63" s="26"/>
      <c r="BN63" s="26"/>
      <c r="BQ63" s="26"/>
      <c r="BT63" s="26"/>
    </row>
    <row r="64">
      <c r="I64" s="32"/>
      <c r="J64" s="26"/>
      <c r="K64" s="26"/>
      <c r="N64" s="26"/>
      <c r="O64" s="26"/>
      <c r="R64" s="26"/>
      <c r="S64" s="26"/>
      <c r="V64" s="26"/>
      <c r="W64" s="26"/>
      <c r="Z64" s="26"/>
      <c r="AA64" s="26"/>
      <c r="AD64" s="26"/>
      <c r="AG64" s="26"/>
      <c r="AJ64" s="26"/>
      <c r="AM64" s="26"/>
      <c r="AP64" s="26"/>
      <c r="AS64" s="26"/>
      <c r="AV64" s="26"/>
      <c r="AY64" s="26"/>
      <c r="BB64" s="26"/>
      <c r="BE64" s="26"/>
      <c r="BH64" s="26"/>
      <c r="BK64" s="26"/>
      <c r="BN64" s="26"/>
      <c r="BQ64" s="26"/>
      <c r="BT64" s="26"/>
    </row>
    <row r="65">
      <c r="I65" s="32"/>
      <c r="J65" s="26"/>
      <c r="K65" s="26"/>
      <c r="N65" s="26"/>
      <c r="O65" s="26"/>
      <c r="R65" s="26"/>
      <c r="S65" s="26"/>
      <c r="V65" s="26"/>
      <c r="W65" s="26"/>
      <c r="Z65" s="26"/>
      <c r="AA65" s="26"/>
      <c r="AD65" s="26"/>
      <c r="AG65" s="26"/>
      <c r="AJ65" s="26"/>
      <c r="AM65" s="26"/>
      <c r="AP65" s="26"/>
      <c r="AS65" s="26"/>
      <c r="AV65" s="26"/>
      <c r="AY65" s="26"/>
      <c r="BB65" s="26"/>
      <c r="BE65" s="26"/>
      <c r="BH65" s="26"/>
      <c r="BK65" s="26"/>
      <c r="BN65" s="26"/>
      <c r="BQ65" s="26"/>
      <c r="BT65" s="26"/>
    </row>
    <row r="66">
      <c r="I66" s="32"/>
      <c r="J66" s="26"/>
      <c r="K66" s="26"/>
      <c r="N66" s="26"/>
      <c r="O66" s="26"/>
      <c r="R66" s="26"/>
      <c r="S66" s="26"/>
      <c r="V66" s="26"/>
      <c r="W66" s="26"/>
      <c r="Z66" s="26"/>
      <c r="AA66" s="26"/>
      <c r="AD66" s="26"/>
      <c r="AG66" s="26"/>
      <c r="AJ66" s="26"/>
      <c r="AM66" s="26"/>
      <c r="AP66" s="26"/>
      <c r="AS66" s="26"/>
      <c r="AV66" s="26"/>
      <c r="AY66" s="26"/>
      <c r="BB66" s="26"/>
      <c r="BE66" s="26"/>
      <c r="BH66" s="26"/>
      <c r="BK66" s="26"/>
      <c r="BN66" s="26"/>
      <c r="BQ66" s="26"/>
      <c r="BT66" s="26"/>
    </row>
    <row r="67">
      <c r="I67" s="32"/>
      <c r="J67" s="26"/>
      <c r="K67" s="26"/>
      <c r="N67" s="26"/>
      <c r="O67" s="26"/>
      <c r="R67" s="26"/>
      <c r="S67" s="26"/>
      <c r="V67" s="26"/>
      <c r="W67" s="26"/>
      <c r="Z67" s="26"/>
      <c r="AA67" s="26"/>
      <c r="AD67" s="26"/>
      <c r="AG67" s="26"/>
      <c r="AJ67" s="26"/>
      <c r="AM67" s="26"/>
      <c r="AP67" s="26"/>
      <c r="AS67" s="26"/>
      <c r="AV67" s="26"/>
      <c r="AY67" s="26"/>
      <c r="BB67" s="26"/>
      <c r="BE67" s="26"/>
      <c r="BH67" s="26"/>
      <c r="BK67" s="26"/>
      <c r="BN67" s="26"/>
      <c r="BQ67" s="26"/>
      <c r="BT67" s="26"/>
    </row>
    <row r="68">
      <c r="I68" s="32"/>
      <c r="J68" s="26"/>
      <c r="K68" s="26"/>
      <c r="N68" s="26"/>
      <c r="O68" s="26"/>
      <c r="R68" s="26"/>
      <c r="S68" s="26"/>
      <c r="V68" s="26"/>
      <c r="W68" s="26"/>
      <c r="Z68" s="26"/>
      <c r="AA68" s="26"/>
      <c r="AD68" s="26"/>
      <c r="AG68" s="26"/>
      <c r="AJ68" s="26"/>
      <c r="AM68" s="26"/>
      <c r="AP68" s="26"/>
      <c r="AS68" s="26"/>
      <c r="AV68" s="26"/>
      <c r="AY68" s="26"/>
      <c r="BB68" s="26"/>
      <c r="BE68" s="26"/>
      <c r="BH68" s="26"/>
      <c r="BK68" s="26"/>
      <c r="BN68" s="26"/>
      <c r="BQ68" s="26"/>
      <c r="BT68" s="26"/>
    </row>
    <row r="69">
      <c r="I69" s="32"/>
      <c r="J69" s="26"/>
      <c r="K69" s="26"/>
      <c r="N69" s="26"/>
      <c r="O69" s="26"/>
      <c r="R69" s="26"/>
      <c r="S69" s="26"/>
      <c r="V69" s="26"/>
      <c r="W69" s="26"/>
      <c r="Z69" s="26"/>
      <c r="AA69" s="26"/>
      <c r="AD69" s="26"/>
      <c r="AG69" s="26"/>
      <c r="AJ69" s="26"/>
      <c r="AM69" s="26"/>
      <c r="AP69" s="26"/>
      <c r="AS69" s="26"/>
      <c r="AV69" s="26"/>
      <c r="AY69" s="26"/>
      <c r="BB69" s="26"/>
      <c r="BE69" s="26"/>
      <c r="BH69" s="26"/>
      <c r="BK69" s="26"/>
      <c r="BN69" s="26"/>
      <c r="BQ69" s="26"/>
      <c r="BT69" s="26"/>
    </row>
    <row r="70">
      <c r="I70" s="32"/>
      <c r="J70" s="26"/>
      <c r="K70" s="26"/>
      <c r="N70" s="26"/>
      <c r="O70" s="26"/>
      <c r="R70" s="26"/>
      <c r="S70" s="26"/>
      <c r="V70" s="26"/>
      <c r="W70" s="26"/>
      <c r="Z70" s="26"/>
      <c r="AA70" s="26"/>
      <c r="AD70" s="26"/>
      <c r="AG70" s="26"/>
      <c r="AJ70" s="26"/>
      <c r="AM70" s="26"/>
      <c r="AP70" s="26"/>
      <c r="AS70" s="26"/>
      <c r="AV70" s="26"/>
      <c r="AY70" s="26"/>
      <c r="BB70" s="26"/>
      <c r="BE70" s="26"/>
      <c r="BH70" s="26"/>
      <c r="BK70" s="26"/>
      <c r="BN70" s="26"/>
      <c r="BQ70" s="26"/>
      <c r="BT70" s="26"/>
    </row>
    <row r="71">
      <c r="I71" s="32"/>
      <c r="J71" s="26"/>
      <c r="K71" s="26"/>
      <c r="N71" s="26"/>
      <c r="O71" s="26"/>
      <c r="R71" s="26"/>
      <c r="S71" s="26"/>
      <c r="V71" s="26"/>
      <c r="W71" s="26"/>
      <c r="Z71" s="26"/>
      <c r="AA71" s="26"/>
      <c r="AD71" s="26"/>
      <c r="AG71" s="26"/>
      <c r="AJ71" s="26"/>
      <c r="AM71" s="26"/>
      <c r="AP71" s="26"/>
      <c r="AS71" s="26"/>
      <c r="AV71" s="26"/>
      <c r="AY71" s="26"/>
      <c r="BB71" s="26"/>
      <c r="BE71" s="26"/>
      <c r="BH71" s="26"/>
      <c r="BK71" s="26"/>
      <c r="BN71" s="26"/>
      <c r="BQ71" s="26"/>
      <c r="BT71" s="26"/>
    </row>
    <row r="72">
      <c r="I72" s="32"/>
      <c r="J72" s="26"/>
      <c r="K72" s="26"/>
      <c r="N72" s="26"/>
      <c r="O72" s="26"/>
      <c r="R72" s="26"/>
      <c r="S72" s="26"/>
      <c r="V72" s="26"/>
      <c r="W72" s="26"/>
      <c r="Z72" s="26"/>
      <c r="AA72" s="26"/>
      <c r="AD72" s="26"/>
      <c r="AG72" s="26"/>
      <c r="AJ72" s="26"/>
      <c r="AM72" s="26"/>
      <c r="AP72" s="26"/>
      <c r="AS72" s="26"/>
      <c r="AV72" s="26"/>
      <c r="AY72" s="26"/>
      <c r="BB72" s="26"/>
      <c r="BE72" s="26"/>
      <c r="BH72" s="26"/>
      <c r="BK72" s="26"/>
      <c r="BN72" s="26"/>
      <c r="BQ72" s="26"/>
      <c r="BT72" s="26"/>
    </row>
    <row r="73">
      <c r="I73" s="32"/>
      <c r="J73" s="26"/>
      <c r="K73" s="26"/>
      <c r="N73" s="26"/>
      <c r="O73" s="26"/>
      <c r="R73" s="26"/>
      <c r="S73" s="26"/>
      <c r="V73" s="26"/>
      <c r="W73" s="26"/>
      <c r="Z73" s="26"/>
      <c r="AA73" s="26"/>
      <c r="AD73" s="26"/>
      <c r="AG73" s="26"/>
      <c r="AJ73" s="26"/>
      <c r="AM73" s="26"/>
      <c r="AP73" s="26"/>
      <c r="AS73" s="26"/>
      <c r="AV73" s="26"/>
      <c r="AY73" s="26"/>
      <c r="BB73" s="26"/>
      <c r="BE73" s="26"/>
      <c r="BH73" s="26"/>
      <c r="BK73" s="26"/>
      <c r="BN73" s="26"/>
      <c r="BQ73" s="26"/>
      <c r="BT73" s="26"/>
    </row>
    <row r="74">
      <c r="I74" s="32"/>
      <c r="J74" s="26"/>
      <c r="K74" s="26"/>
      <c r="N74" s="26"/>
      <c r="O74" s="26"/>
      <c r="R74" s="26"/>
      <c r="S74" s="26"/>
      <c r="V74" s="26"/>
      <c r="W74" s="26"/>
      <c r="Z74" s="26"/>
      <c r="AA74" s="26"/>
      <c r="AD74" s="26"/>
      <c r="AG74" s="26"/>
      <c r="AJ74" s="26"/>
      <c r="AM74" s="26"/>
      <c r="AP74" s="26"/>
      <c r="AS74" s="26"/>
      <c r="AV74" s="26"/>
      <c r="AY74" s="26"/>
      <c r="BB74" s="26"/>
      <c r="BE74" s="26"/>
      <c r="BH74" s="26"/>
      <c r="BK74" s="26"/>
      <c r="BN74" s="26"/>
      <c r="BQ74" s="26"/>
      <c r="BT74" s="26"/>
    </row>
    <row r="75">
      <c r="I75" s="32"/>
      <c r="J75" s="26"/>
      <c r="K75" s="26"/>
      <c r="N75" s="26"/>
      <c r="O75" s="26"/>
      <c r="R75" s="26"/>
      <c r="S75" s="26"/>
      <c r="V75" s="26"/>
      <c r="W75" s="26"/>
      <c r="Z75" s="26"/>
      <c r="AA75" s="26"/>
      <c r="AD75" s="26"/>
      <c r="AG75" s="26"/>
      <c r="AJ75" s="26"/>
      <c r="AM75" s="26"/>
      <c r="AP75" s="26"/>
      <c r="AS75" s="26"/>
      <c r="AV75" s="26"/>
      <c r="AY75" s="26"/>
      <c r="BB75" s="26"/>
      <c r="BE75" s="26"/>
      <c r="BH75" s="26"/>
      <c r="BK75" s="26"/>
      <c r="BN75" s="26"/>
      <c r="BQ75" s="26"/>
      <c r="BT75" s="26"/>
    </row>
    <row r="76">
      <c r="I76" s="32"/>
      <c r="J76" s="26"/>
      <c r="K76" s="26"/>
      <c r="N76" s="26"/>
      <c r="O76" s="26"/>
      <c r="R76" s="26"/>
      <c r="S76" s="26"/>
      <c r="V76" s="26"/>
      <c r="W76" s="26"/>
      <c r="Z76" s="26"/>
      <c r="AA76" s="26"/>
      <c r="AD76" s="26"/>
      <c r="AG76" s="26"/>
      <c r="AJ76" s="26"/>
      <c r="AM76" s="26"/>
      <c r="AP76" s="26"/>
      <c r="AS76" s="26"/>
      <c r="AV76" s="26"/>
      <c r="AY76" s="26"/>
      <c r="BB76" s="26"/>
      <c r="BE76" s="26"/>
      <c r="BH76" s="26"/>
      <c r="BK76" s="26"/>
      <c r="BN76" s="26"/>
      <c r="BQ76" s="26"/>
      <c r="BT76" s="26"/>
    </row>
    <row r="77">
      <c r="I77" s="32"/>
      <c r="J77" s="26"/>
      <c r="K77" s="26"/>
      <c r="N77" s="26"/>
      <c r="O77" s="26"/>
      <c r="R77" s="26"/>
      <c r="S77" s="26"/>
      <c r="V77" s="26"/>
      <c r="W77" s="26"/>
      <c r="Z77" s="26"/>
      <c r="AA77" s="26"/>
      <c r="AD77" s="26"/>
      <c r="AG77" s="26"/>
      <c r="AJ77" s="26"/>
      <c r="AM77" s="26"/>
      <c r="AP77" s="26"/>
      <c r="AS77" s="26"/>
      <c r="AV77" s="26"/>
      <c r="AY77" s="26"/>
      <c r="BB77" s="26"/>
      <c r="BE77" s="26"/>
      <c r="BH77" s="26"/>
      <c r="BK77" s="26"/>
      <c r="BN77" s="26"/>
      <c r="BQ77" s="26"/>
      <c r="BT77" s="26"/>
    </row>
    <row r="78">
      <c r="I78" s="32"/>
      <c r="J78" s="26"/>
      <c r="K78" s="26"/>
      <c r="N78" s="26"/>
      <c r="O78" s="26"/>
      <c r="R78" s="26"/>
      <c r="S78" s="26"/>
      <c r="V78" s="26"/>
      <c r="W78" s="26"/>
      <c r="Z78" s="26"/>
      <c r="AA78" s="26"/>
      <c r="AD78" s="26"/>
      <c r="AG78" s="26"/>
      <c r="AJ78" s="26"/>
      <c r="AM78" s="26"/>
      <c r="AP78" s="26"/>
      <c r="AS78" s="26"/>
      <c r="AV78" s="26"/>
      <c r="AY78" s="26"/>
      <c r="BB78" s="26"/>
      <c r="BE78" s="26"/>
      <c r="BH78" s="26"/>
      <c r="BK78" s="26"/>
      <c r="BN78" s="26"/>
      <c r="BQ78" s="26"/>
      <c r="BT78" s="26"/>
    </row>
    <row r="79">
      <c r="I79" s="32"/>
      <c r="J79" s="26"/>
      <c r="K79" s="26"/>
      <c r="N79" s="26"/>
      <c r="O79" s="26"/>
      <c r="R79" s="26"/>
      <c r="S79" s="26"/>
      <c r="V79" s="26"/>
      <c r="W79" s="26"/>
      <c r="Z79" s="26"/>
      <c r="AA79" s="26"/>
      <c r="AD79" s="26"/>
      <c r="AG79" s="26"/>
      <c r="AJ79" s="26"/>
      <c r="AM79" s="26"/>
      <c r="AP79" s="26"/>
      <c r="AS79" s="26"/>
      <c r="AV79" s="26"/>
      <c r="AY79" s="26"/>
      <c r="BB79" s="26"/>
      <c r="BE79" s="26"/>
      <c r="BH79" s="26"/>
      <c r="BK79" s="26"/>
      <c r="BN79" s="26"/>
      <c r="BQ79" s="26"/>
      <c r="BT79" s="26"/>
    </row>
    <row r="80">
      <c r="I80" s="32"/>
      <c r="J80" s="26"/>
      <c r="K80" s="26"/>
      <c r="N80" s="26"/>
      <c r="O80" s="26"/>
      <c r="R80" s="26"/>
      <c r="S80" s="26"/>
      <c r="V80" s="26"/>
      <c r="W80" s="26"/>
      <c r="Z80" s="26"/>
      <c r="AA80" s="26"/>
      <c r="AD80" s="26"/>
      <c r="AG80" s="26"/>
      <c r="AJ80" s="26"/>
      <c r="AM80" s="26"/>
      <c r="AP80" s="26"/>
      <c r="AS80" s="26"/>
      <c r="AV80" s="26"/>
      <c r="AY80" s="26"/>
      <c r="BB80" s="26"/>
      <c r="BE80" s="26"/>
      <c r="BH80" s="26"/>
      <c r="BK80" s="26"/>
      <c r="BN80" s="26"/>
      <c r="BQ80" s="26"/>
      <c r="BT80" s="26"/>
    </row>
    <row r="81">
      <c r="I81" s="32"/>
      <c r="J81" s="26"/>
      <c r="K81" s="26"/>
      <c r="N81" s="26"/>
      <c r="O81" s="26"/>
      <c r="R81" s="26"/>
      <c r="S81" s="26"/>
      <c r="V81" s="26"/>
      <c r="W81" s="26"/>
      <c r="Z81" s="26"/>
      <c r="AA81" s="26"/>
      <c r="AD81" s="26"/>
      <c r="AG81" s="26"/>
      <c r="AJ81" s="26"/>
      <c r="AM81" s="26"/>
      <c r="AP81" s="26"/>
      <c r="AS81" s="26"/>
      <c r="AV81" s="26"/>
      <c r="AY81" s="26"/>
      <c r="BB81" s="26"/>
      <c r="BE81" s="26"/>
      <c r="BH81" s="26"/>
      <c r="BK81" s="26"/>
      <c r="BN81" s="26"/>
      <c r="BQ81" s="26"/>
      <c r="BT81" s="26"/>
    </row>
    <row r="82">
      <c r="I82" s="32"/>
      <c r="J82" s="26"/>
      <c r="K82" s="26"/>
      <c r="N82" s="26"/>
      <c r="O82" s="26"/>
      <c r="R82" s="26"/>
      <c r="S82" s="26"/>
      <c r="V82" s="26"/>
      <c r="W82" s="26"/>
      <c r="Z82" s="26"/>
      <c r="AA82" s="26"/>
      <c r="AD82" s="26"/>
      <c r="AG82" s="26"/>
      <c r="AJ82" s="26"/>
      <c r="AM82" s="26"/>
      <c r="AP82" s="26"/>
      <c r="AS82" s="26"/>
      <c r="AV82" s="26"/>
      <c r="AY82" s="26"/>
      <c r="BB82" s="26"/>
      <c r="BE82" s="26"/>
      <c r="BH82" s="26"/>
      <c r="BK82" s="26"/>
      <c r="BN82" s="26"/>
      <c r="BQ82" s="26"/>
      <c r="BT82" s="26"/>
    </row>
    <row r="83">
      <c r="I83" s="32"/>
      <c r="J83" s="26"/>
      <c r="K83" s="26"/>
      <c r="N83" s="26"/>
      <c r="O83" s="26"/>
      <c r="R83" s="26"/>
      <c r="S83" s="26"/>
      <c r="V83" s="26"/>
      <c r="W83" s="26"/>
      <c r="Z83" s="26"/>
      <c r="AA83" s="26"/>
      <c r="AD83" s="26"/>
      <c r="AG83" s="26"/>
      <c r="AJ83" s="26"/>
      <c r="AM83" s="26"/>
      <c r="AP83" s="26"/>
      <c r="AS83" s="26"/>
      <c r="AV83" s="26"/>
      <c r="AY83" s="26"/>
      <c r="BB83" s="26"/>
      <c r="BE83" s="26"/>
      <c r="BH83" s="26"/>
      <c r="BK83" s="26"/>
      <c r="BN83" s="26"/>
      <c r="BQ83" s="26"/>
      <c r="BT83" s="26"/>
    </row>
    <row r="84">
      <c r="I84" s="32"/>
      <c r="J84" s="26"/>
      <c r="K84" s="26"/>
      <c r="N84" s="26"/>
      <c r="O84" s="26"/>
      <c r="R84" s="26"/>
      <c r="S84" s="26"/>
      <c r="V84" s="26"/>
      <c r="W84" s="26"/>
      <c r="Z84" s="26"/>
      <c r="AA84" s="26"/>
      <c r="AD84" s="26"/>
      <c r="AG84" s="26"/>
      <c r="AJ84" s="26"/>
      <c r="AM84" s="26"/>
      <c r="AP84" s="26"/>
      <c r="AS84" s="26"/>
      <c r="AV84" s="26"/>
      <c r="AY84" s="26"/>
      <c r="BB84" s="26"/>
      <c r="BE84" s="26"/>
      <c r="BH84" s="26"/>
      <c r="BK84" s="26"/>
      <c r="BN84" s="26"/>
      <c r="BQ84" s="26"/>
      <c r="BT84" s="26"/>
    </row>
    <row r="85">
      <c r="I85" s="32"/>
      <c r="J85" s="26"/>
      <c r="K85" s="26"/>
      <c r="N85" s="26"/>
      <c r="O85" s="26"/>
      <c r="R85" s="26"/>
      <c r="S85" s="26"/>
      <c r="V85" s="26"/>
      <c r="W85" s="26"/>
      <c r="Z85" s="26"/>
      <c r="AA85" s="26"/>
      <c r="AD85" s="26"/>
      <c r="AG85" s="26"/>
      <c r="AJ85" s="26"/>
      <c r="AM85" s="26"/>
      <c r="AP85" s="26"/>
      <c r="AS85" s="26"/>
      <c r="AV85" s="26"/>
      <c r="AY85" s="26"/>
      <c r="BB85" s="26"/>
      <c r="BE85" s="26"/>
      <c r="BH85" s="26"/>
      <c r="BK85" s="26"/>
      <c r="BN85" s="26"/>
      <c r="BQ85" s="26"/>
      <c r="BT85" s="26"/>
    </row>
    <row r="86">
      <c r="I86" s="32"/>
      <c r="J86" s="26"/>
      <c r="K86" s="26"/>
      <c r="N86" s="26"/>
      <c r="O86" s="26"/>
      <c r="R86" s="26"/>
      <c r="S86" s="26"/>
      <c r="V86" s="26"/>
      <c r="W86" s="26"/>
      <c r="Z86" s="26"/>
      <c r="AA86" s="26"/>
      <c r="AD86" s="26"/>
      <c r="AG86" s="26"/>
      <c r="AJ86" s="26"/>
      <c r="AM86" s="26"/>
      <c r="AP86" s="26"/>
      <c r="AS86" s="26"/>
      <c r="AV86" s="26"/>
      <c r="AY86" s="26"/>
      <c r="BB86" s="26"/>
      <c r="BE86" s="26"/>
      <c r="BH86" s="26"/>
      <c r="BK86" s="26"/>
      <c r="BN86" s="26"/>
      <c r="BQ86" s="26"/>
      <c r="BT86" s="26"/>
    </row>
    <row r="87">
      <c r="I87" s="32"/>
      <c r="J87" s="26"/>
      <c r="K87" s="26"/>
      <c r="N87" s="26"/>
      <c r="O87" s="26"/>
      <c r="R87" s="26"/>
      <c r="S87" s="26"/>
      <c r="V87" s="26"/>
      <c r="W87" s="26"/>
      <c r="Z87" s="26"/>
      <c r="AA87" s="26"/>
      <c r="AD87" s="26"/>
      <c r="AG87" s="26"/>
      <c r="AJ87" s="26"/>
      <c r="AM87" s="26"/>
      <c r="AP87" s="26"/>
      <c r="AS87" s="26"/>
      <c r="AV87" s="26"/>
      <c r="AY87" s="26"/>
      <c r="BB87" s="26"/>
      <c r="BE87" s="26"/>
      <c r="BH87" s="26"/>
      <c r="BK87" s="26"/>
      <c r="BN87" s="26"/>
      <c r="BQ87" s="26"/>
      <c r="BT87" s="26"/>
    </row>
    <row r="88">
      <c r="I88" s="32"/>
      <c r="J88" s="26"/>
      <c r="K88" s="26"/>
      <c r="N88" s="26"/>
      <c r="O88" s="26"/>
      <c r="R88" s="26"/>
      <c r="S88" s="26"/>
      <c r="V88" s="26"/>
      <c r="W88" s="26"/>
      <c r="Z88" s="26"/>
      <c r="AA88" s="26"/>
      <c r="AD88" s="26"/>
      <c r="AG88" s="26"/>
      <c r="AJ88" s="26"/>
      <c r="AM88" s="26"/>
      <c r="AP88" s="26"/>
      <c r="AS88" s="26"/>
      <c r="AV88" s="26"/>
      <c r="AY88" s="26"/>
      <c r="BB88" s="26"/>
      <c r="BE88" s="26"/>
      <c r="BH88" s="26"/>
      <c r="BK88" s="26"/>
      <c r="BN88" s="26"/>
      <c r="BQ88" s="26"/>
      <c r="BT88" s="26"/>
    </row>
    <row r="89">
      <c r="I89" s="32"/>
      <c r="J89" s="26"/>
      <c r="K89" s="26"/>
      <c r="N89" s="26"/>
      <c r="O89" s="26"/>
      <c r="R89" s="26"/>
      <c r="S89" s="26"/>
      <c r="V89" s="26"/>
      <c r="W89" s="26"/>
      <c r="Z89" s="26"/>
      <c r="AA89" s="26"/>
      <c r="AD89" s="26"/>
      <c r="AG89" s="26"/>
      <c r="AJ89" s="26"/>
      <c r="AM89" s="26"/>
      <c r="AP89" s="26"/>
      <c r="AS89" s="26"/>
      <c r="AV89" s="26"/>
      <c r="AY89" s="26"/>
      <c r="BB89" s="26"/>
      <c r="BE89" s="26"/>
      <c r="BH89" s="26"/>
      <c r="BK89" s="26"/>
      <c r="BN89" s="26"/>
      <c r="BQ89" s="26"/>
      <c r="BT89" s="26"/>
    </row>
    <row r="90">
      <c r="I90" s="32"/>
      <c r="J90" s="26"/>
      <c r="K90" s="26"/>
      <c r="N90" s="26"/>
      <c r="O90" s="26"/>
      <c r="R90" s="26"/>
      <c r="S90" s="26"/>
      <c r="V90" s="26"/>
      <c r="W90" s="26"/>
      <c r="Z90" s="26"/>
      <c r="AA90" s="26"/>
      <c r="AD90" s="26"/>
      <c r="AG90" s="26"/>
      <c r="AJ90" s="26"/>
      <c r="AM90" s="26"/>
      <c r="AP90" s="26"/>
      <c r="AS90" s="26"/>
      <c r="AV90" s="26"/>
      <c r="AY90" s="26"/>
      <c r="BB90" s="26"/>
      <c r="BE90" s="26"/>
      <c r="BH90" s="26"/>
      <c r="BK90" s="26"/>
      <c r="BN90" s="26"/>
      <c r="BQ90" s="26"/>
      <c r="BT90" s="26"/>
    </row>
    <row r="91">
      <c r="I91" s="32"/>
      <c r="J91" s="26"/>
      <c r="K91" s="26"/>
      <c r="N91" s="26"/>
      <c r="O91" s="26"/>
      <c r="R91" s="26"/>
      <c r="S91" s="26"/>
      <c r="V91" s="26"/>
      <c r="W91" s="26"/>
      <c r="Z91" s="26"/>
      <c r="AA91" s="26"/>
      <c r="AD91" s="26"/>
      <c r="AG91" s="26"/>
      <c r="AJ91" s="26"/>
      <c r="AM91" s="26"/>
      <c r="AP91" s="26"/>
      <c r="AS91" s="26"/>
      <c r="AV91" s="26"/>
      <c r="AY91" s="26"/>
      <c r="BB91" s="26"/>
      <c r="BE91" s="26"/>
      <c r="BH91" s="26"/>
      <c r="BK91" s="26"/>
      <c r="BN91" s="26"/>
      <c r="BQ91" s="26"/>
      <c r="BT91" s="26"/>
    </row>
    <row r="92">
      <c r="I92" s="32"/>
      <c r="J92" s="26"/>
      <c r="K92" s="26"/>
      <c r="N92" s="26"/>
      <c r="O92" s="26"/>
      <c r="R92" s="26"/>
      <c r="S92" s="26"/>
      <c r="V92" s="26"/>
      <c r="W92" s="26"/>
      <c r="Z92" s="26"/>
      <c r="AA92" s="26"/>
      <c r="AD92" s="26"/>
      <c r="AG92" s="26"/>
      <c r="AJ92" s="26"/>
      <c r="AM92" s="26"/>
      <c r="AP92" s="26"/>
      <c r="AS92" s="26"/>
      <c r="AV92" s="26"/>
      <c r="AY92" s="26"/>
      <c r="BB92" s="26"/>
      <c r="BE92" s="26"/>
      <c r="BH92" s="26"/>
      <c r="BK92" s="26"/>
      <c r="BN92" s="26"/>
      <c r="BQ92" s="26"/>
      <c r="BT92" s="26"/>
    </row>
    <row r="93">
      <c r="I93" s="32"/>
      <c r="J93" s="26"/>
      <c r="K93" s="26"/>
      <c r="N93" s="26"/>
      <c r="O93" s="26"/>
      <c r="R93" s="26"/>
      <c r="S93" s="26"/>
      <c r="V93" s="26"/>
      <c r="W93" s="26"/>
      <c r="Z93" s="26"/>
      <c r="AA93" s="26"/>
      <c r="AD93" s="26"/>
      <c r="AG93" s="26"/>
      <c r="AJ93" s="26"/>
      <c r="AM93" s="26"/>
      <c r="AP93" s="26"/>
      <c r="AS93" s="26"/>
      <c r="AV93" s="26"/>
      <c r="AY93" s="26"/>
      <c r="BB93" s="26"/>
      <c r="BE93" s="26"/>
      <c r="BH93" s="26"/>
      <c r="BK93" s="26"/>
      <c r="BN93" s="26"/>
      <c r="BQ93" s="26"/>
      <c r="BT93" s="26"/>
    </row>
    <row r="94">
      <c r="I94" s="32"/>
      <c r="J94" s="26"/>
      <c r="K94" s="26"/>
      <c r="N94" s="26"/>
      <c r="O94" s="26"/>
      <c r="R94" s="26"/>
      <c r="S94" s="26"/>
      <c r="V94" s="26"/>
      <c r="W94" s="26"/>
      <c r="Z94" s="26"/>
      <c r="AA94" s="26"/>
      <c r="AD94" s="26"/>
      <c r="AG94" s="26"/>
      <c r="AJ94" s="26"/>
      <c r="AM94" s="26"/>
      <c r="AP94" s="26"/>
      <c r="AS94" s="26"/>
      <c r="AV94" s="26"/>
      <c r="AY94" s="26"/>
      <c r="BB94" s="26"/>
      <c r="BE94" s="26"/>
      <c r="BH94" s="26"/>
      <c r="BK94" s="26"/>
      <c r="BN94" s="26"/>
      <c r="BQ94" s="26"/>
      <c r="BT94" s="26"/>
    </row>
    <row r="95">
      <c r="I95" s="32"/>
      <c r="J95" s="26"/>
      <c r="K95" s="26"/>
      <c r="N95" s="26"/>
      <c r="O95" s="26"/>
      <c r="R95" s="26"/>
      <c r="S95" s="26"/>
      <c r="V95" s="26"/>
      <c r="W95" s="26"/>
      <c r="Z95" s="26"/>
      <c r="AA95" s="26"/>
      <c r="AD95" s="26"/>
      <c r="AG95" s="26"/>
      <c r="AJ95" s="26"/>
      <c r="AM95" s="26"/>
      <c r="AP95" s="26"/>
      <c r="AS95" s="26"/>
      <c r="AV95" s="26"/>
      <c r="AY95" s="26"/>
      <c r="BB95" s="26"/>
      <c r="BE95" s="26"/>
      <c r="BH95" s="26"/>
      <c r="BK95" s="26"/>
      <c r="BN95" s="26"/>
      <c r="BQ95" s="26"/>
      <c r="BT95" s="26"/>
    </row>
    <row r="96">
      <c r="I96" s="32"/>
      <c r="J96" s="26"/>
      <c r="K96" s="26"/>
      <c r="N96" s="26"/>
      <c r="O96" s="26"/>
      <c r="R96" s="26"/>
      <c r="S96" s="26"/>
      <c r="V96" s="26"/>
      <c r="W96" s="26"/>
      <c r="Z96" s="26"/>
      <c r="AA96" s="26"/>
      <c r="AD96" s="26"/>
      <c r="AG96" s="26"/>
      <c r="AJ96" s="26"/>
      <c r="AM96" s="26"/>
      <c r="AP96" s="26"/>
      <c r="AS96" s="26"/>
      <c r="AV96" s="26"/>
      <c r="AY96" s="26"/>
      <c r="BB96" s="26"/>
      <c r="BE96" s="26"/>
      <c r="BH96" s="26"/>
      <c r="BK96" s="26"/>
      <c r="BN96" s="26"/>
      <c r="BQ96" s="26"/>
      <c r="BT96" s="26"/>
    </row>
    <row r="97">
      <c r="I97" s="32"/>
      <c r="J97" s="26"/>
      <c r="K97" s="26"/>
      <c r="N97" s="26"/>
      <c r="O97" s="26"/>
      <c r="R97" s="26"/>
      <c r="S97" s="26"/>
      <c r="V97" s="26"/>
      <c r="W97" s="26"/>
      <c r="Z97" s="26"/>
      <c r="AA97" s="26"/>
      <c r="AD97" s="26"/>
      <c r="AG97" s="26"/>
      <c r="AJ97" s="26"/>
      <c r="AM97" s="26"/>
      <c r="AP97" s="26"/>
      <c r="AS97" s="26"/>
      <c r="AV97" s="26"/>
      <c r="AY97" s="26"/>
      <c r="BB97" s="26"/>
      <c r="BE97" s="26"/>
      <c r="BH97" s="26"/>
      <c r="BK97" s="26"/>
      <c r="BN97" s="26"/>
      <c r="BQ97" s="26"/>
      <c r="BT97" s="26"/>
    </row>
    <row r="98">
      <c r="I98" s="32"/>
      <c r="J98" s="26"/>
      <c r="K98" s="26"/>
      <c r="N98" s="26"/>
      <c r="O98" s="26"/>
      <c r="R98" s="26"/>
      <c r="S98" s="26"/>
      <c r="V98" s="26"/>
      <c r="W98" s="26"/>
      <c r="Z98" s="26"/>
      <c r="AA98" s="26"/>
      <c r="AD98" s="26"/>
      <c r="AG98" s="26"/>
      <c r="AJ98" s="26"/>
      <c r="AM98" s="26"/>
      <c r="AP98" s="26"/>
      <c r="AS98" s="26"/>
      <c r="AV98" s="26"/>
      <c r="AY98" s="26"/>
      <c r="BB98" s="26"/>
      <c r="BE98" s="26"/>
      <c r="BH98" s="26"/>
      <c r="BK98" s="26"/>
      <c r="BN98" s="26"/>
      <c r="BQ98" s="26"/>
      <c r="BT98" s="26"/>
    </row>
    <row r="99">
      <c r="I99" s="32"/>
      <c r="J99" s="26"/>
      <c r="K99" s="26"/>
      <c r="N99" s="26"/>
      <c r="O99" s="26"/>
      <c r="R99" s="26"/>
      <c r="S99" s="26"/>
      <c r="V99" s="26"/>
      <c r="W99" s="26"/>
      <c r="Z99" s="26"/>
      <c r="AA99" s="26"/>
      <c r="AD99" s="26"/>
      <c r="AG99" s="26"/>
      <c r="AJ99" s="26"/>
      <c r="AM99" s="26"/>
      <c r="AP99" s="26"/>
      <c r="AS99" s="26"/>
      <c r="AV99" s="26"/>
      <c r="AY99" s="26"/>
      <c r="BB99" s="26"/>
      <c r="BE99" s="26"/>
      <c r="BH99" s="26"/>
      <c r="BK99" s="26"/>
      <c r="BN99" s="26"/>
      <c r="BQ99" s="26"/>
      <c r="BT99" s="26"/>
    </row>
    <row r="100">
      <c r="I100" s="32"/>
      <c r="J100" s="26"/>
      <c r="K100" s="26"/>
      <c r="N100" s="26"/>
      <c r="O100" s="26"/>
      <c r="R100" s="26"/>
      <c r="S100" s="26"/>
      <c r="V100" s="26"/>
      <c r="W100" s="26"/>
      <c r="Z100" s="26"/>
      <c r="AA100" s="26"/>
      <c r="AD100" s="26"/>
      <c r="AG100" s="26"/>
      <c r="AJ100" s="26"/>
      <c r="AM100" s="26"/>
      <c r="AP100" s="26"/>
      <c r="AS100" s="26"/>
      <c r="AV100" s="26"/>
      <c r="AY100" s="26"/>
      <c r="BB100" s="26"/>
      <c r="BE100" s="26"/>
      <c r="BH100" s="26"/>
      <c r="BK100" s="26"/>
      <c r="BN100" s="26"/>
      <c r="BQ100" s="26"/>
      <c r="BT100" s="26"/>
    </row>
    <row r="101">
      <c r="I101" s="32"/>
      <c r="J101" s="26"/>
      <c r="K101" s="26"/>
      <c r="N101" s="26"/>
      <c r="O101" s="26"/>
      <c r="R101" s="26"/>
      <c r="S101" s="26"/>
      <c r="V101" s="26"/>
      <c r="W101" s="26"/>
      <c r="Z101" s="26"/>
      <c r="AA101" s="26"/>
      <c r="AD101" s="26"/>
      <c r="AG101" s="26"/>
      <c r="AJ101" s="26"/>
      <c r="AM101" s="26"/>
      <c r="AP101" s="26"/>
      <c r="AS101" s="26"/>
      <c r="AV101" s="26"/>
      <c r="AY101" s="26"/>
      <c r="BB101" s="26"/>
      <c r="BE101" s="26"/>
      <c r="BH101" s="26"/>
      <c r="BK101" s="26"/>
      <c r="BN101" s="26"/>
      <c r="BQ101" s="26"/>
      <c r="BT101" s="26"/>
    </row>
    <row r="102">
      <c r="I102" s="32"/>
      <c r="J102" s="26"/>
      <c r="K102" s="26"/>
      <c r="N102" s="26"/>
      <c r="O102" s="26"/>
      <c r="R102" s="26"/>
      <c r="S102" s="26"/>
      <c r="V102" s="26"/>
      <c r="W102" s="26"/>
      <c r="Z102" s="26"/>
      <c r="AA102" s="26"/>
      <c r="AD102" s="26"/>
      <c r="AG102" s="26"/>
      <c r="AJ102" s="26"/>
      <c r="AM102" s="26"/>
      <c r="AP102" s="26"/>
      <c r="AS102" s="26"/>
      <c r="AV102" s="26"/>
      <c r="AY102" s="26"/>
      <c r="BB102" s="26"/>
      <c r="BE102" s="26"/>
      <c r="BH102" s="26"/>
      <c r="BK102" s="26"/>
      <c r="BN102" s="26"/>
      <c r="BQ102" s="26"/>
      <c r="BT102" s="26"/>
    </row>
    <row r="103">
      <c r="I103" s="32"/>
      <c r="J103" s="26"/>
      <c r="K103" s="26"/>
      <c r="N103" s="26"/>
      <c r="O103" s="26"/>
      <c r="R103" s="26"/>
      <c r="S103" s="26"/>
      <c r="V103" s="26"/>
      <c r="W103" s="26"/>
      <c r="Z103" s="26"/>
      <c r="AA103" s="26"/>
      <c r="AD103" s="26"/>
      <c r="AG103" s="26"/>
      <c r="AJ103" s="26"/>
      <c r="AM103" s="26"/>
      <c r="AP103" s="26"/>
      <c r="AS103" s="26"/>
      <c r="AV103" s="26"/>
      <c r="AY103" s="26"/>
      <c r="BB103" s="26"/>
      <c r="BE103" s="26"/>
      <c r="BH103" s="26"/>
      <c r="BK103" s="26"/>
      <c r="BN103" s="26"/>
      <c r="BQ103" s="26"/>
      <c r="BT103" s="26"/>
    </row>
    <row r="104">
      <c r="I104" s="32"/>
      <c r="J104" s="26"/>
      <c r="K104" s="26"/>
      <c r="N104" s="26"/>
      <c r="O104" s="26"/>
      <c r="R104" s="26"/>
      <c r="S104" s="26"/>
      <c r="V104" s="26"/>
      <c r="W104" s="26"/>
      <c r="Z104" s="26"/>
      <c r="AA104" s="26"/>
      <c r="AD104" s="26"/>
      <c r="AG104" s="26"/>
      <c r="AJ104" s="26"/>
      <c r="AM104" s="26"/>
      <c r="AP104" s="26"/>
      <c r="AS104" s="26"/>
      <c r="AV104" s="26"/>
      <c r="AY104" s="26"/>
      <c r="BB104" s="26"/>
      <c r="BE104" s="26"/>
      <c r="BH104" s="26"/>
      <c r="BK104" s="26"/>
      <c r="BN104" s="26"/>
      <c r="BQ104" s="26"/>
      <c r="BT104" s="26"/>
    </row>
    <row r="105">
      <c r="I105" s="32"/>
      <c r="J105" s="26"/>
      <c r="K105" s="26"/>
      <c r="N105" s="26"/>
      <c r="O105" s="26"/>
      <c r="R105" s="26"/>
      <c r="S105" s="26"/>
      <c r="V105" s="26"/>
      <c r="W105" s="26"/>
      <c r="Z105" s="26"/>
      <c r="AA105" s="26"/>
      <c r="AD105" s="26"/>
      <c r="AG105" s="26"/>
      <c r="AJ105" s="26"/>
      <c r="AM105" s="26"/>
      <c r="AP105" s="26"/>
      <c r="AS105" s="26"/>
      <c r="AV105" s="26"/>
      <c r="AY105" s="26"/>
      <c r="BB105" s="26"/>
      <c r="BE105" s="26"/>
      <c r="BH105" s="26"/>
      <c r="BK105" s="26"/>
      <c r="BN105" s="26"/>
      <c r="BQ105" s="26"/>
      <c r="BT105" s="26"/>
    </row>
    <row r="106">
      <c r="A106" s="67"/>
      <c r="B106" s="67"/>
      <c r="C106" s="67"/>
      <c r="D106" s="68" t="s">
        <v>323</v>
      </c>
      <c r="E106" s="7"/>
      <c r="F106" s="7"/>
      <c r="I106" s="32"/>
      <c r="J106" s="26"/>
      <c r="K106" s="26"/>
      <c r="N106" s="26"/>
      <c r="O106" s="26"/>
      <c r="R106" s="26"/>
      <c r="S106" s="26"/>
      <c r="V106" s="26"/>
      <c r="W106" s="26"/>
      <c r="Z106" s="26"/>
      <c r="AA106" s="26"/>
      <c r="AD106" s="26"/>
      <c r="AG106" s="26"/>
      <c r="AJ106" s="26"/>
      <c r="AM106" s="26"/>
      <c r="AP106" s="26"/>
      <c r="AS106" s="26"/>
      <c r="AV106" s="26"/>
      <c r="AY106" s="26"/>
      <c r="BB106" s="26"/>
      <c r="BE106" s="26"/>
      <c r="BH106" s="26"/>
      <c r="BK106" s="26"/>
      <c r="BN106" s="26"/>
      <c r="BQ106" s="26"/>
      <c r="BT106" s="26"/>
    </row>
    <row r="107">
      <c r="A107" s="69"/>
      <c r="B107" s="69"/>
      <c r="C107" s="69"/>
      <c r="D107" s="69">
        <f>COUNTA(D3:D25)</f>
        <v>18</v>
      </c>
      <c r="E107" s="7"/>
      <c r="F107" s="7" t="s">
        <v>324</v>
      </c>
      <c r="I107" s="32"/>
      <c r="J107" s="26"/>
      <c r="K107" s="26"/>
      <c r="N107" s="26"/>
      <c r="O107" s="26"/>
      <c r="R107" s="26"/>
      <c r="S107" s="26"/>
      <c r="V107" s="26"/>
      <c r="W107" s="26"/>
      <c r="Z107" s="26"/>
      <c r="AA107" s="26"/>
      <c r="AD107" s="26"/>
      <c r="AG107" s="26"/>
      <c r="AJ107" s="26"/>
      <c r="AM107" s="26"/>
      <c r="AP107" s="26"/>
      <c r="AS107" s="26"/>
      <c r="AV107" s="26"/>
      <c r="AY107" s="26"/>
      <c r="BB107" s="26"/>
      <c r="BE107" s="26"/>
      <c r="BH107" s="26"/>
      <c r="BK107" s="26"/>
      <c r="BN107" s="26"/>
      <c r="BQ107" s="26"/>
      <c r="BT107" s="26"/>
    </row>
    <row r="108">
      <c r="A108" s="69"/>
      <c r="B108" s="69"/>
      <c r="C108" s="69"/>
      <c r="D108" s="69">
        <f>FLOOR(D107/2, 1) +1</f>
        <v>10</v>
      </c>
      <c r="E108" s="7"/>
      <c r="F108" s="7" t="s">
        <v>325</v>
      </c>
      <c r="I108" s="32"/>
      <c r="J108" s="26"/>
      <c r="K108" s="26"/>
      <c r="N108" s="26"/>
      <c r="O108" s="26"/>
      <c r="R108" s="26"/>
      <c r="S108" s="26"/>
      <c r="V108" s="26"/>
      <c r="W108" s="26"/>
      <c r="Z108" s="26"/>
      <c r="AA108" s="26"/>
      <c r="AD108" s="26"/>
      <c r="AG108" s="26"/>
      <c r="AJ108" s="26"/>
      <c r="AM108" s="26"/>
      <c r="AP108" s="26"/>
      <c r="AS108" s="26"/>
      <c r="AV108" s="26"/>
      <c r="AY108" s="26"/>
      <c r="BB108" s="26"/>
      <c r="BE108" s="26"/>
      <c r="BH108" s="26"/>
      <c r="BK108" s="26"/>
      <c r="BN108" s="26"/>
      <c r="BQ108" s="26"/>
      <c r="BT108" s="26"/>
    </row>
    <row r="109">
      <c r="A109" s="69"/>
      <c r="B109" s="69"/>
      <c r="C109" s="69"/>
      <c r="D109" s="69">
        <f>COUNTA(D29:D50)</f>
        <v>18</v>
      </c>
      <c r="E109" s="7"/>
      <c r="F109" s="7" t="s">
        <v>326</v>
      </c>
      <c r="I109" s="32"/>
      <c r="J109" s="26"/>
      <c r="K109" s="26"/>
      <c r="N109" s="26"/>
      <c r="O109" s="26"/>
      <c r="R109" s="26"/>
      <c r="S109" s="26"/>
      <c r="V109" s="26"/>
      <c r="W109" s="26"/>
      <c r="Z109" s="26"/>
      <c r="AA109" s="26"/>
      <c r="AD109" s="26"/>
      <c r="AG109" s="26"/>
      <c r="AJ109" s="26"/>
      <c r="AM109" s="26"/>
      <c r="AP109" s="26"/>
      <c r="AS109" s="26"/>
      <c r="AV109" s="26"/>
      <c r="AY109" s="26"/>
      <c r="BB109" s="26"/>
      <c r="BE109" s="26"/>
      <c r="BH109" s="26"/>
      <c r="BK109" s="26"/>
      <c r="BN109" s="26"/>
      <c r="BQ109" s="26"/>
      <c r="BT109" s="26"/>
    </row>
    <row r="110">
      <c r="I110" s="32"/>
      <c r="J110" s="26"/>
      <c r="K110" s="26"/>
      <c r="N110" s="26"/>
      <c r="O110" s="26"/>
      <c r="R110" s="26"/>
      <c r="S110" s="26"/>
      <c r="V110" s="26"/>
      <c r="W110" s="26"/>
      <c r="Z110" s="26"/>
      <c r="AA110" s="26"/>
      <c r="AD110" s="26"/>
      <c r="AG110" s="26"/>
      <c r="AJ110" s="26"/>
      <c r="AM110" s="26"/>
      <c r="AP110" s="26"/>
      <c r="AS110" s="26"/>
      <c r="AV110" s="26"/>
      <c r="AY110" s="26"/>
      <c r="BB110" s="26"/>
      <c r="BE110" s="26"/>
      <c r="BH110" s="26"/>
      <c r="BK110" s="26"/>
      <c r="BN110" s="26"/>
      <c r="BQ110" s="26"/>
      <c r="BT110" s="26"/>
    </row>
    <row r="111">
      <c r="I111" s="32"/>
      <c r="J111" s="26"/>
      <c r="K111" s="26"/>
      <c r="N111" s="26"/>
      <c r="O111" s="26"/>
      <c r="R111" s="26"/>
      <c r="S111" s="26"/>
      <c r="V111" s="26"/>
      <c r="W111" s="26"/>
      <c r="Z111" s="26"/>
      <c r="AA111" s="26"/>
      <c r="AD111" s="26"/>
      <c r="AG111" s="26"/>
      <c r="AJ111" s="26"/>
      <c r="AM111" s="26"/>
      <c r="AP111" s="26"/>
      <c r="AS111" s="26"/>
      <c r="AV111" s="26"/>
      <c r="AY111" s="26"/>
      <c r="BB111" s="26"/>
      <c r="BE111" s="26"/>
      <c r="BH111" s="26"/>
      <c r="BK111" s="26"/>
      <c r="BN111" s="26"/>
      <c r="BQ111" s="26"/>
      <c r="BT111" s="26"/>
    </row>
    <row r="112">
      <c r="I112" s="32"/>
      <c r="J112" s="26"/>
      <c r="K112" s="26"/>
      <c r="N112" s="26"/>
      <c r="O112" s="26"/>
      <c r="R112" s="26"/>
      <c r="S112" s="26"/>
      <c r="V112" s="26"/>
      <c r="W112" s="26"/>
      <c r="Z112" s="26"/>
      <c r="AA112" s="26"/>
      <c r="AD112" s="26"/>
      <c r="AG112" s="26"/>
      <c r="AJ112" s="26"/>
      <c r="AM112" s="26"/>
      <c r="AP112" s="26"/>
      <c r="AS112" s="26"/>
      <c r="AV112" s="26"/>
      <c r="AY112" s="26"/>
      <c r="BB112" s="26"/>
      <c r="BE112" s="26"/>
      <c r="BH112" s="26"/>
      <c r="BK112" s="26"/>
      <c r="BN112" s="26"/>
      <c r="BQ112" s="26"/>
      <c r="BT112" s="26"/>
    </row>
    <row r="113">
      <c r="I113" s="32"/>
      <c r="J113" s="26"/>
      <c r="K113" s="26"/>
      <c r="N113" s="26"/>
      <c r="O113" s="26"/>
      <c r="R113" s="26"/>
      <c r="S113" s="26"/>
      <c r="V113" s="26"/>
      <c r="W113" s="26"/>
      <c r="Z113" s="26"/>
      <c r="AA113" s="26"/>
      <c r="AD113" s="26"/>
      <c r="AG113" s="26"/>
      <c r="AJ113" s="26"/>
      <c r="AM113" s="26"/>
      <c r="AP113" s="26"/>
      <c r="AS113" s="26"/>
      <c r="AV113" s="26"/>
      <c r="AY113" s="26"/>
      <c r="BB113" s="26"/>
      <c r="BE113" s="26"/>
      <c r="BH113" s="26"/>
      <c r="BK113" s="26"/>
      <c r="BN113" s="26"/>
      <c r="BQ113" s="26"/>
      <c r="BT113" s="26"/>
    </row>
    <row r="114">
      <c r="I114" s="32"/>
      <c r="J114" s="26"/>
      <c r="K114" s="26"/>
      <c r="N114" s="26"/>
      <c r="O114" s="26"/>
      <c r="R114" s="26"/>
      <c r="S114" s="26"/>
      <c r="V114" s="26"/>
      <c r="W114" s="26"/>
      <c r="Z114" s="26"/>
      <c r="AA114" s="26"/>
      <c r="AD114" s="26"/>
      <c r="AG114" s="26"/>
      <c r="AJ114" s="26"/>
      <c r="AM114" s="26"/>
      <c r="AP114" s="26"/>
      <c r="AS114" s="26"/>
      <c r="AV114" s="26"/>
      <c r="AY114" s="26"/>
      <c r="BB114" s="26"/>
      <c r="BE114" s="26"/>
      <c r="BH114" s="26"/>
      <c r="BK114" s="26"/>
      <c r="BN114" s="26"/>
      <c r="BQ114" s="26"/>
      <c r="BT114" s="26"/>
    </row>
    <row r="115">
      <c r="I115" s="32"/>
      <c r="J115" s="26"/>
      <c r="K115" s="26"/>
      <c r="N115" s="26"/>
      <c r="O115" s="26"/>
      <c r="R115" s="26"/>
      <c r="S115" s="26"/>
      <c r="V115" s="26"/>
      <c r="W115" s="26"/>
      <c r="Z115" s="26"/>
      <c r="AA115" s="26"/>
      <c r="AD115" s="26"/>
      <c r="AG115" s="26"/>
      <c r="AJ115" s="26"/>
      <c r="AM115" s="26"/>
      <c r="AP115" s="26"/>
      <c r="AS115" s="26"/>
      <c r="AV115" s="26"/>
      <c r="AY115" s="26"/>
      <c r="BB115" s="26"/>
      <c r="BE115" s="26"/>
      <c r="BH115" s="26"/>
      <c r="BK115" s="26"/>
      <c r="BN115" s="26"/>
      <c r="BQ115" s="26"/>
      <c r="BT115" s="26"/>
    </row>
    <row r="116">
      <c r="I116" s="32"/>
      <c r="J116" s="26"/>
      <c r="K116" s="26"/>
      <c r="N116" s="26"/>
      <c r="O116" s="26"/>
      <c r="R116" s="26"/>
      <c r="S116" s="26"/>
      <c r="V116" s="26"/>
      <c r="W116" s="26"/>
      <c r="Z116" s="26"/>
      <c r="AA116" s="26"/>
      <c r="AD116" s="26"/>
      <c r="AG116" s="26"/>
      <c r="AJ116" s="26"/>
      <c r="AM116" s="26"/>
      <c r="AP116" s="26"/>
      <c r="AS116" s="26"/>
      <c r="AV116" s="26"/>
      <c r="AY116" s="26"/>
      <c r="BB116" s="26"/>
      <c r="BE116" s="26"/>
      <c r="BH116" s="26"/>
      <c r="BK116" s="26"/>
      <c r="BN116" s="26"/>
      <c r="BQ116" s="26"/>
      <c r="BT116" s="26"/>
    </row>
    <row r="117">
      <c r="I117" s="32"/>
      <c r="J117" s="26"/>
      <c r="K117" s="26"/>
      <c r="N117" s="26"/>
      <c r="O117" s="26"/>
      <c r="R117" s="26"/>
      <c r="S117" s="26"/>
      <c r="V117" s="26"/>
      <c r="W117" s="26"/>
      <c r="Z117" s="26"/>
      <c r="AA117" s="26"/>
      <c r="AD117" s="26"/>
      <c r="AG117" s="26"/>
      <c r="AJ117" s="26"/>
      <c r="AM117" s="26"/>
      <c r="AP117" s="26"/>
      <c r="AS117" s="26"/>
      <c r="AV117" s="26"/>
      <c r="AY117" s="26"/>
      <c r="BB117" s="26"/>
      <c r="BE117" s="26"/>
      <c r="BH117" s="26"/>
      <c r="BK117" s="26"/>
      <c r="BN117" s="26"/>
      <c r="BQ117" s="26"/>
      <c r="BT117" s="26"/>
    </row>
    <row r="118">
      <c r="I118" s="32"/>
      <c r="J118" s="26"/>
      <c r="K118" s="26"/>
      <c r="N118" s="26"/>
      <c r="O118" s="26"/>
      <c r="R118" s="26"/>
      <c r="S118" s="26"/>
      <c r="V118" s="26"/>
      <c r="W118" s="26"/>
      <c r="Z118" s="26"/>
      <c r="AA118" s="26"/>
      <c r="AD118" s="26"/>
      <c r="AG118" s="26"/>
      <c r="AJ118" s="26"/>
      <c r="AM118" s="26"/>
      <c r="AP118" s="26"/>
      <c r="AS118" s="26"/>
      <c r="AV118" s="26"/>
      <c r="AY118" s="26"/>
      <c r="BB118" s="26"/>
      <c r="BE118" s="26"/>
      <c r="BH118" s="26"/>
      <c r="BK118" s="26"/>
      <c r="BN118" s="26"/>
      <c r="BQ118" s="26"/>
      <c r="BT118" s="26"/>
    </row>
    <row r="119">
      <c r="I119" s="32"/>
      <c r="J119" s="26"/>
      <c r="K119" s="26"/>
      <c r="N119" s="26"/>
      <c r="O119" s="26"/>
      <c r="R119" s="26"/>
      <c r="S119" s="26"/>
      <c r="V119" s="26"/>
      <c r="W119" s="26"/>
      <c r="Z119" s="26"/>
      <c r="AA119" s="26"/>
      <c r="AD119" s="26"/>
      <c r="AG119" s="26"/>
      <c r="AJ119" s="26"/>
      <c r="AM119" s="26"/>
      <c r="AP119" s="26"/>
      <c r="AS119" s="26"/>
      <c r="AV119" s="26"/>
      <c r="AY119" s="26"/>
      <c r="BB119" s="26"/>
      <c r="BE119" s="26"/>
      <c r="BH119" s="26"/>
      <c r="BK119" s="26"/>
      <c r="BN119" s="26"/>
      <c r="BQ119" s="26"/>
      <c r="BT119" s="26"/>
    </row>
    <row r="120">
      <c r="I120" s="32"/>
      <c r="J120" s="26"/>
      <c r="K120" s="26"/>
      <c r="N120" s="26"/>
      <c r="O120" s="26"/>
      <c r="R120" s="26"/>
      <c r="S120" s="26"/>
      <c r="V120" s="26"/>
      <c r="W120" s="26"/>
      <c r="Z120" s="26"/>
      <c r="AA120" s="26"/>
      <c r="AD120" s="26"/>
      <c r="AG120" s="26"/>
      <c r="AJ120" s="26"/>
      <c r="AM120" s="26"/>
      <c r="AP120" s="26"/>
      <c r="AS120" s="26"/>
      <c r="AV120" s="26"/>
      <c r="AY120" s="26"/>
      <c r="BB120" s="26"/>
      <c r="BE120" s="26"/>
      <c r="BH120" s="26"/>
      <c r="BK120" s="26"/>
      <c r="BN120" s="26"/>
      <c r="BQ120" s="26"/>
      <c r="BT120" s="26"/>
    </row>
    <row r="121">
      <c r="I121" s="32"/>
      <c r="J121" s="26"/>
      <c r="K121" s="26"/>
      <c r="N121" s="26"/>
      <c r="O121" s="26"/>
      <c r="R121" s="26"/>
      <c r="S121" s="26"/>
      <c r="V121" s="26"/>
      <c r="W121" s="26"/>
      <c r="Z121" s="26"/>
      <c r="AA121" s="26"/>
      <c r="AD121" s="26"/>
      <c r="AG121" s="26"/>
      <c r="AJ121" s="26"/>
      <c r="AM121" s="26"/>
      <c r="AP121" s="26"/>
      <c r="AS121" s="26"/>
      <c r="AV121" s="26"/>
      <c r="AY121" s="26"/>
      <c r="BB121" s="26"/>
      <c r="BE121" s="26"/>
      <c r="BH121" s="26"/>
      <c r="BK121" s="26"/>
      <c r="BN121" s="26"/>
      <c r="BQ121" s="26"/>
      <c r="BT121" s="26"/>
    </row>
    <row r="122">
      <c r="I122" s="32"/>
      <c r="J122" s="26"/>
      <c r="K122" s="26"/>
      <c r="N122" s="26"/>
      <c r="O122" s="26"/>
      <c r="R122" s="26"/>
      <c r="S122" s="26"/>
      <c r="V122" s="26"/>
      <c r="W122" s="26"/>
      <c r="Z122" s="26"/>
      <c r="AA122" s="26"/>
      <c r="AD122" s="26"/>
      <c r="AG122" s="26"/>
      <c r="AJ122" s="26"/>
      <c r="AM122" s="26"/>
      <c r="AP122" s="26"/>
      <c r="AS122" s="26"/>
      <c r="AV122" s="26"/>
      <c r="AY122" s="26"/>
      <c r="BB122" s="26"/>
      <c r="BE122" s="26"/>
      <c r="BH122" s="26"/>
      <c r="BK122" s="26"/>
      <c r="BN122" s="26"/>
      <c r="BQ122" s="26"/>
      <c r="BT122" s="26"/>
    </row>
    <row r="123">
      <c r="I123" s="32"/>
      <c r="J123" s="26"/>
      <c r="K123" s="26"/>
      <c r="N123" s="26"/>
      <c r="O123" s="26"/>
      <c r="R123" s="26"/>
      <c r="S123" s="26"/>
      <c r="V123" s="26"/>
      <c r="W123" s="26"/>
      <c r="Z123" s="26"/>
      <c r="AA123" s="26"/>
      <c r="AD123" s="26"/>
      <c r="AG123" s="26"/>
      <c r="AJ123" s="26"/>
      <c r="AM123" s="26"/>
      <c r="AP123" s="26"/>
      <c r="AS123" s="26"/>
      <c r="AV123" s="26"/>
      <c r="AY123" s="26"/>
      <c r="BB123" s="26"/>
      <c r="BE123" s="26"/>
      <c r="BH123" s="26"/>
      <c r="BK123" s="26"/>
      <c r="BN123" s="26"/>
      <c r="BQ123" s="26"/>
      <c r="BT123" s="26"/>
    </row>
    <row r="124">
      <c r="I124" s="32"/>
      <c r="J124" s="26"/>
      <c r="K124" s="26"/>
      <c r="N124" s="26"/>
      <c r="O124" s="26"/>
      <c r="R124" s="26"/>
      <c r="S124" s="26"/>
      <c r="V124" s="26"/>
      <c r="W124" s="26"/>
      <c r="Z124" s="26"/>
      <c r="AA124" s="26"/>
      <c r="AD124" s="26"/>
      <c r="AG124" s="26"/>
      <c r="AJ124" s="26"/>
      <c r="AM124" s="26"/>
      <c r="AP124" s="26"/>
      <c r="AS124" s="26"/>
      <c r="AV124" s="26"/>
      <c r="AY124" s="26"/>
      <c r="BB124" s="26"/>
      <c r="BE124" s="26"/>
      <c r="BH124" s="26"/>
      <c r="BK124" s="26"/>
      <c r="BN124" s="26"/>
      <c r="BQ124" s="26"/>
      <c r="BT124" s="26"/>
    </row>
    <row r="125">
      <c r="I125" s="32"/>
      <c r="J125" s="26"/>
      <c r="K125" s="26"/>
      <c r="N125" s="26"/>
      <c r="O125" s="26"/>
      <c r="R125" s="26"/>
      <c r="S125" s="26"/>
      <c r="V125" s="26"/>
      <c r="W125" s="26"/>
      <c r="Z125" s="26"/>
      <c r="AA125" s="26"/>
      <c r="AD125" s="26"/>
      <c r="AG125" s="26"/>
      <c r="AJ125" s="26"/>
      <c r="AM125" s="26"/>
      <c r="AP125" s="26"/>
      <c r="AS125" s="26"/>
      <c r="AV125" s="26"/>
      <c r="AY125" s="26"/>
      <c r="BB125" s="26"/>
      <c r="BE125" s="26"/>
      <c r="BH125" s="26"/>
      <c r="BK125" s="26"/>
      <c r="BN125" s="26"/>
      <c r="BQ125" s="26"/>
      <c r="BT125" s="26"/>
    </row>
    <row r="126">
      <c r="I126" s="32"/>
      <c r="J126" s="26"/>
      <c r="K126" s="26"/>
      <c r="N126" s="26"/>
      <c r="O126" s="26"/>
      <c r="R126" s="26"/>
      <c r="S126" s="26"/>
      <c r="V126" s="26"/>
      <c r="W126" s="26"/>
      <c r="Z126" s="26"/>
      <c r="AA126" s="26"/>
      <c r="AD126" s="26"/>
      <c r="AG126" s="26"/>
      <c r="AJ126" s="26"/>
      <c r="AM126" s="26"/>
      <c r="AP126" s="26"/>
      <c r="AS126" s="26"/>
      <c r="AV126" s="26"/>
      <c r="AY126" s="26"/>
      <c r="BB126" s="26"/>
      <c r="BE126" s="26"/>
      <c r="BH126" s="26"/>
      <c r="BK126" s="26"/>
      <c r="BN126" s="26"/>
      <c r="BQ126" s="26"/>
      <c r="BT126" s="26"/>
    </row>
    <row r="127">
      <c r="I127" s="32"/>
      <c r="J127" s="26"/>
      <c r="K127" s="26"/>
      <c r="N127" s="26"/>
      <c r="O127" s="26"/>
      <c r="R127" s="26"/>
      <c r="S127" s="26"/>
      <c r="V127" s="26"/>
      <c r="W127" s="26"/>
      <c r="Z127" s="26"/>
      <c r="AA127" s="26"/>
      <c r="AD127" s="26"/>
      <c r="AG127" s="26"/>
      <c r="AJ127" s="26"/>
      <c r="AM127" s="26"/>
      <c r="AP127" s="26"/>
      <c r="AS127" s="26"/>
      <c r="AV127" s="26"/>
      <c r="AY127" s="26"/>
      <c r="BB127" s="26"/>
      <c r="BE127" s="26"/>
      <c r="BH127" s="26"/>
      <c r="BK127" s="26"/>
      <c r="BN127" s="26"/>
      <c r="BQ127" s="26"/>
      <c r="BT127" s="26"/>
    </row>
    <row r="128">
      <c r="I128" s="32"/>
      <c r="J128" s="26"/>
      <c r="K128" s="26"/>
      <c r="N128" s="26"/>
      <c r="O128" s="26"/>
      <c r="R128" s="26"/>
      <c r="S128" s="26"/>
      <c r="V128" s="26"/>
      <c r="W128" s="26"/>
      <c r="Z128" s="26"/>
      <c r="AA128" s="26"/>
      <c r="AD128" s="26"/>
      <c r="AG128" s="26"/>
      <c r="AJ128" s="26"/>
      <c r="AM128" s="26"/>
      <c r="AP128" s="26"/>
      <c r="AS128" s="26"/>
      <c r="AV128" s="26"/>
      <c r="AY128" s="26"/>
      <c r="BB128" s="26"/>
      <c r="BE128" s="26"/>
      <c r="BH128" s="26"/>
      <c r="BK128" s="26"/>
      <c r="BN128" s="26"/>
      <c r="BQ128" s="26"/>
      <c r="BT128" s="26"/>
    </row>
    <row r="129">
      <c r="I129" s="32"/>
      <c r="J129" s="26"/>
      <c r="K129" s="26"/>
      <c r="N129" s="26"/>
      <c r="O129" s="26"/>
      <c r="R129" s="26"/>
      <c r="S129" s="26"/>
      <c r="V129" s="26"/>
      <c r="W129" s="26"/>
      <c r="Z129" s="26"/>
      <c r="AA129" s="26"/>
      <c r="AD129" s="26"/>
      <c r="AG129" s="26"/>
      <c r="AJ129" s="26"/>
      <c r="AM129" s="26"/>
      <c r="AP129" s="26"/>
      <c r="AS129" s="26"/>
      <c r="AV129" s="26"/>
      <c r="AY129" s="26"/>
      <c r="BB129" s="26"/>
      <c r="BE129" s="26"/>
      <c r="BH129" s="26"/>
      <c r="BK129" s="26"/>
      <c r="BN129" s="26"/>
      <c r="BQ129" s="26"/>
      <c r="BT129" s="26"/>
    </row>
    <row r="130">
      <c r="I130" s="32"/>
      <c r="J130" s="26"/>
      <c r="K130" s="26"/>
      <c r="N130" s="26"/>
      <c r="O130" s="26"/>
      <c r="R130" s="26"/>
      <c r="S130" s="26"/>
      <c r="V130" s="26"/>
      <c r="W130" s="26"/>
      <c r="Z130" s="26"/>
      <c r="AA130" s="26"/>
      <c r="AD130" s="26"/>
      <c r="AG130" s="26"/>
      <c r="AJ130" s="26"/>
      <c r="AM130" s="26"/>
      <c r="AP130" s="26"/>
      <c r="AS130" s="26"/>
      <c r="AV130" s="26"/>
      <c r="AY130" s="26"/>
      <c r="BB130" s="26"/>
      <c r="BE130" s="26"/>
      <c r="BH130" s="26"/>
      <c r="BK130" s="26"/>
      <c r="BN130" s="26"/>
      <c r="BQ130" s="26"/>
      <c r="BT130" s="26"/>
    </row>
    <row r="131">
      <c r="I131" s="32"/>
      <c r="J131" s="26"/>
      <c r="K131" s="26"/>
      <c r="N131" s="26"/>
      <c r="O131" s="26"/>
      <c r="R131" s="26"/>
      <c r="S131" s="26"/>
      <c r="V131" s="26"/>
      <c r="W131" s="26"/>
      <c r="Z131" s="26"/>
      <c r="AA131" s="26"/>
      <c r="AD131" s="26"/>
      <c r="AG131" s="26"/>
      <c r="AJ131" s="26"/>
      <c r="AM131" s="26"/>
      <c r="AP131" s="26"/>
      <c r="AS131" s="26"/>
      <c r="AV131" s="26"/>
      <c r="AY131" s="26"/>
      <c r="BB131" s="26"/>
      <c r="BE131" s="26"/>
      <c r="BH131" s="26"/>
      <c r="BK131" s="26"/>
      <c r="BN131" s="26"/>
      <c r="BQ131" s="26"/>
      <c r="BT131" s="26"/>
    </row>
    <row r="132">
      <c r="I132" s="32"/>
      <c r="J132" s="26"/>
      <c r="K132" s="26"/>
      <c r="N132" s="26"/>
      <c r="O132" s="26"/>
      <c r="R132" s="26"/>
      <c r="S132" s="26"/>
      <c r="V132" s="26"/>
      <c r="W132" s="26"/>
      <c r="Z132" s="26"/>
      <c r="AA132" s="26"/>
      <c r="AD132" s="26"/>
      <c r="AG132" s="26"/>
      <c r="AJ132" s="26"/>
      <c r="AM132" s="26"/>
      <c r="AP132" s="26"/>
      <c r="AS132" s="26"/>
      <c r="AV132" s="26"/>
      <c r="AY132" s="26"/>
      <c r="BB132" s="26"/>
      <c r="BE132" s="26"/>
      <c r="BH132" s="26"/>
      <c r="BK132" s="26"/>
      <c r="BN132" s="26"/>
      <c r="BQ132" s="26"/>
      <c r="BT132" s="26"/>
    </row>
    <row r="133">
      <c r="I133" s="32"/>
      <c r="J133" s="26"/>
      <c r="K133" s="26"/>
      <c r="N133" s="26"/>
      <c r="O133" s="26"/>
      <c r="R133" s="26"/>
      <c r="S133" s="26"/>
      <c r="V133" s="26"/>
      <c r="W133" s="26"/>
      <c r="Z133" s="26"/>
      <c r="AA133" s="26"/>
      <c r="AD133" s="26"/>
      <c r="AG133" s="26"/>
      <c r="AJ133" s="26"/>
      <c r="AM133" s="26"/>
      <c r="AP133" s="26"/>
      <c r="AS133" s="26"/>
      <c r="AV133" s="26"/>
      <c r="AY133" s="26"/>
      <c r="BB133" s="26"/>
      <c r="BE133" s="26"/>
      <c r="BH133" s="26"/>
      <c r="BK133" s="26"/>
      <c r="BN133" s="26"/>
      <c r="BQ133" s="26"/>
      <c r="BT133" s="26"/>
    </row>
    <row r="134">
      <c r="I134" s="32"/>
      <c r="J134" s="26"/>
      <c r="K134" s="26"/>
      <c r="N134" s="26"/>
      <c r="O134" s="26"/>
      <c r="R134" s="26"/>
      <c r="S134" s="26"/>
      <c r="V134" s="26"/>
      <c r="W134" s="26"/>
      <c r="Z134" s="26"/>
      <c r="AA134" s="26"/>
      <c r="AD134" s="26"/>
      <c r="AG134" s="26"/>
      <c r="AJ134" s="26"/>
      <c r="AM134" s="26"/>
      <c r="AP134" s="26"/>
      <c r="AS134" s="26"/>
      <c r="AV134" s="26"/>
      <c r="AY134" s="26"/>
      <c r="BB134" s="26"/>
      <c r="BE134" s="26"/>
      <c r="BH134" s="26"/>
      <c r="BK134" s="26"/>
      <c r="BN134" s="26"/>
      <c r="BQ134" s="26"/>
      <c r="BT134" s="26"/>
    </row>
    <row r="135">
      <c r="I135" s="32"/>
      <c r="J135" s="26"/>
      <c r="K135" s="26"/>
      <c r="N135" s="26"/>
      <c r="O135" s="26"/>
      <c r="R135" s="26"/>
      <c r="S135" s="26"/>
      <c r="V135" s="26"/>
      <c r="W135" s="26"/>
      <c r="Z135" s="26"/>
      <c r="AA135" s="26"/>
      <c r="AD135" s="26"/>
      <c r="AG135" s="26"/>
      <c r="AJ135" s="26"/>
      <c r="AM135" s="26"/>
      <c r="AP135" s="26"/>
      <c r="AS135" s="26"/>
      <c r="AV135" s="26"/>
      <c r="AY135" s="26"/>
      <c r="BB135" s="26"/>
      <c r="BE135" s="26"/>
      <c r="BH135" s="26"/>
      <c r="BK135" s="26"/>
      <c r="BN135" s="26"/>
      <c r="BQ135" s="26"/>
      <c r="BT135" s="26"/>
    </row>
    <row r="136">
      <c r="I136" s="32"/>
      <c r="J136" s="26"/>
      <c r="K136" s="26"/>
      <c r="N136" s="26"/>
      <c r="O136" s="26"/>
      <c r="R136" s="26"/>
      <c r="S136" s="26"/>
      <c r="V136" s="26"/>
      <c r="W136" s="26"/>
      <c r="Z136" s="26"/>
      <c r="AA136" s="26"/>
      <c r="AD136" s="26"/>
      <c r="AG136" s="26"/>
      <c r="AJ136" s="26"/>
      <c r="AM136" s="26"/>
      <c r="AP136" s="26"/>
      <c r="AS136" s="26"/>
      <c r="AV136" s="26"/>
      <c r="AY136" s="26"/>
      <c r="BB136" s="26"/>
      <c r="BE136" s="26"/>
      <c r="BH136" s="26"/>
      <c r="BK136" s="26"/>
      <c r="BN136" s="26"/>
      <c r="BQ136" s="26"/>
      <c r="BT136" s="26"/>
    </row>
    <row r="137">
      <c r="I137" s="32"/>
      <c r="J137" s="26"/>
      <c r="K137" s="26"/>
      <c r="N137" s="26"/>
      <c r="O137" s="26"/>
      <c r="R137" s="26"/>
      <c r="S137" s="26"/>
      <c r="V137" s="26"/>
      <c r="W137" s="26"/>
      <c r="Z137" s="26"/>
      <c r="AA137" s="26"/>
      <c r="AD137" s="26"/>
      <c r="AG137" s="26"/>
      <c r="AJ137" s="26"/>
      <c r="AM137" s="26"/>
      <c r="AP137" s="26"/>
      <c r="AS137" s="26"/>
      <c r="AV137" s="26"/>
      <c r="AY137" s="26"/>
      <c r="BB137" s="26"/>
      <c r="BE137" s="26"/>
      <c r="BH137" s="26"/>
      <c r="BK137" s="26"/>
      <c r="BN137" s="26"/>
      <c r="BQ137" s="26"/>
      <c r="BT137" s="26"/>
    </row>
    <row r="138">
      <c r="I138" s="32"/>
      <c r="J138" s="26"/>
      <c r="K138" s="26"/>
      <c r="N138" s="26"/>
      <c r="O138" s="26"/>
      <c r="R138" s="26"/>
      <c r="S138" s="26"/>
      <c r="V138" s="26"/>
      <c r="W138" s="26"/>
      <c r="Z138" s="26"/>
      <c r="AA138" s="26"/>
      <c r="AD138" s="26"/>
      <c r="AG138" s="26"/>
      <c r="AJ138" s="26"/>
      <c r="AM138" s="26"/>
      <c r="AP138" s="26"/>
      <c r="AS138" s="26"/>
      <c r="AV138" s="26"/>
      <c r="AY138" s="26"/>
      <c r="BB138" s="26"/>
      <c r="BE138" s="26"/>
      <c r="BH138" s="26"/>
      <c r="BK138" s="26"/>
      <c r="BN138" s="26"/>
      <c r="BQ138" s="26"/>
      <c r="BT138" s="26"/>
    </row>
    <row r="139">
      <c r="I139" s="32"/>
      <c r="J139" s="26"/>
      <c r="K139" s="26"/>
      <c r="N139" s="26"/>
      <c r="O139" s="26"/>
      <c r="R139" s="26"/>
      <c r="S139" s="26"/>
      <c r="V139" s="26"/>
      <c r="W139" s="26"/>
      <c r="Z139" s="26"/>
      <c r="AA139" s="26"/>
      <c r="AD139" s="26"/>
      <c r="AG139" s="26"/>
      <c r="AJ139" s="26"/>
      <c r="AM139" s="26"/>
      <c r="AP139" s="26"/>
      <c r="AS139" s="26"/>
      <c r="AV139" s="26"/>
      <c r="AY139" s="26"/>
      <c r="BB139" s="26"/>
      <c r="BE139" s="26"/>
      <c r="BH139" s="26"/>
      <c r="BK139" s="26"/>
      <c r="BN139" s="26"/>
      <c r="BQ139" s="26"/>
      <c r="BT139" s="26"/>
    </row>
    <row r="140">
      <c r="I140" s="32"/>
      <c r="J140" s="26"/>
      <c r="K140" s="26"/>
      <c r="N140" s="26"/>
      <c r="O140" s="26"/>
      <c r="R140" s="26"/>
      <c r="S140" s="26"/>
      <c r="V140" s="26"/>
      <c r="W140" s="26"/>
      <c r="Z140" s="26"/>
      <c r="AA140" s="26"/>
      <c r="AD140" s="26"/>
      <c r="AG140" s="26"/>
      <c r="AJ140" s="26"/>
      <c r="AM140" s="26"/>
      <c r="AP140" s="26"/>
      <c r="AS140" s="26"/>
      <c r="AV140" s="26"/>
      <c r="AY140" s="26"/>
      <c r="BB140" s="26"/>
      <c r="BE140" s="26"/>
      <c r="BH140" s="26"/>
      <c r="BK140" s="26"/>
      <c r="BN140" s="26"/>
      <c r="BQ140" s="26"/>
      <c r="BT140" s="26"/>
    </row>
    <row r="141">
      <c r="I141" s="32"/>
      <c r="J141" s="26"/>
      <c r="K141" s="26"/>
      <c r="N141" s="26"/>
      <c r="O141" s="26"/>
      <c r="R141" s="26"/>
      <c r="S141" s="26"/>
      <c r="V141" s="26"/>
      <c r="W141" s="26"/>
      <c r="Z141" s="26"/>
      <c r="AA141" s="26"/>
      <c r="AD141" s="26"/>
      <c r="AG141" s="26"/>
      <c r="AJ141" s="26"/>
      <c r="AM141" s="26"/>
      <c r="AP141" s="26"/>
      <c r="AS141" s="26"/>
      <c r="AV141" s="26"/>
      <c r="AY141" s="26"/>
      <c r="BB141" s="26"/>
      <c r="BE141" s="26"/>
      <c r="BH141" s="26"/>
      <c r="BK141" s="26"/>
      <c r="BN141" s="26"/>
      <c r="BQ141" s="26"/>
      <c r="BT141" s="26"/>
    </row>
    <row r="142">
      <c r="I142" s="32"/>
      <c r="J142" s="26"/>
      <c r="K142" s="26"/>
      <c r="N142" s="26"/>
      <c r="O142" s="26"/>
      <c r="R142" s="26"/>
      <c r="S142" s="26"/>
      <c r="V142" s="26"/>
      <c r="W142" s="26"/>
      <c r="Z142" s="26"/>
      <c r="AA142" s="26"/>
      <c r="AD142" s="26"/>
      <c r="AG142" s="26"/>
      <c r="AJ142" s="26"/>
      <c r="AM142" s="26"/>
      <c r="AP142" s="26"/>
      <c r="AS142" s="26"/>
      <c r="AV142" s="26"/>
      <c r="AY142" s="26"/>
      <c r="BB142" s="26"/>
      <c r="BE142" s="26"/>
      <c r="BH142" s="26"/>
      <c r="BK142" s="26"/>
      <c r="BN142" s="26"/>
      <c r="BQ142" s="26"/>
      <c r="BT142" s="26"/>
    </row>
    <row r="143">
      <c r="I143" s="32"/>
      <c r="J143" s="26"/>
      <c r="K143" s="26"/>
      <c r="N143" s="26"/>
      <c r="O143" s="26"/>
      <c r="R143" s="26"/>
      <c r="S143" s="26"/>
      <c r="V143" s="26"/>
      <c r="W143" s="26"/>
      <c r="Z143" s="26"/>
      <c r="AA143" s="26"/>
      <c r="AD143" s="26"/>
      <c r="AG143" s="26"/>
      <c r="AJ143" s="26"/>
      <c r="AM143" s="26"/>
      <c r="AP143" s="26"/>
      <c r="AS143" s="26"/>
      <c r="AV143" s="26"/>
      <c r="AY143" s="26"/>
      <c r="BB143" s="26"/>
      <c r="BE143" s="26"/>
      <c r="BH143" s="26"/>
      <c r="BK143" s="26"/>
      <c r="BN143" s="26"/>
      <c r="BQ143" s="26"/>
      <c r="BT143" s="26"/>
    </row>
    <row r="144">
      <c r="I144" s="32"/>
      <c r="J144" s="26"/>
      <c r="K144" s="26"/>
      <c r="N144" s="26"/>
      <c r="O144" s="26"/>
      <c r="R144" s="26"/>
      <c r="S144" s="26"/>
      <c r="V144" s="26"/>
      <c r="W144" s="26"/>
      <c r="Z144" s="26"/>
      <c r="AA144" s="26"/>
      <c r="AD144" s="26"/>
      <c r="AG144" s="26"/>
      <c r="AJ144" s="26"/>
      <c r="AM144" s="26"/>
      <c r="AP144" s="26"/>
      <c r="AS144" s="26"/>
      <c r="AV144" s="26"/>
      <c r="AY144" s="26"/>
      <c r="BB144" s="26"/>
      <c r="BE144" s="26"/>
      <c r="BH144" s="26"/>
      <c r="BK144" s="26"/>
      <c r="BN144" s="26"/>
      <c r="BQ144" s="26"/>
      <c r="BT144" s="26"/>
    </row>
    <row r="145">
      <c r="I145" s="32"/>
      <c r="J145" s="26"/>
      <c r="K145" s="26"/>
      <c r="N145" s="26"/>
      <c r="O145" s="26"/>
      <c r="R145" s="26"/>
      <c r="S145" s="26"/>
      <c r="V145" s="26"/>
      <c r="W145" s="26"/>
      <c r="Z145" s="26"/>
      <c r="AA145" s="26"/>
      <c r="AD145" s="26"/>
      <c r="AG145" s="26"/>
      <c r="AJ145" s="26"/>
      <c r="AM145" s="26"/>
      <c r="AP145" s="26"/>
      <c r="AS145" s="26"/>
      <c r="AV145" s="26"/>
      <c r="AY145" s="26"/>
      <c r="BB145" s="26"/>
      <c r="BE145" s="26"/>
      <c r="BH145" s="26"/>
      <c r="BK145" s="26"/>
      <c r="BN145" s="26"/>
      <c r="BQ145" s="26"/>
      <c r="BT145" s="26"/>
    </row>
    <row r="146">
      <c r="I146" s="32"/>
      <c r="J146" s="26"/>
      <c r="K146" s="26"/>
      <c r="N146" s="26"/>
      <c r="O146" s="26"/>
      <c r="R146" s="26"/>
      <c r="S146" s="26"/>
      <c r="V146" s="26"/>
      <c r="W146" s="26"/>
      <c r="Z146" s="26"/>
      <c r="AA146" s="26"/>
      <c r="AD146" s="26"/>
      <c r="AG146" s="26"/>
      <c r="AJ146" s="26"/>
      <c r="AM146" s="26"/>
      <c r="AP146" s="26"/>
      <c r="AS146" s="26"/>
      <c r="AV146" s="26"/>
      <c r="AY146" s="26"/>
      <c r="BB146" s="26"/>
      <c r="BE146" s="26"/>
      <c r="BH146" s="26"/>
      <c r="BK146" s="26"/>
      <c r="BN146" s="26"/>
      <c r="BQ146" s="26"/>
      <c r="BT146" s="26"/>
    </row>
    <row r="147">
      <c r="I147" s="32"/>
      <c r="J147" s="26"/>
      <c r="K147" s="26"/>
      <c r="N147" s="26"/>
      <c r="O147" s="26"/>
      <c r="R147" s="26"/>
      <c r="S147" s="26"/>
      <c r="V147" s="26"/>
      <c r="W147" s="26"/>
      <c r="Z147" s="26"/>
      <c r="AA147" s="26"/>
      <c r="AD147" s="26"/>
      <c r="AG147" s="26"/>
      <c r="AJ147" s="26"/>
      <c r="AM147" s="26"/>
      <c r="AP147" s="26"/>
      <c r="AS147" s="26"/>
      <c r="AV147" s="26"/>
      <c r="AY147" s="26"/>
      <c r="BB147" s="26"/>
      <c r="BE147" s="26"/>
      <c r="BH147" s="26"/>
      <c r="BK147" s="26"/>
      <c r="BN147" s="26"/>
      <c r="BQ147" s="26"/>
      <c r="BT147" s="26"/>
    </row>
    <row r="148">
      <c r="I148" s="32"/>
      <c r="J148" s="26"/>
      <c r="K148" s="26"/>
      <c r="N148" s="26"/>
      <c r="O148" s="26"/>
      <c r="R148" s="26"/>
      <c r="S148" s="26"/>
      <c r="V148" s="26"/>
      <c r="W148" s="26"/>
      <c r="Z148" s="26"/>
      <c r="AA148" s="26"/>
      <c r="AD148" s="26"/>
      <c r="AG148" s="26"/>
      <c r="AJ148" s="26"/>
      <c r="AM148" s="26"/>
      <c r="AP148" s="26"/>
      <c r="AS148" s="26"/>
      <c r="AV148" s="26"/>
      <c r="AY148" s="26"/>
      <c r="BB148" s="26"/>
      <c r="BE148" s="26"/>
      <c r="BH148" s="26"/>
      <c r="BK148" s="26"/>
      <c r="BN148" s="26"/>
      <c r="BQ148" s="26"/>
      <c r="BT148" s="26"/>
    </row>
    <row r="149">
      <c r="I149" s="32"/>
      <c r="J149" s="26"/>
      <c r="K149" s="26"/>
      <c r="N149" s="26"/>
      <c r="O149" s="26"/>
      <c r="R149" s="26"/>
      <c r="S149" s="26"/>
      <c r="V149" s="26"/>
      <c r="W149" s="26"/>
      <c r="Z149" s="26"/>
      <c r="AA149" s="26"/>
      <c r="AD149" s="26"/>
      <c r="AG149" s="26"/>
      <c r="AJ149" s="26"/>
      <c r="AM149" s="26"/>
      <c r="AP149" s="26"/>
      <c r="AS149" s="26"/>
      <c r="AV149" s="26"/>
      <c r="AY149" s="26"/>
      <c r="BB149" s="26"/>
      <c r="BE149" s="26"/>
      <c r="BH149" s="26"/>
      <c r="BK149" s="26"/>
      <c r="BN149" s="26"/>
      <c r="BQ149" s="26"/>
      <c r="BT149" s="26"/>
    </row>
    <row r="150">
      <c r="I150" s="32"/>
      <c r="J150" s="26"/>
      <c r="K150" s="26"/>
      <c r="N150" s="26"/>
      <c r="O150" s="26"/>
      <c r="R150" s="26"/>
      <c r="S150" s="26"/>
      <c r="V150" s="26"/>
      <c r="W150" s="26"/>
      <c r="Z150" s="26"/>
      <c r="AA150" s="26"/>
      <c r="AD150" s="26"/>
      <c r="AG150" s="26"/>
      <c r="AJ150" s="26"/>
      <c r="AM150" s="26"/>
      <c r="AP150" s="26"/>
      <c r="AS150" s="26"/>
      <c r="AV150" s="26"/>
      <c r="AY150" s="26"/>
      <c r="BB150" s="26"/>
      <c r="BE150" s="26"/>
      <c r="BH150" s="26"/>
      <c r="BK150" s="26"/>
      <c r="BN150" s="26"/>
      <c r="BQ150" s="26"/>
      <c r="BT150" s="26"/>
    </row>
    <row r="151">
      <c r="I151" s="32"/>
      <c r="J151" s="26"/>
      <c r="K151" s="26"/>
      <c r="N151" s="26"/>
      <c r="O151" s="26"/>
      <c r="R151" s="26"/>
      <c r="S151" s="26"/>
      <c r="V151" s="26"/>
      <c r="W151" s="26"/>
      <c r="Z151" s="26"/>
      <c r="AA151" s="26"/>
      <c r="AD151" s="26"/>
      <c r="AG151" s="26"/>
      <c r="AJ151" s="26"/>
      <c r="AM151" s="26"/>
      <c r="AP151" s="26"/>
      <c r="AS151" s="26"/>
      <c r="AV151" s="26"/>
      <c r="AY151" s="26"/>
      <c r="BB151" s="26"/>
      <c r="BE151" s="26"/>
      <c r="BH151" s="26"/>
      <c r="BK151" s="26"/>
      <c r="BN151" s="26"/>
      <c r="BQ151" s="26"/>
      <c r="BT151" s="26"/>
    </row>
    <row r="152">
      <c r="I152" s="32"/>
      <c r="J152" s="26"/>
      <c r="K152" s="26"/>
      <c r="N152" s="26"/>
      <c r="O152" s="26"/>
      <c r="R152" s="26"/>
      <c r="S152" s="26"/>
      <c r="V152" s="26"/>
      <c r="W152" s="26"/>
      <c r="Z152" s="26"/>
      <c r="AA152" s="26"/>
      <c r="AD152" s="26"/>
      <c r="AG152" s="26"/>
      <c r="AJ152" s="26"/>
      <c r="AM152" s="26"/>
      <c r="AP152" s="26"/>
      <c r="AS152" s="26"/>
      <c r="AV152" s="26"/>
      <c r="AY152" s="26"/>
      <c r="BB152" s="26"/>
      <c r="BE152" s="26"/>
      <c r="BH152" s="26"/>
      <c r="BK152" s="26"/>
      <c r="BN152" s="26"/>
      <c r="BQ152" s="26"/>
      <c r="BT152" s="26"/>
    </row>
    <row r="153">
      <c r="I153" s="32"/>
      <c r="J153" s="26"/>
      <c r="K153" s="26"/>
      <c r="N153" s="26"/>
      <c r="O153" s="26"/>
      <c r="R153" s="26"/>
      <c r="S153" s="26"/>
      <c r="V153" s="26"/>
      <c r="W153" s="26"/>
      <c r="Z153" s="26"/>
      <c r="AA153" s="26"/>
      <c r="AD153" s="26"/>
      <c r="AG153" s="26"/>
      <c r="AJ153" s="26"/>
      <c r="AM153" s="26"/>
      <c r="AP153" s="26"/>
      <c r="AS153" s="26"/>
      <c r="AV153" s="26"/>
      <c r="AY153" s="26"/>
      <c r="BB153" s="26"/>
      <c r="BE153" s="26"/>
      <c r="BH153" s="26"/>
      <c r="BK153" s="26"/>
      <c r="BN153" s="26"/>
      <c r="BQ153" s="26"/>
      <c r="BT153" s="26"/>
    </row>
    <row r="154">
      <c r="I154" s="32"/>
      <c r="J154" s="26"/>
      <c r="K154" s="26"/>
      <c r="N154" s="26"/>
      <c r="O154" s="26"/>
      <c r="R154" s="26"/>
      <c r="S154" s="26"/>
      <c r="V154" s="26"/>
      <c r="W154" s="26"/>
      <c r="Z154" s="26"/>
      <c r="AA154" s="26"/>
      <c r="AD154" s="26"/>
      <c r="AG154" s="26"/>
      <c r="AJ154" s="26"/>
      <c r="AM154" s="26"/>
      <c r="AP154" s="26"/>
      <c r="AS154" s="26"/>
      <c r="AV154" s="26"/>
      <c r="AY154" s="26"/>
      <c r="BB154" s="26"/>
      <c r="BE154" s="26"/>
      <c r="BH154" s="26"/>
      <c r="BK154" s="26"/>
      <c r="BN154" s="26"/>
      <c r="BQ154" s="26"/>
      <c r="BT154" s="26"/>
    </row>
    <row r="155">
      <c r="I155" s="32"/>
      <c r="J155" s="26"/>
      <c r="K155" s="26"/>
      <c r="N155" s="26"/>
      <c r="O155" s="26"/>
      <c r="R155" s="26"/>
      <c r="S155" s="26"/>
      <c r="V155" s="26"/>
      <c r="W155" s="26"/>
      <c r="Z155" s="26"/>
      <c r="AA155" s="26"/>
      <c r="AD155" s="26"/>
      <c r="AG155" s="26"/>
      <c r="AJ155" s="26"/>
      <c r="AM155" s="26"/>
      <c r="AP155" s="26"/>
      <c r="AS155" s="26"/>
      <c r="AV155" s="26"/>
      <c r="AY155" s="26"/>
      <c r="BB155" s="26"/>
      <c r="BE155" s="26"/>
      <c r="BH155" s="26"/>
      <c r="BK155" s="26"/>
      <c r="BN155" s="26"/>
      <c r="BQ155" s="26"/>
      <c r="BT155" s="26"/>
    </row>
    <row r="156">
      <c r="I156" s="32"/>
      <c r="J156" s="26"/>
      <c r="K156" s="26"/>
      <c r="N156" s="26"/>
      <c r="O156" s="26"/>
      <c r="R156" s="26"/>
      <c r="S156" s="26"/>
      <c r="V156" s="26"/>
      <c r="W156" s="26"/>
      <c r="Z156" s="26"/>
      <c r="AA156" s="26"/>
      <c r="AD156" s="26"/>
      <c r="AG156" s="26"/>
      <c r="AJ156" s="26"/>
      <c r="AM156" s="26"/>
      <c r="AP156" s="26"/>
      <c r="AS156" s="26"/>
      <c r="AV156" s="26"/>
      <c r="AY156" s="26"/>
      <c r="BB156" s="26"/>
      <c r="BE156" s="26"/>
      <c r="BH156" s="26"/>
      <c r="BK156" s="26"/>
      <c r="BN156" s="26"/>
      <c r="BQ156" s="26"/>
      <c r="BT156" s="26"/>
    </row>
    <row r="157">
      <c r="I157" s="32"/>
      <c r="J157" s="26"/>
      <c r="K157" s="26"/>
      <c r="N157" s="26"/>
      <c r="O157" s="26"/>
      <c r="R157" s="26"/>
      <c r="S157" s="26"/>
      <c r="V157" s="26"/>
      <c r="W157" s="26"/>
      <c r="Z157" s="26"/>
      <c r="AA157" s="26"/>
      <c r="AD157" s="26"/>
      <c r="AG157" s="26"/>
      <c r="AJ157" s="26"/>
      <c r="AM157" s="26"/>
      <c r="AP157" s="26"/>
      <c r="AS157" s="26"/>
      <c r="AV157" s="26"/>
      <c r="AY157" s="26"/>
      <c r="BB157" s="26"/>
      <c r="BE157" s="26"/>
      <c r="BH157" s="26"/>
      <c r="BK157" s="26"/>
      <c r="BN157" s="26"/>
      <c r="BQ157" s="26"/>
      <c r="BT157" s="26"/>
    </row>
    <row r="158">
      <c r="I158" s="32"/>
      <c r="J158" s="26"/>
      <c r="K158" s="26"/>
      <c r="N158" s="26"/>
      <c r="O158" s="26"/>
      <c r="R158" s="26"/>
      <c r="S158" s="26"/>
      <c r="V158" s="26"/>
      <c r="W158" s="26"/>
      <c r="Z158" s="26"/>
      <c r="AA158" s="26"/>
      <c r="AD158" s="26"/>
      <c r="AG158" s="26"/>
      <c r="AJ158" s="26"/>
      <c r="AM158" s="26"/>
      <c r="AP158" s="26"/>
      <c r="AS158" s="26"/>
      <c r="AV158" s="26"/>
      <c r="AY158" s="26"/>
      <c r="BB158" s="26"/>
      <c r="BE158" s="26"/>
      <c r="BH158" s="26"/>
      <c r="BK158" s="26"/>
      <c r="BN158" s="26"/>
      <c r="BQ158" s="26"/>
      <c r="BT158" s="26"/>
    </row>
    <row r="159">
      <c r="I159" s="32"/>
      <c r="J159" s="26"/>
      <c r="K159" s="26"/>
      <c r="N159" s="26"/>
      <c r="O159" s="26"/>
      <c r="R159" s="26"/>
      <c r="S159" s="26"/>
      <c r="V159" s="26"/>
      <c r="W159" s="26"/>
      <c r="Z159" s="26"/>
      <c r="AA159" s="26"/>
      <c r="AD159" s="26"/>
      <c r="AG159" s="26"/>
      <c r="AJ159" s="26"/>
      <c r="AM159" s="26"/>
      <c r="AP159" s="26"/>
      <c r="AS159" s="26"/>
      <c r="AV159" s="26"/>
      <c r="AY159" s="26"/>
      <c r="BB159" s="26"/>
      <c r="BE159" s="26"/>
      <c r="BH159" s="26"/>
      <c r="BK159" s="26"/>
      <c r="BN159" s="26"/>
      <c r="BQ159" s="26"/>
      <c r="BT159" s="26"/>
    </row>
    <row r="160">
      <c r="I160" s="32"/>
      <c r="J160" s="26"/>
      <c r="K160" s="26"/>
      <c r="N160" s="26"/>
      <c r="O160" s="26"/>
      <c r="R160" s="26"/>
      <c r="S160" s="26"/>
      <c r="V160" s="26"/>
      <c r="W160" s="26"/>
      <c r="Z160" s="26"/>
      <c r="AA160" s="26"/>
      <c r="AD160" s="26"/>
      <c r="AG160" s="26"/>
      <c r="AJ160" s="26"/>
      <c r="AM160" s="26"/>
      <c r="AP160" s="26"/>
      <c r="AS160" s="26"/>
      <c r="AV160" s="26"/>
      <c r="AY160" s="26"/>
      <c r="BB160" s="26"/>
      <c r="BE160" s="26"/>
      <c r="BH160" s="26"/>
      <c r="BK160" s="26"/>
      <c r="BN160" s="26"/>
      <c r="BQ160" s="26"/>
      <c r="BT160" s="26"/>
    </row>
    <row r="161">
      <c r="I161" s="32"/>
      <c r="J161" s="26"/>
      <c r="K161" s="26"/>
      <c r="N161" s="26"/>
      <c r="O161" s="26"/>
      <c r="R161" s="26"/>
      <c r="S161" s="26"/>
      <c r="V161" s="26"/>
      <c r="W161" s="26"/>
      <c r="Z161" s="26"/>
      <c r="AA161" s="26"/>
      <c r="AD161" s="26"/>
      <c r="AG161" s="26"/>
      <c r="AJ161" s="26"/>
      <c r="AM161" s="26"/>
      <c r="AP161" s="26"/>
      <c r="AS161" s="26"/>
      <c r="AV161" s="26"/>
      <c r="AY161" s="26"/>
      <c r="BB161" s="26"/>
      <c r="BE161" s="26"/>
      <c r="BH161" s="26"/>
      <c r="BK161" s="26"/>
      <c r="BN161" s="26"/>
      <c r="BQ161" s="26"/>
      <c r="BT161" s="26"/>
    </row>
    <row r="162">
      <c r="I162" s="32"/>
      <c r="J162" s="26"/>
      <c r="K162" s="26"/>
      <c r="N162" s="26"/>
      <c r="O162" s="26"/>
      <c r="R162" s="26"/>
      <c r="S162" s="26"/>
      <c r="V162" s="26"/>
      <c r="W162" s="26"/>
      <c r="Z162" s="26"/>
      <c r="AA162" s="26"/>
      <c r="AD162" s="26"/>
      <c r="AG162" s="26"/>
      <c r="AJ162" s="26"/>
      <c r="AM162" s="26"/>
      <c r="AP162" s="26"/>
      <c r="AS162" s="26"/>
      <c r="AV162" s="26"/>
      <c r="AY162" s="26"/>
      <c r="BB162" s="26"/>
      <c r="BE162" s="26"/>
      <c r="BH162" s="26"/>
      <c r="BK162" s="26"/>
      <c r="BN162" s="26"/>
      <c r="BQ162" s="26"/>
      <c r="BT162" s="26"/>
    </row>
    <row r="163">
      <c r="I163" s="32"/>
      <c r="J163" s="26"/>
      <c r="K163" s="26"/>
      <c r="N163" s="26"/>
      <c r="O163" s="26"/>
      <c r="R163" s="26"/>
      <c r="S163" s="26"/>
      <c r="V163" s="26"/>
      <c r="W163" s="26"/>
      <c r="Z163" s="26"/>
      <c r="AA163" s="26"/>
      <c r="AD163" s="26"/>
      <c r="AG163" s="26"/>
      <c r="AJ163" s="26"/>
      <c r="AM163" s="26"/>
      <c r="AP163" s="26"/>
      <c r="AS163" s="26"/>
      <c r="AV163" s="26"/>
      <c r="AY163" s="26"/>
      <c r="BB163" s="26"/>
      <c r="BE163" s="26"/>
      <c r="BH163" s="26"/>
      <c r="BK163" s="26"/>
      <c r="BN163" s="26"/>
      <c r="BQ163" s="26"/>
      <c r="BT163" s="26"/>
    </row>
    <row r="164">
      <c r="I164" s="32"/>
      <c r="J164" s="26"/>
      <c r="K164" s="26"/>
      <c r="N164" s="26"/>
      <c r="O164" s="26"/>
      <c r="R164" s="26"/>
      <c r="S164" s="26"/>
      <c r="V164" s="26"/>
      <c r="W164" s="26"/>
      <c r="Z164" s="26"/>
      <c r="AA164" s="26"/>
      <c r="AD164" s="26"/>
      <c r="AG164" s="26"/>
      <c r="AJ164" s="26"/>
      <c r="AM164" s="26"/>
      <c r="AP164" s="26"/>
      <c r="AS164" s="26"/>
      <c r="AV164" s="26"/>
      <c r="AY164" s="26"/>
      <c r="BB164" s="26"/>
      <c r="BE164" s="26"/>
      <c r="BH164" s="26"/>
      <c r="BK164" s="26"/>
      <c r="BN164" s="26"/>
      <c r="BQ164" s="26"/>
      <c r="BT164" s="26"/>
    </row>
    <row r="165">
      <c r="I165" s="32"/>
      <c r="J165" s="26"/>
      <c r="K165" s="26"/>
      <c r="N165" s="26"/>
      <c r="O165" s="26"/>
      <c r="R165" s="26"/>
      <c r="S165" s="26"/>
      <c r="V165" s="26"/>
      <c r="W165" s="26"/>
      <c r="Z165" s="26"/>
      <c r="AA165" s="26"/>
      <c r="AD165" s="26"/>
      <c r="AG165" s="26"/>
      <c r="AJ165" s="26"/>
      <c r="AM165" s="26"/>
      <c r="AP165" s="26"/>
      <c r="AS165" s="26"/>
      <c r="AV165" s="26"/>
      <c r="AY165" s="26"/>
      <c r="BB165" s="26"/>
      <c r="BE165" s="26"/>
      <c r="BH165" s="26"/>
      <c r="BK165" s="26"/>
      <c r="BN165" s="26"/>
      <c r="BQ165" s="26"/>
      <c r="BT165" s="26"/>
    </row>
    <row r="166">
      <c r="I166" s="32"/>
      <c r="J166" s="26"/>
      <c r="K166" s="26"/>
      <c r="N166" s="26"/>
      <c r="O166" s="26"/>
      <c r="R166" s="26"/>
      <c r="S166" s="26"/>
      <c r="V166" s="26"/>
      <c r="W166" s="26"/>
      <c r="Z166" s="26"/>
      <c r="AA166" s="26"/>
      <c r="AD166" s="26"/>
      <c r="AG166" s="26"/>
      <c r="AJ166" s="26"/>
      <c r="AM166" s="26"/>
      <c r="AP166" s="26"/>
      <c r="AS166" s="26"/>
      <c r="AV166" s="26"/>
      <c r="AY166" s="26"/>
      <c r="BB166" s="26"/>
      <c r="BE166" s="26"/>
      <c r="BH166" s="26"/>
      <c r="BK166" s="26"/>
      <c r="BN166" s="26"/>
      <c r="BQ166" s="26"/>
      <c r="BT166" s="26"/>
    </row>
    <row r="167">
      <c r="I167" s="32"/>
      <c r="J167" s="26"/>
      <c r="K167" s="26"/>
      <c r="N167" s="26"/>
      <c r="O167" s="26"/>
      <c r="R167" s="26"/>
      <c r="S167" s="26"/>
      <c r="V167" s="26"/>
      <c r="W167" s="26"/>
      <c r="Z167" s="26"/>
      <c r="AA167" s="26"/>
      <c r="AD167" s="26"/>
      <c r="AG167" s="26"/>
      <c r="AJ167" s="26"/>
      <c r="AM167" s="26"/>
      <c r="AP167" s="26"/>
      <c r="AS167" s="26"/>
      <c r="AV167" s="26"/>
      <c r="AY167" s="26"/>
      <c r="BB167" s="26"/>
      <c r="BE167" s="26"/>
      <c r="BH167" s="26"/>
      <c r="BK167" s="26"/>
      <c r="BN167" s="26"/>
      <c r="BQ167" s="26"/>
      <c r="BT167" s="26"/>
    </row>
    <row r="168">
      <c r="I168" s="32"/>
      <c r="J168" s="26"/>
      <c r="K168" s="26"/>
      <c r="N168" s="26"/>
      <c r="O168" s="26"/>
      <c r="R168" s="26"/>
      <c r="S168" s="26"/>
      <c r="V168" s="26"/>
      <c r="W168" s="26"/>
      <c r="Z168" s="26"/>
      <c r="AA168" s="26"/>
      <c r="AD168" s="26"/>
      <c r="AG168" s="26"/>
      <c r="AJ168" s="26"/>
      <c r="AM168" s="26"/>
      <c r="AP168" s="26"/>
      <c r="AS168" s="26"/>
      <c r="AV168" s="26"/>
      <c r="AY168" s="26"/>
      <c r="BB168" s="26"/>
      <c r="BE168" s="26"/>
      <c r="BH168" s="26"/>
      <c r="BK168" s="26"/>
      <c r="BN168" s="26"/>
      <c r="BQ168" s="26"/>
      <c r="BT168" s="26"/>
    </row>
    <row r="169">
      <c r="I169" s="32"/>
      <c r="J169" s="26"/>
      <c r="K169" s="26"/>
      <c r="N169" s="26"/>
      <c r="O169" s="26"/>
      <c r="R169" s="26"/>
      <c r="S169" s="26"/>
      <c r="V169" s="26"/>
      <c r="W169" s="26"/>
      <c r="Z169" s="26"/>
      <c r="AA169" s="26"/>
      <c r="AD169" s="26"/>
      <c r="AG169" s="26"/>
      <c r="AJ169" s="26"/>
      <c r="AM169" s="26"/>
      <c r="AP169" s="26"/>
      <c r="AS169" s="26"/>
      <c r="AV169" s="26"/>
      <c r="AY169" s="26"/>
      <c r="BB169" s="26"/>
      <c r="BE169" s="26"/>
      <c r="BH169" s="26"/>
      <c r="BK169" s="26"/>
      <c r="BN169" s="26"/>
      <c r="BQ169" s="26"/>
      <c r="BT169" s="26"/>
    </row>
    <row r="170">
      <c r="I170" s="32"/>
      <c r="J170" s="26"/>
      <c r="K170" s="26"/>
      <c r="N170" s="26"/>
      <c r="O170" s="26"/>
      <c r="R170" s="26"/>
      <c r="S170" s="26"/>
      <c r="V170" s="26"/>
      <c r="W170" s="26"/>
      <c r="Z170" s="26"/>
      <c r="AA170" s="26"/>
      <c r="AD170" s="26"/>
      <c r="AG170" s="26"/>
      <c r="AJ170" s="26"/>
      <c r="AM170" s="26"/>
      <c r="AP170" s="26"/>
      <c r="AS170" s="26"/>
      <c r="AV170" s="26"/>
      <c r="AY170" s="26"/>
      <c r="BB170" s="26"/>
      <c r="BE170" s="26"/>
      <c r="BH170" s="26"/>
      <c r="BK170" s="26"/>
      <c r="BN170" s="26"/>
      <c r="BQ170" s="26"/>
      <c r="BT170" s="26"/>
    </row>
    <row r="171">
      <c r="I171" s="32"/>
      <c r="J171" s="26"/>
      <c r="K171" s="26"/>
      <c r="N171" s="26"/>
      <c r="O171" s="26"/>
      <c r="R171" s="26"/>
      <c r="S171" s="26"/>
      <c r="V171" s="26"/>
      <c r="W171" s="26"/>
      <c r="Z171" s="26"/>
      <c r="AA171" s="26"/>
      <c r="AD171" s="26"/>
      <c r="AG171" s="26"/>
      <c r="AJ171" s="26"/>
      <c r="AM171" s="26"/>
      <c r="AP171" s="26"/>
      <c r="AS171" s="26"/>
      <c r="AV171" s="26"/>
      <c r="AY171" s="26"/>
      <c r="BB171" s="26"/>
      <c r="BE171" s="26"/>
      <c r="BH171" s="26"/>
      <c r="BK171" s="26"/>
      <c r="BN171" s="26"/>
      <c r="BQ171" s="26"/>
      <c r="BT171" s="26"/>
    </row>
    <row r="172">
      <c r="I172" s="32"/>
      <c r="J172" s="26"/>
      <c r="K172" s="26"/>
      <c r="N172" s="26"/>
      <c r="O172" s="26"/>
      <c r="R172" s="26"/>
      <c r="S172" s="26"/>
      <c r="V172" s="26"/>
      <c r="W172" s="26"/>
      <c r="Z172" s="26"/>
      <c r="AA172" s="26"/>
      <c r="AD172" s="26"/>
      <c r="AG172" s="26"/>
      <c r="AJ172" s="26"/>
      <c r="AM172" s="26"/>
      <c r="AP172" s="26"/>
      <c r="AS172" s="26"/>
      <c r="AV172" s="26"/>
      <c r="AY172" s="26"/>
      <c r="BB172" s="26"/>
      <c r="BE172" s="26"/>
      <c r="BH172" s="26"/>
      <c r="BK172" s="26"/>
      <c r="BN172" s="26"/>
      <c r="BQ172" s="26"/>
      <c r="BT172" s="26"/>
    </row>
    <row r="173">
      <c r="I173" s="32"/>
      <c r="J173" s="26"/>
      <c r="K173" s="26"/>
      <c r="N173" s="26"/>
      <c r="O173" s="26"/>
      <c r="R173" s="26"/>
      <c r="S173" s="26"/>
      <c r="V173" s="26"/>
      <c r="W173" s="26"/>
      <c r="Z173" s="26"/>
      <c r="AA173" s="26"/>
      <c r="AD173" s="26"/>
      <c r="AG173" s="26"/>
      <c r="AJ173" s="26"/>
      <c r="AM173" s="26"/>
      <c r="AP173" s="26"/>
      <c r="AS173" s="26"/>
      <c r="AV173" s="26"/>
      <c r="AY173" s="26"/>
      <c r="BB173" s="26"/>
      <c r="BE173" s="26"/>
      <c r="BH173" s="26"/>
      <c r="BK173" s="26"/>
      <c r="BN173" s="26"/>
      <c r="BQ173" s="26"/>
      <c r="BT173" s="26"/>
    </row>
    <row r="174">
      <c r="I174" s="32"/>
      <c r="J174" s="26"/>
      <c r="K174" s="26"/>
      <c r="N174" s="26"/>
      <c r="O174" s="26"/>
      <c r="R174" s="26"/>
      <c r="S174" s="26"/>
      <c r="V174" s="26"/>
      <c r="W174" s="26"/>
      <c r="Z174" s="26"/>
      <c r="AA174" s="26"/>
      <c r="AD174" s="26"/>
      <c r="AG174" s="26"/>
      <c r="AJ174" s="26"/>
      <c r="AM174" s="26"/>
      <c r="AP174" s="26"/>
      <c r="AS174" s="26"/>
      <c r="AV174" s="26"/>
      <c r="AY174" s="26"/>
      <c r="BB174" s="26"/>
      <c r="BE174" s="26"/>
      <c r="BH174" s="26"/>
      <c r="BK174" s="26"/>
      <c r="BN174" s="26"/>
      <c r="BQ174" s="26"/>
      <c r="BT174" s="26"/>
    </row>
    <row r="175">
      <c r="I175" s="32"/>
      <c r="J175" s="26"/>
      <c r="K175" s="26"/>
      <c r="N175" s="26"/>
      <c r="O175" s="26"/>
      <c r="R175" s="26"/>
      <c r="S175" s="26"/>
      <c r="V175" s="26"/>
      <c r="W175" s="26"/>
      <c r="Z175" s="26"/>
      <c r="AA175" s="26"/>
      <c r="AD175" s="26"/>
      <c r="AG175" s="26"/>
      <c r="AJ175" s="26"/>
      <c r="AM175" s="26"/>
      <c r="AP175" s="26"/>
      <c r="AS175" s="26"/>
      <c r="AV175" s="26"/>
      <c r="AY175" s="26"/>
      <c r="BB175" s="26"/>
      <c r="BE175" s="26"/>
      <c r="BH175" s="26"/>
      <c r="BK175" s="26"/>
      <c r="BN175" s="26"/>
      <c r="BQ175" s="26"/>
      <c r="BT175" s="26"/>
    </row>
    <row r="176">
      <c r="I176" s="32"/>
      <c r="J176" s="26"/>
      <c r="K176" s="26"/>
      <c r="N176" s="26"/>
      <c r="O176" s="26"/>
      <c r="R176" s="26"/>
      <c r="S176" s="26"/>
      <c r="V176" s="26"/>
      <c r="W176" s="26"/>
      <c r="Z176" s="26"/>
      <c r="AA176" s="26"/>
      <c r="AD176" s="26"/>
      <c r="AG176" s="26"/>
      <c r="AJ176" s="26"/>
      <c r="AM176" s="26"/>
      <c r="AP176" s="26"/>
      <c r="AS176" s="26"/>
      <c r="AV176" s="26"/>
      <c r="AY176" s="26"/>
      <c r="BB176" s="26"/>
      <c r="BE176" s="26"/>
      <c r="BH176" s="26"/>
      <c r="BK176" s="26"/>
      <c r="BN176" s="26"/>
      <c r="BQ176" s="26"/>
      <c r="BT176" s="26"/>
    </row>
    <row r="177">
      <c r="I177" s="32"/>
      <c r="J177" s="26"/>
      <c r="K177" s="26"/>
      <c r="N177" s="26"/>
      <c r="O177" s="26"/>
      <c r="R177" s="26"/>
      <c r="S177" s="26"/>
      <c r="V177" s="26"/>
      <c r="W177" s="26"/>
      <c r="Z177" s="26"/>
      <c r="AA177" s="26"/>
      <c r="AD177" s="26"/>
      <c r="AG177" s="26"/>
      <c r="AJ177" s="26"/>
      <c r="AM177" s="26"/>
      <c r="AP177" s="26"/>
      <c r="AS177" s="26"/>
      <c r="AV177" s="26"/>
      <c r="AY177" s="26"/>
      <c r="BB177" s="26"/>
      <c r="BE177" s="26"/>
      <c r="BH177" s="26"/>
      <c r="BK177" s="26"/>
      <c r="BN177" s="26"/>
      <c r="BQ177" s="26"/>
      <c r="BT177" s="26"/>
    </row>
    <row r="178">
      <c r="I178" s="32"/>
      <c r="J178" s="26"/>
      <c r="K178" s="26"/>
      <c r="N178" s="26"/>
      <c r="O178" s="26"/>
      <c r="R178" s="26"/>
      <c r="S178" s="26"/>
      <c r="V178" s="26"/>
      <c r="W178" s="26"/>
      <c r="Z178" s="26"/>
      <c r="AA178" s="26"/>
      <c r="AD178" s="26"/>
      <c r="AG178" s="26"/>
      <c r="AJ178" s="26"/>
      <c r="AM178" s="26"/>
      <c r="AP178" s="26"/>
      <c r="AS178" s="26"/>
      <c r="AV178" s="26"/>
      <c r="AY178" s="26"/>
      <c r="BB178" s="26"/>
      <c r="BE178" s="26"/>
      <c r="BH178" s="26"/>
      <c r="BK178" s="26"/>
      <c r="BN178" s="26"/>
      <c r="BQ178" s="26"/>
      <c r="BT178" s="26"/>
    </row>
    <row r="179">
      <c r="I179" s="32"/>
      <c r="J179" s="26"/>
      <c r="K179" s="26"/>
      <c r="N179" s="26"/>
      <c r="O179" s="26"/>
      <c r="R179" s="26"/>
      <c r="S179" s="26"/>
      <c r="V179" s="26"/>
      <c r="W179" s="26"/>
      <c r="Z179" s="26"/>
      <c r="AA179" s="26"/>
      <c r="AD179" s="26"/>
      <c r="AG179" s="26"/>
      <c r="AJ179" s="26"/>
      <c r="AM179" s="26"/>
      <c r="AP179" s="26"/>
      <c r="AS179" s="26"/>
      <c r="AV179" s="26"/>
      <c r="AY179" s="26"/>
      <c r="BB179" s="26"/>
      <c r="BE179" s="26"/>
      <c r="BH179" s="26"/>
      <c r="BK179" s="26"/>
      <c r="BN179" s="26"/>
      <c r="BQ179" s="26"/>
      <c r="BT179" s="26"/>
    </row>
    <row r="180">
      <c r="I180" s="32"/>
      <c r="J180" s="26"/>
      <c r="K180" s="26"/>
      <c r="N180" s="26"/>
      <c r="O180" s="26"/>
      <c r="R180" s="26"/>
      <c r="S180" s="26"/>
      <c r="V180" s="26"/>
      <c r="W180" s="26"/>
      <c r="Z180" s="26"/>
      <c r="AA180" s="26"/>
      <c r="AD180" s="26"/>
      <c r="AG180" s="26"/>
      <c r="AJ180" s="26"/>
      <c r="AM180" s="26"/>
      <c r="AP180" s="26"/>
      <c r="AS180" s="26"/>
      <c r="AV180" s="26"/>
      <c r="AY180" s="26"/>
      <c r="BB180" s="26"/>
      <c r="BE180" s="26"/>
      <c r="BH180" s="26"/>
      <c r="BK180" s="26"/>
      <c r="BN180" s="26"/>
      <c r="BQ180" s="26"/>
      <c r="BT180" s="26"/>
    </row>
    <row r="181">
      <c r="I181" s="32"/>
      <c r="J181" s="26"/>
      <c r="K181" s="26"/>
      <c r="N181" s="26"/>
      <c r="O181" s="26"/>
      <c r="R181" s="26"/>
      <c r="S181" s="26"/>
      <c r="V181" s="26"/>
      <c r="W181" s="26"/>
      <c r="Z181" s="26"/>
      <c r="AA181" s="26"/>
      <c r="AD181" s="26"/>
      <c r="AG181" s="26"/>
      <c r="AJ181" s="26"/>
      <c r="AM181" s="26"/>
      <c r="AP181" s="26"/>
      <c r="AS181" s="26"/>
      <c r="AV181" s="26"/>
      <c r="AY181" s="26"/>
      <c r="BB181" s="26"/>
      <c r="BE181" s="26"/>
      <c r="BH181" s="26"/>
      <c r="BK181" s="26"/>
      <c r="BN181" s="26"/>
      <c r="BQ181" s="26"/>
      <c r="BT181" s="26"/>
    </row>
    <row r="182">
      <c r="I182" s="32"/>
      <c r="J182" s="26"/>
      <c r="K182" s="26"/>
      <c r="N182" s="26"/>
      <c r="O182" s="26"/>
      <c r="R182" s="26"/>
      <c r="S182" s="26"/>
      <c r="V182" s="26"/>
      <c r="W182" s="26"/>
      <c r="Z182" s="26"/>
      <c r="AA182" s="26"/>
      <c r="AD182" s="26"/>
      <c r="AG182" s="26"/>
      <c r="AJ182" s="26"/>
      <c r="AM182" s="26"/>
      <c r="AP182" s="26"/>
      <c r="AS182" s="26"/>
      <c r="AV182" s="26"/>
      <c r="AY182" s="26"/>
      <c r="BB182" s="26"/>
      <c r="BE182" s="26"/>
      <c r="BH182" s="26"/>
      <c r="BK182" s="26"/>
      <c r="BN182" s="26"/>
      <c r="BQ182" s="26"/>
      <c r="BT182" s="26"/>
    </row>
    <row r="183">
      <c r="I183" s="32"/>
      <c r="J183" s="26"/>
      <c r="K183" s="26"/>
      <c r="N183" s="26"/>
      <c r="O183" s="26"/>
      <c r="R183" s="26"/>
      <c r="S183" s="26"/>
      <c r="V183" s="26"/>
      <c r="W183" s="26"/>
      <c r="Z183" s="26"/>
      <c r="AA183" s="26"/>
      <c r="AD183" s="26"/>
      <c r="AG183" s="26"/>
      <c r="AJ183" s="26"/>
      <c r="AM183" s="26"/>
      <c r="AP183" s="26"/>
      <c r="AS183" s="26"/>
      <c r="AV183" s="26"/>
      <c r="AY183" s="26"/>
      <c r="BB183" s="26"/>
      <c r="BE183" s="26"/>
      <c r="BH183" s="26"/>
      <c r="BK183" s="26"/>
      <c r="BN183" s="26"/>
      <c r="BQ183" s="26"/>
      <c r="BT183" s="26"/>
    </row>
    <row r="184">
      <c r="I184" s="32"/>
      <c r="J184" s="26"/>
      <c r="K184" s="26"/>
      <c r="N184" s="26"/>
      <c r="O184" s="26"/>
      <c r="R184" s="26"/>
      <c r="S184" s="26"/>
      <c r="V184" s="26"/>
      <c r="W184" s="26"/>
      <c r="Z184" s="26"/>
      <c r="AA184" s="26"/>
      <c r="AD184" s="26"/>
      <c r="AG184" s="26"/>
      <c r="AJ184" s="26"/>
      <c r="AM184" s="26"/>
      <c r="AP184" s="26"/>
      <c r="AS184" s="26"/>
      <c r="AV184" s="26"/>
      <c r="AY184" s="26"/>
      <c r="BB184" s="26"/>
      <c r="BE184" s="26"/>
      <c r="BH184" s="26"/>
      <c r="BK184" s="26"/>
      <c r="BN184" s="26"/>
      <c r="BQ184" s="26"/>
      <c r="BT184" s="26"/>
    </row>
    <row r="185">
      <c r="I185" s="32"/>
      <c r="J185" s="26"/>
      <c r="K185" s="26"/>
      <c r="N185" s="26"/>
      <c r="O185" s="26"/>
      <c r="R185" s="26"/>
      <c r="S185" s="26"/>
      <c r="V185" s="26"/>
      <c r="W185" s="26"/>
      <c r="Z185" s="26"/>
      <c r="AA185" s="26"/>
      <c r="AD185" s="26"/>
      <c r="AG185" s="26"/>
      <c r="AJ185" s="26"/>
      <c r="AM185" s="26"/>
      <c r="AP185" s="26"/>
      <c r="AS185" s="26"/>
      <c r="AV185" s="26"/>
      <c r="AY185" s="26"/>
      <c r="BB185" s="26"/>
      <c r="BE185" s="26"/>
      <c r="BH185" s="26"/>
      <c r="BK185" s="26"/>
      <c r="BN185" s="26"/>
      <c r="BQ185" s="26"/>
      <c r="BT185" s="26"/>
    </row>
    <row r="186">
      <c r="I186" s="32"/>
      <c r="J186" s="26"/>
      <c r="K186" s="26"/>
      <c r="N186" s="26"/>
      <c r="O186" s="26"/>
      <c r="R186" s="26"/>
      <c r="S186" s="26"/>
      <c r="V186" s="26"/>
      <c r="W186" s="26"/>
      <c r="Z186" s="26"/>
      <c r="AA186" s="26"/>
      <c r="AD186" s="26"/>
      <c r="AG186" s="26"/>
      <c r="AJ186" s="26"/>
      <c r="AM186" s="26"/>
      <c r="AP186" s="26"/>
      <c r="AS186" s="26"/>
      <c r="AV186" s="26"/>
      <c r="AY186" s="26"/>
      <c r="BB186" s="26"/>
      <c r="BE186" s="26"/>
      <c r="BH186" s="26"/>
      <c r="BK186" s="26"/>
      <c r="BN186" s="26"/>
      <c r="BQ186" s="26"/>
      <c r="BT186" s="26"/>
    </row>
    <row r="187">
      <c r="I187" s="32"/>
      <c r="J187" s="26"/>
      <c r="K187" s="26"/>
      <c r="N187" s="26"/>
      <c r="O187" s="26"/>
      <c r="R187" s="26"/>
      <c r="S187" s="26"/>
      <c r="V187" s="26"/>
      <c r="W187" s="26"/>
      <c r="Z187" s="26"/>
      <c r="AA187" s="26"/>
      <c r="AD187" s="26"/>
      <c r="AG187" s="26"/>
      <c r="AJ187" s="26"/>
      <c r="AM187" s="26"/>
      <c r="AP187" s="26"/>
      <c r="AS187" s="26"/>
      <c r="AV187" s="26"/>
      <c r="AY187" s="26"/>
      <c r="BB187" s="26"/>
      <c r="BE187" s="26"/>
      <c r="BH187" s="26"/>
      <c r="BK187" s="26"/>
      <c r="BN187" s="26"/>
      <c r="BQ187" s="26"/>
      <c r="BT187" s="26"/>
    </row>
    <row r="188">
      <c r="I188" s="32"/>
      <c r="J188" s="26"/>
      <c r="K188" s="26"/>
      <c r="N188" s="26"/>
      <c r="O188" s="26"/>
      <c r="R188" s="26"/>
      <c r="S188" s="26"/>
      <c r="V188" s="26"/>
      <c r="W188" s="26"/>
      <c r="Z188" s="26"/>
      <c r="AA188" s="26"/>
      <c r="AD188" s="26"/>
      <c r="AG188" s="26"/>
      <c r="AJ188" s="26"/>
      <c r="AM188" s="26"/>
      <c r="AP188" s="26"/>
      <c r="AS188" s="26"/>
      <c r="AV188" s="26"/>
      <c r="AY188" s="26"/>
      <c r="BB188" s="26"/>
      <c r="BE188" s="26"/>
      <c r="BH188" s="26"/>
      <c r="BK188" s="26"/>
      <c r="BN188" s="26"/>
      <c r="BQ188" s="26"/>
      <c r="BT188" s="26"/>
    </row>
    <row r="189">
      <c r="I189" s="32"/>
      <c r="J189" s="26"/>
      <c r="K189" s="26"/>
      <c r="N189" s="26"/>
      <c r="O189" s="26"/>
      <c r="R189" s="26"/>
      <c r="S189" s="26"/>
      <c r="V189" s="26"/>
      <c r="W189" s="26"/>
      <c r="Z189" s="26"/>
      <c r="AA189" s="26"/>
      <c r="AD189" s="26"/>
      <c r="AG189" s="26"/>
      <c r="AJ189" s="26"/>
      <c r="AM189" s="26"/>
      <c r="AP189" s="26"/>
      <c r="AS189" s="26"/>
      <c r="AV189" s="26"/>
      <c r="AY189" s="26"/>
      <c r="BB189" s="26"/>
      <c r="BE189" s="26"/>
      <c r="BH189" s="26"/>
      <c r="BK189" s="26"/>
      <c r="BN189" s="26"/>
      <c r="BQ189" s="26"/>
      <c r="BT189" s="26"/>
    </row>
    <row r="190">
      <c r="I190" s="32"/>
      <c r="J190" s="26"/>
      <c r="K190" s="26"/>
      <c r="N190" s="26"/>
      <c r="O190" s="26"/>
      <c r="R190" s="26"/>
      <c r="S190" s="26"/>
      <c r="V190" s="26"/>
      <c r="W190" s="26"/>
      <c r="Z190" s="26"/>
      <c r="AA190" s="26"/>
      <c r="AD190" s="26"/>
      <c r="AG190" s="26"/>
      <c r="AJ190" s="26"/>
      <c r="AM190" s="26"/>
      <c r="AP190" s="26"/>
      <c r="AS190" s="26"/>
      <c r="AV190" s="26"/>
      <c r="AY190" s="26"/>
      <c r="BB190" s="26"/>
      <c r="BE190" s="26"/>
      <c r="BH190" s="26"/>
      <c r="BK190" s="26"/>
      <c r="BN190" s="26"/>
      <c r="BQ190" s="26"/>
      <c r="BT190" s="26"/>
    </row>
    <row r="191">
      <c r="I191" s="32"/>
      <c r="J191" s="26"/>
      <c r="K191" s="26"/>
      <c r="N191" s="26"/>
      <c r="O191" s="26"/>
      <c r="R191" s="26"/>
      <c r="S191" s="26"/>
      <c r="V191" s="26"/>
      <c r="W191" s="26"/>
      <c r="Z191" s="26"/>
      <c r="AA191" s="26"/>
      <c r="AD191" s="26"/>
      <c r="AG191" s="26"/>
      <c r="AJ191" s="26"/>
      <c r="AM191" s="26"/>
      <c r="AP191" s="26"/>
      <c r="AS191" s="26"/>
      <c r="AV191" s="26"/>
      <c r="AY191" s="26"/>
      <c r="BB191" s="26"/>
      <c r="BE191" s="26"/>
      <c r="BH191" s="26"/>
      <c r="BK191" s="26"/>
      <c r="BN191" s="26"/>
      <c r="BQ191" s="26"/>
      <c r="BT191" s="26"/>
    </row>
    <row r="192">
      <c r="I192" s="32"/>
      <c r="J192" s="26"/>
      <c r="K192" s="26"/>
      <c r="N192" s="26"/>
      <c r="O192" s="26"/>
      <c r="R192" s="26"/>
      <c r="S192" s="26"/>
      <c r="V192" s="26"/>
      <c r="W192" s="26"/>
      <c r="Z192" s="26"/>
      <c r="AA192" s="26"/>
      <c r="AD192" s="26"/>
      <c r="AG192" s="26"/>
      <c r="AJ192" s="26"/>
      <c r="AM192" s="26"/>
      <c r="AP192" s="26"/>
      <c r="AS192" s="26"/>
      <c r="AV192" s="26"/>
      <c r="AY192" s="26"/>
      <c r="BB192" s="26"/>
      <c r="BE192" s="26"/>
      <c r="BH192" s="26"/>
      <c r="BK192" s="26"/>
      <c r="BN192" s="26"/>
      <c r="BQ192" s="26"/>
      <c r="BT192" s="26"/>
    </row>
    <row r="193">
      <c r="I193" s="32"/>
      <c r="J193" s="26"/>
      <c r="K193" s="26"/>
      <c r="N193" s="26"/>
      <c r="O193" s="26"/>
      <c r="R193" s="26"/>
      <c r="S193" s="26"/>
      <c r="V193" s="26"/>
      <c r="W193" s="26"/>
      <c r="Z193" s="26"/>
      <c r="AA193" s="26"/>
      <c r="AD193" s="26"/>
      <c r="AG193" s="26"/>
      <c r="AJ193" s="26"/>
      <c r="AM193" s="26"/>
      <c r="AP193" s="26"/>
      <c r="AS193" s="26"/>
      <c r="AV193" s="26"/>
      <c r="AY193" s="26"/>
      <c r="BB193" s="26"/>
      <c r="BE193" s="26"/>
      <c r="BH193" s="26"/>
      <c r="BK193" s="26"/>
      <c r="BN193" s="26"/>
      <c r="BQ193" s="26"/>
      <c r="BT193" s="26"/>
    </row>
    <row r="194">
      <c r="I194" s="32"/>
      <c r="J194" s="26"/>
      <c r="K194" s="26"/>
      <c r="N194" s="26"/>
      <c r="O194" s="26"/>
      <c r="R194" s="26"/>
      <c r="S194" s="26"/>
      <c r="V194" s="26"/>
      <c r="W194" s="26"/>
      <c r="Z194" s="26"/>
      <c r="AA194" s="26"/>
      <c r="AD194" s="26"/>
      <c r="AG194" s="26"/>
      <c r="AJ194" s="26"/>
      <c r="AM194" s="26"/>
      <c r="AP194" s="26"/>
      <c r="AS194" s="26"/>
      <c r="AV194" s="26"/>
      <c r="AY194" s="26"/>
      <c r="BB194" s="26"/>
      <c r="BE194" s="26"/>
      <c r="BH194" s="26"/>
      <c r="BK194" s="26"/>
      <c r="BN194" s="26"/>
      <c r="BQ194" s="26"/>
      <c r="BT194" s="26"/>
    </row>
    <row r="195">
      <c r="I195" s="32"/>
      <c r="J195" s="26"/>
      <c r="K195" s="26"/>
      <c r="N195" s="26"/>
      <c r="O195" s="26"/>
      <c r="R195" s="26"/>
      <c r="S195" s="26"/>
      <c r="V195" s="26"/>
      <c r="W195" s="26"/>
      <c r="Z195" s="26"/>
      <c r="AA195" s="26"/>
      <c r="AD195" s="26"/>
      <c r="AG195" s="26"/>
      <c r="AJ195" s="26"/>
      <c r="AM195" s="26"/>
      <c r="AP195" s="26"/>
      <c r="AS195" s="26"/>
      <c r="AV195" s="26"/>
      <c r="AY195" s="26"/>
      <c r="BB195" s="26"/>
      <c r="BE195" s="26"/>
      <c r="BH195" s="26"/>
      <c r="BK195" s="26"/>
      <c r="BN195" s="26"/>
      <c r="BQ195" s="26"/>
      <c r="BT195" s="26"/>
    </row>
    <row r="196">
      <c r="I196" s="32"/>
      <c r="J196" s="26"/>
      <c r="K196" s="26"/>
      <c r="N196" s="26"/>
      <c r="O196" s="26"/>
      <c r="R196" s="26"/>
      <c r="S196" s="26"/>
      <c r="V196" s="26"/>
      <c r="W196" s="26"/>
      <c r="Z196" s="26"/>
      <c r="AA196" s="26"/>
      <c r="AD196" s="26"/>
      <c r="AG196" s="26"/>
      <c r="AJ196" s="26"/>
      <c r="AM196" s="26"/>
      <c r="AP196" s="26"/>
      <c r="AS196" s="26"/>
      <c r="AV196" s="26"/>
      <c r="AY196" s="26"/>
      <c r="BB196" s="26"/>
      <c r="BE196" s="26"/>
      <c r="BH196" s="26"/>
      <c r="BK196" s="26"/>
      <c r="BN196" s="26"/>
      <c r="BQ196" s="26"/>
      <c r="BT196" s="26"/>
    </row>
    <row r="197">
      <c r="I197" s="32"/>
      <c r="J197" s="26"/>
      <c r="K197" s="26"/>
      <c r="N197" s="26"/>
      <c r="O197" s="26"/>
      <c r="R197" s="26"/>
      <c r="S197" s="26"/>
      <c r="V197" s="26"/>
      <c r="W197" s="26"/>
      <c r="Z197" s="26"/>
      <c r="AA197" s="26"/>
      <c r="AD197" s="26"/>
      <c r="AG197" s="26"/>
      <c r="AJ197" s="26"/>
      <c r="AM197" s="26"/>
      <c r="AP197" s="26"/>
      <c r="AS197" s="26"/>
      <c r="AV197" s="26"/>
      <c r="AY197" s="26"/>
      <c r="BB197" s="26"/>
      <c r="BE197" s="26"/>
      <c r="BH197" s="26"/>
      <c r="BK197" s="26"/>
      <c r="BN197" s="26"/>
      <c r="BQ197" s="26"/>
      <c r="BT197" s="26"/>
    </row>
    <row r="198">
      <c r="I198" s="32"/>
      <c r="J198" s="26"/>
      <c r="K198" s="26"/>
      <c r="N198" s="26"/>
      <c r="O198" s="26"/>
      <c r="R198" s="26"/>
      <c r="S198" s="26"/>
      <c r="V198" s="26"/>
      <c r="W198" s="26"/>
      <c r="Z198" s="26"/>
      <c r="AA198" s="26"/>
      <c r="AD198" s="26"/>
      <c r="AG198" s="26"/>
      <c r="AJ198" s="26"/>
      <c r="AM198" s="26"/>
      <c r="AP198" s="26"/>
      <c r="AS198" s="26"/>
      <c r="AV198" s="26"/>
      <c r="AY198" s="26"/>
      <c r="BB198" s="26"/>
      <c r="BE198" s="26"/>
      <c r="BH198" s="26"/>
      <c r="BK198" s="26"/>
      <c r="BN198" s="26"/>
      <c r="BQ198" s="26"/>
      <c r="BT198" s="26"/>
    </row>
    <row r="199">
      <c r="I199" s="32"/>
      <c r="J199" s="26"/>
      <c r="K199" s="26"/>
      <c r="N199" s="26"/>
      <c r="O199" s="26"/>
      <c r="R199" s="26"/>
      <c r="S199" s="26"/>
      <c r="V199" s="26"/>
      <c r="W199" s="26"/>
      <c r="Z199" s="26"/>
      <c r="AA199" s="26"/>
      <c r="AD199" s="26"/>
      <c r="AG199" s="26"/>
      <c r="AJ199" s="26"/>
      <c r="AM199" s="26"/>
      <c r="AP199" s="26"/>
      <c r="AS199" s="26"/>
      <c r="AV199" s="26"/>
      <c r="AY199" s="26"/>
      <c r="BB199" s="26"/>
      <c r="BE199" s="26"/>
      <c r="BH199" s="26"/>
      <c r="BK199" s="26"/>
      <c r="BN199" s="26"/>
      <c r="BQ199" s="26"/>
      <c r="BT199" s="26"/>
    </row>
    <row r="200">
      <c r="I200" s="32"/>
      <c r="J200" s="26"/>
      <c r="K200" s="26"/>
      <c r="N200" s="26"/>
      <c r="O200" s="26"/>
      <c r="R200" s="26"/>
      <c r="S200" s="26"/>
      <c r="V200" s="26"/>
      <c r="W200" s="26"/>
      <c r="Z200" s="26"/>
      <c r="AA200" s="26"/>
      <c r="AD200" s="26"/>
      <c r="AG200" s="26"/>
      <c r="AJ200" s="26"/>
      <c r="AM200" s="26"/>
      <c r="AP200" s="26"/>
      <c r="AS200" s="26"/>
      <c r="AV200" s="26"/>
      <c r="AY200" s="26"/>
      <c r="BB200" s="26"/>
      <c r="BE200" s="26"/>
      <c r="BH200" s="26"/>
      <c r="BK200" s="26"/>
      <c r="BN200" s="26"/>
      <c r="BQ200" s="26"/>
      <c r="BT200" s="26"/>
    </row>
    <row r="201">
      <c r="I201" s="32"/>
      <c r="J201" s="26"/>
      <c r="K201" s="26"/>
      <c r="N201" s="26"/>
      <c r="O201" s="26"/>
      <c r="R201" s="26"/>
      <c r="S201" s="26"/>
      <c r="V201" s="26"/>
      <c r="W201" s="26"/>
      <c r="Z201" s="26"/>
      <c r="AA201" s="26"/>
      <c r="AD201" s="26"/>
      <c r="AG201" s="26"/>
      <c r="AJ201" s="26"/>
      <c r="AM201" s="26"/>
      <c r="AP201" s="26"/>
      <c r="AS201" s="26"/>
      <c r="AV201" s="26"/>
      <c r="AY201" s="26"/>
      <c r="BB201" s="26"/>
      <c r="BE201" s="26"/>
      <c r="BH201" s="26"/>
      <c r="BK201" s="26"/>
      <c r="BN201" s="26"/>
      <c r="BQ201" s="26"/>
      <c r="BT201" s="26"/>
    </row>
    <row r="202">
      <c r="I202" s="32"/>
      <c r="J202" s="26"/>
      <c r="K202" s="26"/>
      <c r="N202" s="26"/>
      <c r="O202" s="26"/>
      <c r="R202" s="26"/>
      <c r="S202" s="26"/>
      <c r="V202" s="26"/>
      <c r="W202" s="26"/>
      <c r="Z202" s="26"/>
      <c r="AA202" s="26"/>
      <c r="AD202" s="26"/>
      <c r="AG202" s="26"/>
      <c r="AJ202" s="26"/>
      <c r="AM202" s="26"/>
      <c r="AP202" s="26"/>
      <c r="AS202" s="26"/>
      <c r="AV202" s="26"/>
      <c r="AY202" s="26"/>
      <c r="BB202" s="26"/>
      <c r="BE202" s="26"/>
      <c r="BH202" s="26"/>
      <c r="BK202" s="26"/>
      <c r="BN202" s="26"/>
      <c r="BQ202" s="26"/>
      <c r="BT202" s="26"/>
    </row>
    <row r="203">
      <c r="I203" s="32"/>
      <c r="J203" s="26"/>
      <c r="K203" s="26"/>
      <c r="N203" s="26"/>
      <c r="O203" s="26"/>
      <c r="R203" s="26"/>
      <c r="S203" s="26"/>
      <c r="V203" s="26"/>
      <c r="W203" s="26"/>
      <c r="Z203" s="26"/>
      <c r="AA203" s="26"/>
      <c r="AD203" s="26"/>
      <c r="AG203" s="26"/>
      <c r="AJ203" s="26"/>
      <c r="AM203" s="26"/>
      <c r="AP203" s="26"/>
      <c r="AS203" s="26"/>
      <c r="AV203" s="26"/>
      <c r="AY203" s="26"/>
      <c r="BB203" s="26"/>
      <c r="BE203" s="26"/>
      <c r="BH203" s="26"/>
      <c r="BK203" s="26"/>
      <c r="BN203" s="26"/>
      <c r="BQ203" s="26"/>
      <c r="BT203" s="26"/>
    </row>
    <row r="204">
      <c r="I204" s="32"/>
      <c r="J204" s="26"/>
      <c r="K204" s="26"/>
      <c r="N204" s="26"/>
      <c r="O204" s="26"/>
      <c r="R204" s="26"/>
      <c r="S204" s="26"/>
      <c r="V204" s="26"/>
      <c r="W204" s="26"/>
      <c r="Z204" s="26"/>
      <c r="AA204" s="26"/>
      <c r="AD204" s="26"/>
      <c r="AG204" s="26"/>
      <c r="AJ204" s="26"/>
      <c r="AM204" s="26"/>
      <c r="AP204" s="26"/>
      <c r="AS204" s="26"/>
      <c r="AV204" s="26"/>
      <c r="AY204" s="26"/>
      <c r="BB204" s="26"/>
      <c r="BE204" s="26"/>
      <c r="BH204" s="26"/>
      <c r="BK204" s="26"/>
      <c r="BN204" s="26"/>
      <c r="BQ204" s="26"/>
      <c r="BT204" s="26"/>
    </row>
    <row r="205">
      <c r="I205" s="32"/>
      <c r="J205" s="26"/>
      <c r="K205" s="26"/>
      <c r="N205" s="26"/>
      <c r="O205" s="26"/>
      <c r="R205" s="26"/>
      <c r="S205" s="26"/>
      <c r="V205" s="26"/>
      <c r="W205" s="26"/>
      <c r="Z205" s="26"/>
      <c r="AA205" s="26"/>
      <c r="AD205" s="26"/>
      <c r="AG205" s="26"/>
      <c r="AJ205" s="26"/>
      <c r="AM205" s="26"/>
      <c r="AP205" s="26"/>
      <c r="AS205" s="26"/>
      <c r="AV205" s="26"/>
      <c r="AY205" s="26"/>
      <c r="BB205" s="26"/>
      <c r="BE205" s="26"/>
      <c r="BH205" s="26"/>
      <c r="BK205" s="26"/>
      <c r="BN205" s="26"/>
      <c r="BQ205" s="26"/>
      <c r="BT205" s="26"/>
    </row>
    <row r="206">
      <c r="I206" s="32"/>
      <c r="J206" s="26"/>
      <c r="K206" s="26"/>
      <c r="N206" s="26"/>
      <c r="O206" s="26"/>
      <c r="R206" s="26"/>
      <c r="S206" s="26"/>
      <c r="V206" s="26"/>
      <c r="W206" s="26"/>
      <c r="Z206" s="26"/>
      <c r="AA206" s="26"/>
      <c r="AD206" s="26"/>
      <c r="AG206" s="26"/>
      <c r="AJ206" s="26"/>
      <c r="AM206" s="26"/>
      <c r="AP206" s="26"/>
      <c r="AS206" s="26"/>
      <c r="AV206" s="26"/>
      <c r="AY206" s="26"/>
      <c r="BB206" s="26"/>
      <c r="BE206" s="26"/>
      <c r="BH206" s="26"/>
      <c r="BK206" s="26"/>
      <c r="BN206" s="26"/>
      <c r="BQ206" s="26"/>
      <c r="BT206" s="26"/>
    </row>
    <row r="207">
      <c r="I207" s="32"/>
      <c r="J207" s="26"/>
      <c r="K207" s="26"/>
      <c r="N207" s="26"/>
      <c r="O207" s="26"/>
      <c r="R207" s="26"/>
      <c r="S207" s="26"/>
      <c r="V207" s="26"/>
      <c r="W207" s="26"/>
      <c r="Z207" s="26"/>
      <c r="AA207" s="26"/>
      <c r="AD207" s="26"/>
      <c r="AG207" s="26"/>
      <c r="AJ207" s="26"/>
      <c r="AM207" s="26"/>
      <c r="AP207" s="26"/>
      <c r="AS207" s="26"/>
      <c r="AV207" s="26"/>
      <c r="AY207" s="26"/>
      <c r="BB207" s="26"/>
      <c r="BE207" s="26"/>
      <c r="BH207" s="26"/>
      <c r="BK207" s="26"/>
      <c r="BN207" s="26"/>
      <c r="BQ207" s="26"/>
      <c r="BT207" s="26"/>
    </row>
    <row r="208">
      <c r="I208" s="32"/>
      <c r="J208" s="26"/>
      <c r="K208" s="26"/>
      <c r="N208" s="26"/>
      <c r="O208" s="26"/>
      <c r="R208" s="26"/>
      <c r="S208" s="26"/>
      <c r="V208" s="26"/>
      <c r="W208" s="26"/>
      <c r="Z208" s="26"/>
      <c r="AA208" s="26"/>
      <c r="AD208" s="26"/>
      <c r="AG208" s="26"/>
      <c r="AJ208" s="26"/>
      <c r="AM208" s="26"/>
      <c r="AP208" s="26"/>
      <c r="AS208" s="26"/>
      <c r="AV208" s="26"/>
      <c r="AY208" s="26"/>
      <c r="BB208" s="26"/>
      <c r="BE208" s="26"/>
      <c r="BH208" s="26"/>
      <c r="BK208" s="26"/>
      <c r="BN208" s="26"/>
      <c r="BQ208" s="26"/>
      <c r="BT208" s="26"/>
    </row>
    <row r="209">
      <c r="I209" s="32"/>
      <c r="J209" s="26"/>
      <c r="K209" s="26"/>
      <c r="N209" s="26"/>
      <c r="O209" s="26"/>
      <c r="R209" s="26"/>
      <c r="S209" s="26"/>
      <c r="V209" s="26"/>
      <c r="W209" s="26"/>
      <c r="Z209" s="26"/>
      <c r="AA209" s="26"/>
      <c r="AD209" s="26"/>
      <c r="AG209" s="26"/>
      <c r="AJ209" s="26"/>
      <c r="AM209" s="26"/>
      <c r="AP209" s="26"/>
      <c r="AS209" s="26"/>
      <c r="AV209" s="26"/>
      <c r="AY209" s="26"/>
      <c r="BB209" s="26"/>
      <c r="BE209" s="26"/>
      <c r="BH209" s="26"/>
      <c r="BK209" s="26"/>
      <c r="BN209" s="26"/>
      <c r="BQ209" s="26"/>
      <c r="BT209" s="26"/>
    </row>
    <row r="210">
      <c r="I210" s="32"/>
      <c r="J210" s="26"/>
      <c r="K210" s="26"/>
      <c r="N210" s="26"/>
      <c r="O210" s="26"/>
      <c r="R210" s="26"/>
      <c r="S210" s="26"/>
      <c r="V210" s="26"/>
      <c r="W210" s="26"/>
      <c r="Z210" s="26"/>
      <c r="AA210" s="26"/>
      <c r="AD210" s="26"/>
      <c r="AG210" s="26"/>
      <c r="AJ210" s="26"/>
      <c r="AM210" s="26"/>
      <c r="AP210" s="26"/>
      <c r="AS210" s="26"/>
      <c r="AV210" s="26"/>
      <c r="AY210" s="26"/>
      <c r="BB210" s="26"/>
      <c r="BE210" s="26"/>
      <c r="BH210" s="26"/>
      <c r="BK210" s="26"/>
      <c r="BN210" s="26"/>
      <c r="BQ210" s="26"/>
      <c r="BT210" s="26"/>
    </row>
    <row r="211">
      <c r="I211" s="32"/>
      <c r="J211" s="26"/>
      <c r="K211" s="26"/>
      <c r="N211" s="26"/>
      <c r="O211" s="26"/>
      <c r="R211" s="26"/>
      <c r="S211" s="26"/>
      <c r="V211" s="26"/>
      <c r="W211" s="26"/>
      <c r="Z211" s="26"/>
      <c r="AA211" s="26"/>
      <c r="AD211" s="26"/>
      <c r="AG211" s="26"/>
      <c r="AJ211" s="26"/>
      <c r="AM211" s="26"/>
      <c r="AP211" s="26"/>
      <c r="AS211" s="26"/>
      <c r="AV211" s="26"/>
      <c r="AY211" s="26"/>
      <c r="BB211" s="26"/>
      <c r="BE211" s="26"/>
      <c r="BH211" s="26"/>
      <c r="BK211" s="26"/>
      <c r="BN211" s="26"/>
      <c r="BQ211" s="26"/>
      <c r="BT211" s="26"/>
    </row>
    <row r="212">
      <c r="I212" s="32"/>
      <c r="J212" s="26"/>
      <c r="K212" s="26"/>
      <c r="N212" s="26"/>
      <c r="O212" s="26"/>
      <c r="R212" s="26"/>
      <c r="S212" s="26"/>
      <c r="V212" s="26"/>
      <c r="W212" s="26"/>
      <c r="Z212" s="26"/>
      <c r="AA212" s="26"/>
      <c r="AD212" s="26"/>
      <c r="AG212" s="26"/>
      <c r="AJ212" s="26"/>
      <c r="AM212" s="26"/>
      <c r="AP212" s="26"/>
      <c r="AS212" s="26"/>
      <c r="AV212" s="26"/>
      <c r="AY212" s="26"/>
      <c r="BB212" s="26"/>
      <c r="BE212" s="26"/>
      <c r="BH212" s="26"/>
      <c r="BK212" s="26"/>
      <c r="BN212" s="26"/>
      <c r="BQ212" s="26"/>
      <c r="BT212" s="26"/>
    </row>
    <row r="213">
      <c r="I213" s="32"/>
      <c r="J213" s="26"/>
      <c r="K213" s="26"/>
      <c r="N213" s="26"/>
      <c r="O213" s="26"/>
      <c r="R213" s="26"/>
      <c r="S213" s="26"/>
      <c r="V213" s="26"/>
      <c r="W213" s="26"/>
      <c r="Z213" s="26"/>
      <c r="AA213" s="26"/>
      <c r="AD213" s="26"/>
      <c r="AG213" s="26"/>
      <c r="AJ213" s="26"/>
      <c r="AM213" s="26"/>
      <c r="AP213" s="26"/>
      <c r="AS213" s="26"/>
      <c r="AV213" s="26"/>
      <c r="AY213" s="26"/>
      <c r="BB213" s="26"/>
      <c r="BE213" s="26"/>
      <c r="BH213" s="26"/>
      <c r="BK213" s="26"/>
      <c r="BN213" s="26"/>
      <c r="BQ213" s="26"/>
      <c r="BT213" s="26"/>
    </row>
    <row r="214">
      <c r="I214" s="32"/>
      <c r="J214" s="26"/>
      <c r="K214" s="26"/>
      <c r="N214" s="26"/>
      <c r="O214" s="26"/>
      <c r="R214" s="26"/>
      <c r="S214" s="26"/>
      <c r="V214" s="26"/>
      <c r="W214" s="26"/>
      <c r="Z214" s="26"/>
      <c r="AA214" s="26"/>
      <c r="AD214" s="26"/>
      <c r="AG214" s="26"/>
      <c r="AJ214" s="26"/>
      <c r="AM214" s="26"/>
      <c r="AP214" s="26"/>
      <c r="AS214" s="26"/>
      <c r="AV214" s="26"/>
      <c r="AY214" s="26"/>
      <c r="BB214" s="26"/>
      <c r="BE214" s="26"/>
      <c r="BH214" s="26"/>
      <c r="BK214" s="26"/>
      <c r="BN214" s="26"/>
      <c r="BQ214" s="26"/>
      <c r="BT214" s="26"/>
    </row>
    <row r="215">
      <c r="I215" s="32"/>
      <c r="J215" s="26"/>
      <c r="K215" s="26"/>
      <c r="N215" s="26"/>
      <c r="O215" s="26"/>
      <c r="R215" s="26"/>
      <c r="S215" s="26"/>
      <c r="V215" s="26"/>
      <c r="W215" s="26"/>
      <c r="Z215" s="26"/>
      <c r="AA215" s="26"/>
      <c r="AD215" s="26"/>
      <c r="AG215" s="26"/>
      <c r="AJ215" s="26"/>
      <c r="AM215" s="26"/>
      <c r="AP215" s="26"/>
      <c r="AS215" s="26"/>
      <c r="AV215" s="26"/>
      <c r="AY215" s="26"/>
      <c r="BB215" s="26"/>
      <c r="BE215" s="26"/>
      <c r="BH215" s="26"/>
      <c r="BK215" s="26"/>
      <c r="BN215" s="26"/>
      <c r="BQ215" s="26"/>
      <c r="BT215" s="26"/>
    </row>
    <row r="216">
      <c r="I216" s="32"/>
      <c r="J216" s="26"/>
      <c r="K216" s="26"/>
      <c r="N216" s="26"/>
      <c r="O216" s="26"/>
      <c r="R216" s="26"/>
      <c r="S216" s="26"/>
      <c r="V216" s="26"/>
      <c r="W216" s="26"/>
      <c r="Z216" s="26"/>
      <c r="AA216" s="26"/>
      <c r="AD216" s="26"/>
      <c r="AG216" s="26"/>
      <c r="AJ216" s="26"/>
      <c r="AM216" s="26"/>
      <c r="AP216" s="26"/>
      <c r="AS216" s="26"/>
      <c r="AV216" s="26"/>
      <c r="AY216" s="26"/>
      <c r="BB216" s="26"/>
      <c r="BE216" s="26"/>
      <c r="BH216" s="26"/>
      <c r="BK216" s="26"/>
      <c r="BN216" s="26"/>
      <c r="BQ216" s="26"/>
      <c r="BT216" s="26"/>
    </row>
    <row r="217">
      <c r="I217" s="32"/>
      <c r="J217" s="26"/>
      <c r="K217" s="26"/>
      <c r="N217" s="26"/>
      <c r="O217" s="26"/>
      <c r="R217" s="26"/>
      <c r="S217" s="26"/>
      <c r="V217" s="26"/>
      <c r="W217" s="26"/>
      <c r="Z217" s="26"/>
      <c r="AA217" s="26"/>
      <c r="AD217" s="26"/>
      <c r="AG217" s="26"/>
      <c r="AJ217" s="26"/>
      <c r="AM217" s="26"/>
      <c r="AP217" s="26"/>
      <c r="AS217" s="26"/>
      <c r="AV217" s="26"/>
      <c r="AY217" s="26"/>
      <c r="BB217" s="26"/>
      <c r="BE217" s="26"/>
      <c r="BH217" s="26"/>
      <c r="BK217" s="26"/>
      <c r="BN217" s="26"/>
      <c r="BQ217" s="26"/>
      <c r="BT217" s="26"/>
    </row>
    <row r="218">
      <c r="I218" s="32"/>
      <c r="J218" s="26"/>
      <c r="K218" s="26"/>
      <c r="N218" s="26"/>
      <c r="O218" s="26"/>
      <c r="R218" s="26"/>
      <c r="S218" s="26"/>
      <c r="V218" s="26"/>
      <c r="W218" s="26"/>
      <c r="Z218" s="26"/>
      <c r="AA218" s="26"/>
      <c r="AD218" s="26"/>
      <c r="AG218" s="26"/>
      <c r="AJ218" s="26"/>
      <c r="AM218" s="26"/>
      <c r="AP218" s="26"/>
      <c r="AS218" s="26"/>
      <c r="AV218" s="26"/>
      <c r="AY218" s="26"/>
      <c r="BB218" s="26"/>
      <c r="BE218" s="26"/>
      <c r="BH218" s="26"/>
      <c r="BK218" s="26"/>
      <c r="BN218" s="26"/>
      <c r="BQ218" s="26"/>
      <c r="BT218" s="26"/>
    </row>
    <row r="219">
      <c r="I219" s="32"/>
      <c r="J219" s="26"/>
      <c r="K219" s="26"/>
      <c r="N219" s="26"/>
      <c r="O219" s="26"/>
      <c r="R219" s="26"/>
      <c r="S219" s="26"/>
      <c r="V219" s="26"/>
      <c r="W219" s="26"/>
      <c r="Z219" s="26"/>
      <c r="AA219" s="26"/>
      <c r="AD219" s="26"/>
      <c r="AG219" s="26"/>
      <c r="AJ219" s="26"/>
      <c r="AM219" s="26"/>
      <c r="AP219" s="26"/>
      <c r="AS219" s="26"/>
      <c r="AV219" s="26"/>
      <c r="AY219" s="26"/>
      <c r="BB219" s="26"/>
      <c r="BE219" s="26"/>
      <c r="BH219" s="26"/>
      <c r="BK219" s="26"/>
      <c r="BN219" s="26"/>
      <c r="BQ219" s="26"/>
      <c r="BT219" s="26"/>
    </row>
    <row r="220">
      <c r="I220" s="32"/>
      <c r="J220" s="26"/>
      <c r="K220" s="26"/>
      <c r="N220" s="26"/>
      <c r="O220" s="26"/>
      <c r="R220" s="26"/>
      <c r="S220" s="26"/>
      <c r="V220" s="26"/>
      <c r="W220" s="26"/>
      <c r="Z220" s="26"/>
      <c r="AA220" s="26"/>
      <c r="AD220" s="26"/>
      <c r="AG220" s="26"/>
      <c r="AJ220" s="26"/>
      <c r="AM220" s="26"/>
      <c r="AP220" s="26"/>
      <c r="AS220" s="26"/>
      <c r="AV220" s="26"/>
      <c r="AY220" s="26"/>
      <c r="BB220" s="26"/>
      <c r="BE220" s="26"/>
      <c r="BH220" s="26"/>
      <c r="BK220" s="26"/>
      <c r="BN220" s="26"/>
      <c r="BQ220" s="26"/>
      <c r="BT220" s="26"/>
    </row>
    <row r="221">
      <c r="I221" s="32"/>
      <c r="J221" s="26"/>
      <c r="K221" s="26"/>
      <c r="N221" s="26"/>
      <c r="O221" s="26"/>
      <c r="R221" s="26"/>
      <c r="S221" s="26"/>
      <c r="V221" s="26"/>
      <c r="W221" s="26"/>
      <c r="Z221" s="26"/>
      <c r="AA221" s="26"/>
      <c r="AD221" s="26"/>
      <c r="AG221" s="26"/>
      <c r="AJ221" s="26"/>
      <c r="AM221" s="26"/>
      <c r="AP221" s="26"/>
      <c r="AS221" s="26"/>
      <c r="AV221" s="26"/>
      <c r="AY221" s="26"/>
      <c r="BB221" s="26"/>
      <c r="BE221" s="26"/>
      <c r="BH221" s="26"/>
      <c r="BK221" s="26"/>
      <c r="BN221" s="26"/>
      <c r="BQ221" s="26"/>
      <c r="BT221" s="26"/>
    </row>
    <row r="222">
      <c r="I222" s="32"/>
      <c r="J222" s="26"/>
      <c r="K222" s="26"/>
      <c r="N222" s="26"/>
      <c r="O222" s="26"/>
      <c r="R222" s="26"/>
      <c r="S222" s="26"/>
      <c r="V222" s="26"/>
      <c r="W222" s="26"/>
      <c r="Z222" s="26"/>
      <c r="AA222" s="26"/>
      <c r="AD222" s="26"/>
      <c r="AG222" s="26"/>
      <c r="AJ222" s="26"/>
      <c r="AM222" s="26"/>
      <c r="AP222" s="26"/>
      <c r="AS222" s="26"/>
      <c r="AV222" s="26"/>
      <c r="AY222" s="26"/>
      <c r="BB222" s="26"/>
      <c r="BE222" s="26"/>
      <c r="BH222" s="26"/>
      <c r="BK222" s="26"/>
      <c r="BN222" s="26"/>
      <c r="BQ222" s="26"/>
      <c r="BT222" s="26"/>
    </row>
    <row r="223">
      <c r="I223" s="32"/>
      <c r="J223" s="26"/>
      <c r="K223" s="26"/>
      <c r="N223" s="26"/>
      <c r="O223" s="26"/>
      <c r="R223" s="26"/>
      <c r="S223" s="26"/>
      <c r="V223" s="26"/>
      <c r="W223" s="26"/>
      <c r="Z223" s="26"/>
      <c r="AA223" s="26"/>
      <c r="AD223" s="26"/>
      <c r="AG223" s="26"/>
      <c r="AJ223" s="26"/>
      <c r="AM223" s="26"/>
      <c r="AP223" s="26"/>
      <c r="AS223" s="26"/>
      <c r="AV223" s="26"/>
      <c r="AY223" s="26"/>
      <c r="BB223" s="26"/>
      <c r="BE223" s="26"/>
      <c r="BH223" s="26"/>
      <c r="BK223" s="26"/>
      <c r="BN223" s="26"/>
      <c r="BQ223" s="26"/>
      <c r="BT223" s="26"/>
    </row>
    <row r="224">
      <c r="I224" s="32"/>
      <c r="J224" s="26"/>
      <c r="K224" s="26"/>
      <c r="N224" s="26"/>
      <c r="O224" s="26"/>
      <c r="R224" s="26"/>
      <c r="S224" s="26"/>
      <c r="V224" s="26"/>
      <c r="W224" s="26"/>
      <c r="Z224" s="26"/>
      <c r="AA224" s="26"/>
      <c r="AD224" s="26"/>
      <c r="AG224" s="26"/>
      <c r="AJ224" s="26"/>
      <c r="AM224" s="26"/>
      <c r="AP224" s="26"/>
      <c r="AS224" s="26"/>
      <c r="AV224" s="26"/>
      <c r="AY224" s="26"/>
      <c r="BB224" s="26"/>
      <c r="BE224" s="26"/>
      <c r="BH224" s="26"/>
      <c r="BK224" s="26"/>
      <c r="BN224" s="26"/>
      <c r="BQ224" s="26"/>
      <c r="BT224" s="26"/>
    </row>
    <row r="225">
      <c r="I225" s="32"/>
      <c r="J225" s="26"/>
      <c r="K225" s="26"/>
      <c r="N225" s="26"/>
      <c r="O225" s="26"/>
      <c r="R225" s="26"/>
      <c r="S225" s="26"/>
      <c r="V225" s="26"/>
      <c r="W225" s="26"/>
      <c r="Z225" s="26"/>
      <c r="AA225" s="26"/>
      <c r="AD225" s="26"/>
      <c r="AG225" s="26"/>
      <c r="AJ225" s="26"/>
      <c r="AM225" s="26"/>
      <c r="AP225" s="26"/>
      <c r="AS225" s="26"/>
      <c r="AV225" s="26"/>
      <c r="AY225" s="26"/>
      <c r="BB225" s="26"/>
      <c r="BE225" s="26"/>
      <c r="BH225" s="26"/>
      <c r="BK225" s="26"/>
      <c r="BN225" s="26"/>
      <c r="BQ225" s="26"/>
      <c r="BT225" s="26"/>
    </row>
    <row r="226">
      <c r="I226" s="32"/>
      <c r="J226" s="26"/>
      <c r="K226" s="26"/>
      <c r="N226" s="26"/>
      <c r="O226" s="26"/>
      <c r="R226" s="26"/>
      <c r="S226" s="26"/>
      <c r="V226" s="26"/>
      <c r="W226" s="26"/>
      <c r="Z226" s="26"/>
      <c r="AA226" s="26"/>
      <c r="AD226" s="26"/>
      <c r="AG226" s="26"/>
      <c r="AJ226" s="26"/>
      <c r="AM226" s="26"/>
      <c r="AP226" s="26"/>
      <c r="AS226" s="26"/>
      <c r="AV226" s="26"/>
      <c r="AY226" s="26"/>
      <c r="BB226" s="26"/>
      <c r="BE226" s="26"/>
      <c r="BH226" s="26"/>
      <c r="BK226" s="26"/>
      <c r="BN226" s="26"/>
      <c r="BQ226" s="26"/>
      <c r="BT226" s="26"/>
    </row>
    <row r="227">
      <c r="I227" s="32"/>
      <c r="J227" s="26"/>
      <c r="K227" s="26"/>
      <c r="N227" s="26"/>
      <c r="O227" s="26"/>
      <c r="R227" s="26"/>
      <c r="S227" s="26"/>
      <c r="V227" s="26"/>
      <c r="W227" s="26"/>
      <c r="Z227" s="26"/>
      <c r="AA227" s="26"/>
      <c r="AD227" s="26"/>
      <c r="AG227" s="26"/>
      <c r="AJ227" s="26"/>
      <c r="AM227" s="26"/>
      <c r="AP227" s="26"/>
      <c r="AS227" s="26"/>
      <c r="AV227" s="26"/>
      <c r="AY227" s="26"/>
      <c r="BB227" s="26"/>
      <c r="BE227" s="26"/>
      <c r="BH227" s="26"/>
      <c r="BK227" s="26"/>
      <c r="BN227" s="26"/>
      <c r="BQ227" s="26"/>
      <c r="BT227" s="26"/>
    </row>
    <row r="228">
      <c r="I228" s="32"/>
      <c r="J228" s="26"/>
      <c r="K228" s="26"/>
      <c r="N228" s="26"/>
      <c r="O228" s="26"/>
      <c r="R228" s="26"/>
      <c r="S228" s="26"/>
      <c r="V228" s="26"/>
      <c r="W228" s="26"/>
      <c r="Z228" s="26"/>
      <c r="AA228" s="26"/>
      <c r="AD228" s="26"/>
      <c r="AG228" s="26"/>
      <c r="AJ228" s="26"/>
      <c r="AM228" s="26"/>
      <c r="AP228" s="26"/>
      <c r="AS228" s="26"/>
      <c r="AV228" s="26"/>
      <c r="AY228" s="26"/>
      <c r="BB228" s="26"/>
      <c r="BE228" s="26"/>
      <c r="BH228" s="26"/>
      <c r="BK228" s="26"/>
      <c r="BN228" s="26"/>
      <c r="BQ228" s="26"/>
      <c r="BT228" s="26"/>
    </row>
    <row r="229">
      <c r="I229" s="32"/>
      <c r="J229" s="26"/>
      <c r="K229" s="26"/>
      <c r="N229" s="26"/>
      <c r="O229" s="26"/>
      <c r="R229" s="26"/>
      <c r="S229" s="26"/>
      <c r="V229" s="26"/>
      <c r="W229" s="26"/>
      <c r="Z229" s="26"/>
      <c r="AA229" s="26"/>
      <c r="AD229" s="26"/>
      <c r="AG229" s="26"/>
      <c r="AJ229" s="26"/>
      <c r="AM229" s="26"/>
      <c r="AP229" s="26"/>
      <c r="AS229" s="26"/>
      <c r="AV229" s="26"/>
      <c r="AY229" s="26"/>
      <c r="BB229" s="26"/>
      <c r="BE229" s="26"/>
      <c r="BH229" s="26"/>
      <c r="BK229" s="26"/>
      <c r="BN229" s="26"/>
      <c r="BQ229" s="26"/>
      <c r="BT229" s="26"/>
    </row>
    <row r="230">
      <c r="I230" s="32"/>
      <c r="J230" s="26"/>
      <c r="K230" s="26"/>
      <c r="N230" s="26"/>
      <c r="O230" s="26"/>
      <c r="R230" s="26"/>
      <c r="S230" s="26"/>
      <c r="V230" s="26"/>
      <c r="W230" s="26"/>
      <c r="Z230" s="26"/>
      <c r="AA230" s="26"/>
      <c r="AD230" s="26"/>
      <c r="AG230" s="26"/>
      <c r="AJ230" s="26"/>
      <c r="AM230" s="26"/>
      <c r="AP230" s="26"/>
      <c r="AS230" s="26"/>
      <c r="AV230" s="26"/>
      <c r="AY230" s="26"/>
      <c r="BB230" s="26"/>
      <c r="BE230" s="26"/>
      <c r="BH230" s="26"/>
      <c r="BK230" s="26"/>
      <c r="BN230" s="26"/>
      <c r="BQ230" s="26"/>
      <c r="BT230" s="26"/>
    </row>
    <row r="231">
      <c r="I231" s="32"/>
      <c r="J231" s="26"/>
      <c r="K231" s="26"/>
      <c r="N231" s="26"/>
      <c r="O231" s="26"/>
      <c r="R231" s="26"/>
      <c r="S231" s="26"/>
      <c r="V231" s="26"/>
      <c r="W231" s="26"/>
      <c r="Z231" s="26"/>
      <c r="AA231" s="26"/>
      <c r="AD231" s="26"/>
      <c r="AG231" s="26"/>
      <c r="AJ231" s="26"/>
      <c r="AM231" s="26"/>
      <c r="AP231" s="26"/>
      <c r="AS231" s="26"/>
      <c r="AV231" s="26"/>
      <c r="AY231" s="26"/>
      <c r="BB231" s="26"/>
      <c r="BE231" s="26"/>
      <c r="BH231" s="26"/>
      <c r="BK231" s="26"/>
      <c r="BN231" s="26"/>
      <c r="BQ231" s="26"/>
      <c r="BT231" s="26"/>
    </row>
    <row r="232">
      <c r="I232" s="32"/>
      <c r="J232" s="26"/>
      <c r="K232" s="26"/>
      <c r="N232" s="26"/>
      <c r="O232" s="26"/>
      <c r="R232" s="26"/>
      <c r="S232" s="26"/>
      <c r="V232" s="26"/>
      <c r="W232" s="26"/>
      <c r="Z232" s="26"/>
      <c r="AA232" s="26"/>
      <c r="AD232" s="26"/>
      <c r="AG232" s="26"/>
      <c r="AJ232" s="26"/>
      <c r="AM232" s="26"/>
      <c r="AP232" s="26"/>
      <c r="AS232" s="26"/>
      <c r="AV232" s="26"/>
      <c r="AY232" s="26"/>
      <c r="BB232" s="26"/>
      <c r="BE232" s="26"/>
      <c r="BH232" s="26"/>
      <c r="BK232" s="26"/>
      <c r="BN232" s="26"/>
      <c r="BQ232" s="26"/>
      <c r="BT232" s="26"/>
    </row>
    <row r="233">
      <c r="I233" s="32"/>
      <c r="J233" s="26"/>
      <c r="K233" s="26"/>
      <c r="N233" s="26"/>
      <c r="O233" s="26"/>
      <c r="R233" s="26"/>
      <c r="S233" s="26"/>
      <c r="V233" s="26"/>
      <c r="W233" s="26"/>
      <c r="Z233" s="26"/>
      <c r="AA233" s="26"/>
      <c r="AD233" s="26"/>
      <c r="AG233" s="26"/>
      <c r="AJ233" s="26"/>
      <c r="AM233" s="26"/>
      <c r="AP233" s="26"/>
      <c r="AS233" s="26"/>
      <c r="AV233" s="26"/>
      <c r="AY233" s="26"/>
      <c r="BB233" s="26"/>
      <c r="BE233" s="26"/>
      <c r="BH233" s="26"/>
      <c r="BK233" s="26"/>
      <c r="BN233" s="26"/>
      <c r="BQ233" s="26"/>
      <c r="BT233" s="26"/>
    </row>
    <row r="234">
      <c r="I234" s="32"/>
      <c r="J234" s="26"/>
      <c r="K234" s="26"/>
      <c r="N234" s="26"/>
      <c r="O234" s="26"/>
      <c r="R234" s="26"/>
      <c r="S234" s="26"/>
      <c r="V234" s="26"/>
      <c r="W234" s="26"/>
      <c r="Z234" s="26"/>
      <c r="AA234" s="26"/>
      <c r="AD234" s="26"/>
      <c r="AG234" s="26"/>
      <c r="AJ234" s="26"/>
      <c r="AM234" s="26"/>
      <c r="AP234" s="26"/>
      <c r="AS234" s="26"/>
      <c r="AV234" s="26"/>
      <c r="AY234" s="26"/>
      <c r="BB234" s="26"/>
      <c r="BE234" s="26"/>
      <c r="BH234" s="26"/>
      <c r="BK234" s="26"/>
      <c r="BN234" s="26"/>
      <c r="BQ234" s="26"/>
      <c r="BT234" s="26"/>
    </row>
    <row r="235">
      <c r="I235" s="32"/>
      <c r="J235" s="26"/>
      <c r="K235" s="26"/>
      <c r="N235" s="26"/>
      <c r="O235" s="26"/>
      <c r="R235" s="26"/>
      <c r="S235" s="26"/>
      <c r="V235" s="26"/>
      <c r="W235" s="26"/>
      <c r="Z235" s="26"/>
      <c r="AA235" s="26"/>
      <c r="AD235" s="26"/>
      <c r="AG235" s="26"/>
      <c r="AJ235" s="26"/>
      <c r="AM235" s="26"/>
      <c r="AP235" s="26"/>
      <c r="AS235" s="26"/>
      <c r="AV235" s="26"/>
      <c r="AY235" s="26"/>
      <c r="BB235" s="26"/>
      <c r="BE235" s="26"/>
      <c r="BH235" s="26"/>
      <c r="BK235" s="26"/>
      <c r="BN235" s="26"/>
      <c r="BQ235" s="26"/>
      <c r="BT235" s="26"/>
    </row>
    <row r="236">
      <c r="I236" s="32"/>
      <c r="J236" s="26"/>
      <c r="K236" s="26"/>
      <c r="N236" s="26"/>
      <c r="O236" s="26"/>
      <c r="R236" s="26"/>
      <c r="S236" s="26"/>
      <c r="V236" s="26"/>
      <c r="W236" s="26"/>
      <c r="Z236" s="26"/>
      <c r="AA236" s="26"/>
      <c r="AD236" s="26"/>
      <c r="AG236" s="26"/>
      <c r="AJ236" s="26"/>
      <c r="AM236" s="26"/>
      <c r="AP236" s="26"/>
      <c r="AS236" s="26"/>
      <c r="AV236" s="26"/>
      <c r="AY236" s="26"/>
      <c r="BB236" s="26"/>
      <c r="BE236" s="26"/>
      <c r="BH236" s="26"/>
      <c r="BK236" s="26"/>
      <c r="BN236" s="26"/>
      <c r="BQ236" s="26"/>
      <c r="BT236" s="26"/>
    </row>
    <row r="237">
      <c r="I237" s="32"/>
      <c r="J237" s="26"/>
      <c r="K237" s="26"/>
      <c r="N237" s="26"/>
      <c r="O237" s="26"/>
      <c r="R237" s="26"/>
      <c r="S237" s="26"/>
      <c r="V237" s="26"/>
      <c r="W237" s="26"/>
      <c r="Z237" s="26"/>
      <c r="AA237" s="26"/>
      <c r="AD237" s="26"/>
      <c r="AG237" s="26"/>
      <c r="AJ237" s="26"/>
      <c r="AM237" s="26"/>
      <c r="AP237" s="26"/>
      <c r="AS237" s="26"/>
      <c r="AV237" s="26"/>
      <c r="AY237" s="26"/>
      <c r="BB237" s="26"/>
      <c r="BE237" s="26"/>
      <c r="BH237" s="26"/>
      <c r="BK237" s="26"/>
      <c r="BN237" s="26"/>
      <c r="BQ237" s="26"/>
      <c r="BT237" s="26"/>
    </row>
    <row r="238">
      <c r="I238" s="32"/>
      <c r="J238" s="26"/>
      <c r="K238" s="26"/>
      <c r="N238" s="26"/>
      <c r="O238" s="26"/>
      <c r="R238" s="26"/>
      <c r="S238" s="26"/>
      <c r="V238" s="26"/>
      <c r="W238" s="26"/>
      <c r="Z238" s="26"/>
      <c r="AA238" s="26"/>
      <c r="AD238" s="26"/>
      <c r="AG238" s="26"/>
      <c r="AJ238" s="26"/>
      <c r="AM238" s="26"/>
      <c r="AP238" s="26"/>
      <c r="AS238" s="26"/>
      <c r="AV238" s="26"/>
      <c r="AY238" s="26"/>
      <c r="BB238" s="26"/>
      <c r="BE238" s="26"/>
      <c r="BH238" s="26"/>
      <c r="BK238" s="26"/>
      <c r="BN238" s="26"/>
      <c r="BQ238" s="26"/>
      <c r="BT238" s="26"/>
    </row>
    <row r="239">
      <c r="I239" s="32"/>
      <c r="J239" s="26"/>
      <c r="K239" s="26"/>
      <c r="N239" s="26"/>
      <c r="O239" s="26"/>
      <c r="R239" s="26"/>
      <c r="S239" s="26"/>
      <c r="V239" s="26"/>
      <c r="W239" s="26"/>
      <c r="Z239" s="26"/>
      <c r="AA239" s="26"/>
      <c r="AD239" s="26"/>
      <c r="AG239" s="26"/>
      <c r="AJ239" s="26"/>
      <c r="AM239" s="26"/>
      <c r="AP239" s="26"/>
      <c r="AS239" s="26"/>
      <c r="AV239" s="26"/>
      <c r="AY239" s="26"/>
      <c r="BB239" s="26"/>
      <c r="BE239" s="26"/>
      <c r="BH239" s="26"/>
      <c r="BK239" s="26"/>
      <c r="BN239" s="26"/>
      <c r="BQ239" s="26"/>
      <c r="BT239" s="26"/>
    </row>
    <row r="240">
      <c r="I240" s="32"/>
      <c r="J240" s="26"/>
      <c r="K240" s="26"/>
      <c r="N240" s="26"/>
      <c r="O240" s="26"/>
      <c r="R240" s="26"/>
      <c r="S240" s="26"/>
      <c r="V240" s="26"/>
      <c r="W240" s="26"/>
      <c r="Z240" s="26"/>
      <c r="AA240" s="26"/>
      <c r="AD240" s="26"/>
      <c r="AG240" s="26"/>
      <c r="AJ240" s="26"/>
      <c r="AM240" s="26"/>
      <c r="AP240" s="26"/>
      <c r="AS240" s="26"/>
      <c r="AV240" s="26"/>
      <c r="AY240" s="26"/>
      <c r="BB240" s="26"/>
      <c r="BE240" s="26"/>
      <c r="BH240" s="26"/>
      <c r="BK240" s="26"/>
      <c r="BN240" s="26"/>
      <c r="BQ240" s="26"/>
      <c r="BT240" s="26"/>
    </row>
    <row r="241">
      <c r="I241" s="32"/>
      <c r="J241" s="26"/>
      <c r="K241" s="26"/>
      <c r="N241" s="26"/>
      <c r="O241" s="26"/>
      <c r="R241" s="26"/>
      <c r="S241" s="26"/>
      <c r="V241" s="26"/>
      <c r="W241" s="26"/>
      <c r="Z241" s="26"/>
      <c r="AA241" s="26"/>
      <c r="AD241" s="26"/>
      <c r="AG241" s="26"/>
      <c r="AJ241" s="26"/>
      <c r="AM241" s="26"/>
      <c r="AP241" s="26"/>
      <c r="AS241" s="26"/>
      <c r="AV241" s="26"/>
      <c r="AY241" s="26"/>
      <c r="BB241" s="26"/>
      <c r="BE241" s="26"/>
      <c r="BH241" s="26"/>
      <c r="BK241" s="26"/>
      <c r="BN241" s="26"/>
      <c r="BQ241" s="26"/>
      <c r="BT241" s="26"/>
    </row>
    <row r="242">
      <c r="I242" s="32"/>
      <c r="J242" s="26"/>
      <c r="K242" s="26"/>
      <c r="N242" s="26"/>
      <c r="O242" s="26"/>
      <c r="R242" s="26"/>
      <c r="S242" s="26"/>
      <c r="V242" s="26"/>
      <c r="W242" s="26"/>
      <c r="Z242" s="26"/>
      <c r="AA242" s="26"/>
      <c r="AD242" s="26"/>
      <c r="AG242" s="26"/>
      <c r="AJ242" s="26"/>
      <c r="AM242" s="26"/>
      <c r="AP242" s="26"/>
      <c r="AS242" s="26"/>
      <c r="AV242" s="26"/>
      <c r="AY242" s="26"/>
      <c r="BB242" s="26"/>
      <c r="BE242" s="26"/>
      <c r="BH242" s="26"/>
      <c r="BK242" s="26"/>
      <c r="BN242" s="26"/>
      <c r="BQ242" s="26"/>
      <c r="BT242" s="26"/>
    </row>
    <row r="243">
      <c r="I243" s="32"/>
      <c r="J243" s="26"/>
      <c r="K243" s="26"/>
      <c r="N243" s="26"/>
      <c r="O243" s="26"/>
      <c r="R243" s="26"/>
      <c r="S243" s="26"/>
      <c r="V243" s="26"/>
      <c r="W243" s="26"/>
      <c r="Z243" s="26"/>
      <c r="AA243" s="26"/>
      <c r="AD243" s="26"/>
      <c r="AG243" s="26"/>
      <c r="AJ243" s="26"/>
      <c r="AM243" s="26"/>
      <c r="AP243" s="26"/>
      <c r="AS243" s="26"/>
      <c r="AV243" s="26"/>
      <c r="AY243" s="26"/>
      <c r="BB243" s="26"/>
      <c r="BE243" s="26"/>
      <c r="BH243" s="26"/>
      <c r="BK243" s="26"/>
      <c r="BN243" s="26"/>
      <c r="BQ243" s="26"/>
      <c r="BT243" s="26"/>
    </row>
    <row r="244">
      <c r="I244" s="32"/>
      <c r="J244" s="26"/>
      <c r="K244" s="26"/>
      <c r="N244" s="26"/>
      <c r="O244" s="26"/>
      <c r="R244" s="26"/>
      <c r="S244" s="26"/>
      <c r="V244" s="26"/>
      <c r="W244" s="26"/>
      <c r="Z244" s="26"/>
      <c r="AA244" s="26"/>
      <c r="AD244" s="26"/>
      <c r="AG244" s="26"/>
      <c r="AJ244" s="26"/>
      <c r="AM244" s="26"/>
      <c r="AP244" s="26"/>
      <c r="AS244" s="26"/>
      <c r="AV244" s="26"/>
      <c r="AY244" s="26"/>
      <c r="BB244" s="26"/>
      <c r="BE244" s="26"/>
      <c r="BH244" s="26"/>
      <c r="BK244" s="26"/>
      <c r="BN244" s="26"/>
      <c r="BQ244" s="26"/>
      <c r="BT244" s="26"/>
    </row>
    <row r="245">
      <c r="I245" s="32"/>
      <c r="J245" s="26"/>
      <c r="K245" s="26"/>
      <c r="N245" s="26"/>
      <c r="O245" s="26"/>
      <c r="R245" s="26"/>
      <c r="S245" s="26"/>
      <c r="V245" s="26"/>
      <c r="W245" s="26"/>
      <c r="Z245" s="26"/>
      <c r="AA245" s="26"/>
      <c r="AD245" s="26"/>
      <c r="AG245" s="26"/>
      <c r="AJ245" s="26"/>
      <c r="AM245" s="26"/>
      <c r="AP245" s="26"/>
      <c r="AS245" s="26"/>
      <c r="AV245" s="26"/>
      <c r="AY245" s="26"/>
      <c r="BB245" s="26"/>
      <c r="BE245" s="26"/>
      <c r="BH245" s="26"/>
      <c r="BK245" s="26"/>
      <c r="BN245" s="26"/>
      <c r="BQ245" s="26"/>
      <c r="BT245" s="26"/>
    </row>
    <row r="246">
      <c r="I246" s="32"/>
      <c r="J246" s="26"/>
      <c r="K246" s="26"/>
      <c r="N246" s="26"/>
      <c r="O246" s="26"/>
      <c r="R246" s="26"/>
      <c r="S246" s="26"/>
      <c r="V246" s="26"/>
      <c r="W246" s="26"/>
      <c r="Z246" s="26"/>
      <c r="AA246" s="26"/>
      <c r="AD246" s="26"/>
      <c r="AG246" s="26"/>
      <c r="AJ246" s="26"/>
      <c r="AM246" s="26"/>
      <c r="AP246" s="26"/>
      <c r="AS246" s="26"/>
      <c r="AV246" s="26"/>
      <c r="AY246" s="26"/>
      <c r="BB246" s="26"/>
      <c r="BE246" s="26"/>
      <c r="BH246" s="26"/>
      <c r="BK246" s="26"/>
      <c r="BN246" s="26"/>
      <c r="BQ246" s="26"/>
      <c r="BT246" s="26"/>
    </row>
    <row r="247">
      <c r="I247" s="32"/>
      <c r="J247" s="26"/>
      <c r="K247" s="26"/>
      <c r="N247" s="26"/>
      <c r="O247" s="26"/>
      <c r="R247" s="26"/>
      <c r="S247" s="26"/>
      <c r="V247" s="26"/>
      <c r="W247" s="26"/>
      <c r="Z247" s="26"/>
      <c r="AA247" s="26"/>
      <c r="AD247" s="26"/>
      <c r="AG247" s="26"/>
      <c r="AJ247" s="26"/>
      <c r="AM247" s="26"/>
      <c r="AP247" s="26"/>
      <c r="AS247" s="26"/>
      <c r="AV247" s="26"/>
      <c r="AY247" s="26"/>
      <c r="BB247" s="26"/>
      <c r="BE247" s="26"/>
      <c r="BH247" s="26"/>
      <c r="BK247" s="26"/>
      <c r="BN247" s="26"/>
      <c r="BQ247" s="26"/>
      <c r="BT247" s="26"/>
    </row>
    <row r="248">
      <c r="I248" s="32"/>
      <c r="J248" s="26"/>
      <c r="K248" s="26"/>
      <c r="N248" s="26"/>
      <c r="O248" s="26"/>
      <c r="R248" s="26"/>
      <c r="S248" s="26"/>
      <c r="V248" s="26"/>
      <c r="W248" s="26"/>
      <c r="Z248" s="26"/>
      <c r="AA248" s="26"/>
      <c r="AD248" s="26"/>
      <c r="AG248" s="26"/>
      <c r="AJ248" s="26"/>
      <c r="AM248" s="26"/>
      <c r="AP248" s="26"/>
      <c r="AS248" s="26"/>
      <c r="AV248" s="26"/>
      <c r="AY248" s="26"/>
      <c r="BB248" s="26"/>
      <c r="BE248" s="26"/>
      <c r="BH248" s="26"/>
      <c r="BK248" s="26"/>
      <c r="BN248" s="26"/>
      <c r="BQ248" s="26"/>
      <c r="BT248" s="26"/>
    </row>
    <row r="249">
      <c r="I249" s="32"/>
      <c r="J249" s="26"/>
      <c r="K249" s="26"/>
      <c r="N249" s="26"/>
      <c r="O249" s="26"/>
      <c r="R249" s="26"/>
      <c r="S249" s="26"/>
      <c r="V249" s="26"/>
      <c r="W249" s="26"/>
      <c r="Z249" s="26"/>
      <c r="AA249" s="26"/>
      <c r="AD249" s="26"/>
      <c r="AG249" s="26"/>
      <c r="AJ249" s="26"/>
      <c r="AM249" s="26"/>
      <c r="AP249" s="26"/>
      <c r="AS249" s="26"/>
      <c r="AV249" s="26"/>
      <c r="AY249" s="26"/>
      <c r="BB249" s="26"/>
      <c r="BE249" s="26"/>
      <c r="BH249" s="26"/>
      <c r="BK249" s="26"/>
      <c r="BN249" s="26"/>
      <c r="BQ249" s="26"/>
      <c r="BT249" s="26"/>
    </row>
    <row r="250">
      <c r="I250" s="32"/>
      <c r="J250" s="26"/>
      <c r="K250" s="26"/>
      <c r="N250" s="26"/>
      <c r="O250" s="26"/>
      <c r="R250" s="26"/>
      <c r="S250" s="26"/>
      <c r="V250" s="26"/>
      <c r="W250" s="26"/>
      <c r="Z250" s="26"/>
      <c r="AA250" s="26"/>
      <c r="AD250" s="26"/>
      <c r="AG250" s="26"/>
      <c r="AJ250" s="26"/>
      <c r="AM250" s="26"/>
      <c r="AP250" s="26"/>
      <c r="AS250" s="26"/>
      <c r="AV250" s="26"/>
      <c r="AY250" s="26"/>
      <c r="BB250" s="26"/>
      <c r="BE250" s="26"/>
      <c r="BH250" s="26"/>
      <c r="BK250" s="26"/>
      <c r="BN250" s="26"/>
      <c r="BQ250" s="26"/>
      <c r="BT250" s="26"/>
    </row>
    <row r="251">
      <c r="I251" s="32"/>
      <c r="J251" s="26"/>
      <c r="K251" s="26"/>
      <c r="N251" s="26"/>
      <c r="O251" s="26"/>
      <c r="R251" s="26"/>
      <c r="S251" s="26"/>
      <c r="V251" s="26"/>
      <c r="W251" s="26"/>
      <c r="Z251" s="26"/>
      <c r="AA251" s="26"/>
      <c r="AD251" s="26"/>
      <c r="AG251" s="26"/>
      <c r="AJ251" s="26"/>
      <c r="AM251" s="26"/>
      <c r="AP251" s="26"/>
      <c r="AS251" s="26"/>
      <c r="AV251" s="26"/>
      <c r="AY251" s="26"/>
      <c r="BB251" s="26"/>
      <c r="BE251" s="26"/>
      <c r="BH251" s="26"/>
      <c r="BK251" s="26"/>
      <c r="BN251" s="26"/>
      <c r="BQ251" s="26"/>
      <c r="BT251" s="26"/>
    </row>
    <row r="252">
      <c r="I252" s="32"/>
      <c r="J252" s="26"/>
      <c r="K252" s="26"/>
      <c r="N252" s="26"/>
      <c r="O252" s="26"/>
      <c r="R252" s="26"/>
      <c r="S252" s="26"/>
      <c r="V252" s="26"/>
      <c r="W252" s="26"/>
      <c r="Z252" s="26"/>
      <c r="AA252" s="26"/>
      <c r="AD252" s="26"/>
      <c r="AG252" s="26"/>
      <c r="AJ252" s="26"/>
      <c r="AM252" s="26"/>
      <c r="AP252" s="26"/>
      <c r="AS252" s="26"/>
      <c r="AV252" s="26"/>
      <c r="AY252" s="26"/>
      <c r="BB252" s="26"/>
      <c r="BE252" s="26"/>
      <c r="BH252" s="26"/>
      <c r="BK252" s="26"/>
      <c r="BN252" s="26"/>
      <c r="BQ252" s="26"/>
      <c r="BT252" s="26"/>
    </row>
    <row r="253">
      <c r="I253" s="32"/>
      <c r="J253" s="26"/>
      <c r="K253" s="26"/>
      <c r="N253" s="26"/>
      <c r="O253" s="26"/>
      <c r="R253" s="26"/>
      <c r="S253" s="26"/>
      <c r="V253" s="26"/>
      <c r="W253" s="26"/>
      <c r="Z253" s="26"/>
      <c r="AA253" s="26"/>
      <c r="AD253" s="26"/>
      <c r="AG253" s="26"/>
      <c r="AJ253" s="26"/>
      <c r="AM253" s="26"/>
      <c r="AP253" s="26"/>
      <c r="AS253" s="26"/>
      <c r="AV253" s="26"/>
      <c r="AY253" s="26"/>
      <c r="BB253" s="26"/>
      <c r="BE253" s="26"/>
      <c r="BH253" s="26"/>
      <c r="BK253" s="26"/>
      <c r="BN253" s="26"/>
      <c r="BQ253" s="26"/>
      <c r="BT253" s="26"/>
    </row>
    <row r="254">
      <c r="I254" s="32"/>
      <c r="J254" s="26"/>
      <c r="K254" s="26"/>
      <c r="N254" s="26"/>
      <c r="O254" s="26"/>
      <c r="R254" s="26"/>
      <c r="S254" s="26"/>
      <c r="V254" s="26"/>
      <c r="W254" s="26"/>
      <c r="Z254" s="26"/>
      <c r="AA254" s="26"/>
      <c r="AD254" s="26"/>
      <c r="AG254" s="26"/>
      <c r="AJ254" s="26"/>
      <c r="AM254" s="26"/>
      <c r="AP254" s="26"/>
      <c r="AS254" s="26"/>
      <c r="AV254" s="26"/>
      <c r="AY254" s="26"/>
      <c r="BB254" s="26"/>
      <c r="BE254" s="26"/>
      <c r="BH254" s="26"/>
      <c r="BK254" s="26"/>
      <c r="BN254" s="26"/>
      <c r="BQ254" s="26"/>
      <c r="BT254" s="26"/>
    </row>
    <row r="255">
      <c r="I255" s="32"/>
      <c r="J255" s="26"/>
      <c r="K255" s="26"/>
      <c r="N255" s="26"/>
      <c r="O255" s="26"/>
      <c r="R255" s="26"/>
      <c r="S255" s="26"/>
      <c r="V255" s="26"/>
      <c r="W255" s="26"/>
      <c r="Z255" s="26"/>
      <c r="AA255" s="26"/>
      <c r="AD255" s="26"/>
      <c r="AG255" s="26"/>
      <c r="AJ255" s="26"/>
      <c r="AM255" s="26"/>
      <c r="AP255" s="26"/>
      <c r="AS255" s="26"/>
      <c r="AV255" s="26"/>
      <c r="AY255" s="26"/>
      <c r="BB255" s="26"/>
      <c r="BE255" s="26"/>
      <c r="BH255" s="26"/>
      <c r="BK255" s="26"/>
      <c r="BN255" s="26"/>
      <c r="BQ255" s="26"/>
      <c r="BT255" s="26"/>
    </row>
    <row r="256">
      <c r="I256" s="32"/>
      <c r="J256" s="26"/>
      <c r="K256" s="26"/>
      <c r="N256" s="26"/>
      <c r="O256" s="26"/>
      <c r="R256" s="26"/>
      <c r="S256" s="26"/>
      <c r="V256" s="26"/>
      <c r="W256" s="26"/>
      <c r="Z256" s="26"/>
      <c r="AA256" s="26"/>
      <c r="AD256" s="26"/>
      <c r="AG256" s="26"/>
      <c r="AJ256" s="26"/>
      <c r="AM256" s="26"/>
      <c r="AP256" s="26"/>
      <c r="AS256" s="26"/>
      <c r="AV256" s="26"/>
      <c r="AY256" s="26"/>
      <c r="BB256" s="26"/>
      <c r="BE256" s="26"/>
      <c r="BH256" s="26"/>
      <c r="BK256" s="26"/>
      <c r="BN256" s="26"/>
      <c r="BQ256" s="26"/>
      <c r="BT256" s="26"/>
    </row>
    <row r="257">
      <c r="I257" s="32"/>
      <c r="J257" s="26"/>
      <c r="K257" s="26"/>
      <c r="N257" s="26"/>
      <c r="O257" s="26"/>
      <c r="R257" s="26"/>
      <c r="S257" s="26"/>
      <c r="V257" s="26"/>
      <c r="W257" s="26"/>
      <c r="Z257" s="26"/>
      <c r="AA257" s="26"/>
      <c r="AD257" s="26"/>
      <c r="AG257" s="26"/>
      <c r="AJ257" s="26"/>
      <c r="AM257" s="26"/>
      <c r="AP257" s="26"/>
      <c r="AS257" s="26"/>
      <c r="AV257" s="26"/>
      <c r="AY257" s="26"/>
      <c r="BB257" s="26"/>
      <c r="BE257" s="26"/>
      <c r="BH257" s="26"/>
      <c r="BK257" s="26"/>
      <c r="BN257" s="26"/>
      <c r="BQ257" s="26"/>
      <c r="BT257" s="26"/>
    </row>
    <row r="258">
      <c r="I258" s="32"/>
      <c r="J258" s="26"/>
      <c r="K258" s="26"/>
      <c r="N258" s="26"/>
      <c r="O258" s="26"/>
      <c r="R258" s="26"/>
      <c r="S258" s="26"/>
      <c r="V258" s="26"/>
      <c r="W258" s="26"/>
      <c r="Z258" s="26"/>
      <c r="AA258" s="26"/>
      <c r="AD258" s="26"/>
      <c r="AG258" s="26"/>
      <c r="AJ258" s="26"/>
      <c r="AM258" s="26"/>
      <c r="AP258" s="26"/>
      <c r="AS258" s="26"/>
      <c r="AV258" s="26"/>
      <c r="AY258" s="26"/>
      <c r="BB258" s="26"/>
      <c r="BE258" s="26"/>
      <c r="BH258" s="26"/>
      <c r="BK258" s="26"/>
      <c r="BN258" s="26"/>
      <c r="BQ258" s="26"/>
      <c r="BT258" s="26"/>
    </row>
    <row r="259">
      <c r="I259" s="32"/>
      <c r="J259" s="26"/>
      <c r="K259" s="26"/>
      <c r="N259" s="26"/>
      <c r="O259" s="26"/>
      <c r="R259" s="26"/>
      <c r="S259" s="26"/>
      <c r="V259" s="26"/>
      <c r="W259" s="26"/>
      <c r="Z259" s="26"/>
      <c r="AA259" s="26"/>
      <c r="AD259" s="26"/>
      <c r="AG259" s="26"/>
      <c r="AJ259" s="26"/>
      <c r="AM259" s="26"/>
      <c r="AP259" s="26"/>
      <c r="AS259" s="26"/>
      <c r="AV259" s="26"/>
      <c r="AY259" s="26"/>
      <c r="BB259" s="26"/>
      <c r="BE259" s="26"/>
      <c r="BH259" s="26"/>
      <c r="BK259" s="26"/>
      <c r="BN259" s="26"/>
      <c r="BQ259" s="26"/>
      <c r="BT259" s="26"/>
    </row>
    <row r="260">
      <c r="I260" s="32"/>
      <c r="J260" s="26"/>
      <c r="K260" s="26"/>
      <c r="N260" s="26"/>
      <c r="O260" s="26"/>
      <c r="R260" s="26"/>
      <c r="S260" s="26"/>
      <c r="V260" s="26"/>
      <c r="W260" s="26"/>
      <c r="Z260" s="26"/>
      <c r="AA260" s="26"/>
      <c r="AD260" s="26"/>
      <c r="AG260" s="26"/>
      <c r="AJ260" s="26"/>
      <c r="AM260" s="26"/>
      <c r="AP260" s="26"/>
      <c r="AS260" s="26"/>
      <c r="AV260" s="26"/>
      <c r="AY260" s="26"/>
      <c r="BB260" s="26"/>
      <c r="BE260" s="26"/>
      <c r="BH260" s="26"/>
      <c r="BK260" s="26"/>
      <c r="BN260" s="26"/>
      <c r="BQ260" s="26"/>
      <c r="BT260" s="26"/>
    </row>
    <row r="261">
      <c r="I261" s="32"/>
      <c r="J261" s="26"/>
      <c r="K261" s="26"/>
      <c r="N261" s="26"/>
      <c r="O261" s="26"/>
      <c r="R261" s="26"/>
      <c r="S261" s="26"/>
      <c r="V261" s="26"/>
      <c r="W261" s="26"/>
      <c r="Z261" s="26"/>
      <c r="AA261" s="26"/>
      <c r="AD261" s="26"/>
      <c r="AG261" s="26"/>
      <c r="AJ261" s="26"/>
      <c r="AM261" s="26"/>
      <c r="AP261" s="26"/>
      <c r="AS261" s="26"/>
      <c r="AV261" s="26"/>
      <c r="AY261" s="26"/>
      <c r="BB261" s="26"/>
      <c r="BE261" s="26"/>
      <c r="BH261" s="26"/>
      <c r="BK261" s="26"/>
      <c r="BN261" s="26"/>
      <c r="BQ261" s="26"/>
      <c r="BT261" s="26"/>
    </row>
    <row r="262">
      <c r="I262" s="32"/>
      <c r="J262" s="26"/>
      <c r="K262" s="26"/>
      <c r="N262" s="26"/>
      <c r="O262" s="26"/>
      <c r="R262" s="26"/>
      <c r="S262" s="26"/>
      <c r="V262" s="26"/>
      <c r="W262" s="26"/>
      <c r="Z262" s="26"/>
      <c r="AA262" s="26"/>
      <c r="AD262" s="26"/>
      <c r="AG262" s="26"/>
      <c r="AJ262" s="26"/>
      <c r="AM262" s="26"/>
      <c r="AP262" s="26"/>
      <c r="AS262" s="26"/>
      <c r="AV262" s="26"/>
      <c r="AY262" s="26"/>
      <c r="BB262" s="26"/>
      <c r="BE262" s="26"/>
      <c r="BH262" s="26"/>
      <c r="BK262" s="26"/>
      <c r="BN262" s="26"/>
      <c r="BQ262" s="26"/>
      <c r="BT262" s="26"/>
    </row>
    <row r="263">
      <c r="I263" s="32"/>
      <c r="J263" s="26"/>
      <c r="K263" s="26"/>
      <c r="N263" s="26"/>
      <c r="O263" s="26"/>
      <c r="R263" s="26"/>
      <c r="S263" s="26"/>
      <c r="V263" s="26"/>
      <c r="W263" s="26"/>
      <c r="Z263" s="26"/>
      <c r="AA263" s="26"/>
      <c r="AD263" s="26"/>
      <c r="AG263" s="26"/>
      <c r="AJ263" s="26"/>
      <c r="AM263" s="26"/>
      <c r="AP263" s="26"/>
      <c r="AS263" s="26"/>
      <c r="AV263" s="26"/>
      <c r="AY263" s="26"/>
      <c r="BB263" s="26"/>
      <c r="BE263" s="26"/>
      <c r="BH263" s="26"/>
      <c r="BK263" s="26"/>
      <c r="BN263" s="26"/>
      <c r="BQ263" s="26"/>
      <c r="BT263" s="26"/>
    </row>
    <row r="264">
      <c r="I264" s="32"/>
      <c r="J264" s="26"/>
      <c r="K264" s="26"/>
      <c r="N264" s="26"/>
      <c r="O264" s="26"/>
      <c r="R264" s="26"/>
      <c r="S264" s="26"/>
      <c r="V264" s="26"/>
      <c r="W264" s="26"/>
      <c r="Z264" s="26"/>
      <c r="AA264" s="26"/>
      <c r="AD264" s="26"/>
      <c r="AG264" s="26"/>
      <c r="AJ264" s="26"/>
      <c r="AM264" s="26"/>
      <c r="AP264" s="26"/>
      <c r="AS264" s="26"/>
      <c r="AV264" s="26"/>
      <c r="AY264" s="26"/>
      <c r="BB264" s="26"/>
      <c r="BE264" s="26"/>
      <c r="BH264" s="26"/>
      <c r="BK264" s="26"/>
      <c r="BN264" s="26"/>
      <c r="BQ264" s="26"/>
      <c r="BT264" s="26"/>
    </row>
    <row r="265">
      <c r="I265" s="32"/>
      <c r="J265" s="26"/>
      <c r="K265" s="26"/>
      <c r="N265" s="26"/>
      <c r="O265" s="26"/>
      <c r="R265" s="26"/>
      <c r="S265" s="26"/>
      <c r="V265" s="26"/>
      <c r="W265" s="26"/>
      <c r="Z265" s="26"/>
      <c r="AA265" s="26"/>
      <c r="AD265" s="26"/>
      <c r="AG265" s="26"/>
      <c r="AJ265" s="26"/>
      <c r="AM265" s="26"/>
      <c r="AP265" s="26"/>
      <c r="AS265" s="26"/>
      <c r="AV265" s="26"/>
      <c r="AY265" s="26"/>
      <c r="BB265" s="26"/>
      <c r="BE265" s="26"/>
      <c r="BH265" s="26"/>
      <c r="BK265" s="26"/>
      <c r="BN265" s="26"/>
      <c r="BQ265" s="26"/>
      <c r="BT265" s="26"/>
    </row>
    <row r="266">
      <c r="I266" s="32"/>
      <c r="J266" s="26"/>
      <c r="K266" s="26"/>
      <c r="N266" s="26"/>
      <c r="O266" s="26"/>
      <c r="R266" s="26"/>
      <c r="S266" s="26"/>
      <c r="V266" s="26"/>
      <c r="W266" s="26"/>
      <c r="Z266" s="26"/>
      <c r="AA266" s="26"/>
      <c r="AD266" s="26"/>
      <c r="AG266" s="26"/>
      <c r="AJ266" s="26"/>
      <c r="AM266" s="26"/>
      <c r="AP266" s="26"/>
      <c r="AS266" s="26"/>
      <c r="AV266" s="26"/>
      <c r="AY266" s="26"/>
      <c r="BB266" s="26"/>
      <c r="BE266" s="26"/>
      <c r="BH266" s="26"/>
      <c r="BK266" s="26"/>
      <c r="BN266" s="26"/>
      <c r="BQ266" s="26"/>
      <c r="BT266" s="26"/>
    </row>
    <row r="267">
      <c r="I267" s="32"/>
      <c r="J267" s="26"/>
      <c r="K267" s="26"/>
      <c r="N267" s="26"/>
      <c r="O267" s="26"/>
      <c r="R267" s="26"/>
      <c r="S267" s="26"/>
      <c r="V267" s="26"/>
      <c r="W267" s="26"/>
      <c r="Z267" s="26"/>
      <c r="AA267" s="26"/>
      <c r="AD267" s="26"/>
      <c r="AG267" s="26"/>
      <c r="AJ267" s="26"/>
      <c r="AM267" s="26"/>
      <c r="AP267" s="26"/>
      <c r="AS267" s="26"/>
      <c r="AV267" s="26"/>
      <c r="AY267" s="26"/>
      <c r="BB267" s="26"/>
      <c r="BE267" s="26"/>
      <c r="BH267" s="26"/>
      <c r="BK267" s="26"/>
      <c r="BN267" s="26"/>
      <c r="BQ267" s="26"/>
      <c r="BT267" s="26"/>
    </row>
    <row r="268">
      <c r="I268" s="32"/>
      <c r="J268" s="26"/>
      <c r="K268" s="26"/>
      <c r="N268" s="26"/>
      <c r="O268" s="26"/>
      <c r="R268" s="26"/>
      <c r="S268" s="26"/>
      <c r="V268" s="26"/>
      <c r="W268" s="26"/>
      <c r="Z268" s="26"/>
      <c r="AA268" s="26"/>
      <c r="AD268" s="26"/>
      <c r="AG268" s="26"/>
      <c r="AJ268" s="26"/>
      <c r="AM268" s="26"/>
      <c r="AP268" s="26"/>
      <c r="AS268" s="26"/>
      <c r="AV268" s="26"/>
      <c r="AY268" s="26"/>
      <c r="BB268" s="26"/>
      <c r="BE268" s="26"/>
      <c r="BH268" s="26"/>
      <c r="BK268" s="26"/>
      <c r="BN268" s="26"/>
      <c r="BQ268" s="26"/>
      <c r="BT268" s="26"/>
    </row>
    <row r="269">
      <c r="I269" s="32"/>
      <c r="J269" s="26"/>
      <c r="K269" s="26"/>
      <c r="N269" s="26"/>
      <c r="O269" s="26"/>
      <c r="R269" s="26"/>
      <c r="S269" s="26"/>
      <c r="V269" s="26"/>
      <c r="W269" s="26"/>
      <c r="Z269" s="26"/>
      <c r="AA269" s="26"/>
      <c r="AD269" s="26"/>
      <c r="AG269" s="26"/>
      <c r="AJ269" s="26"/>
      <c r="AM269" s="26"/>
      <c r="AP269" s="26"/>
      <c r="AS269" s="26"/>
      <c r="AV269" s="26"/>
      <c r="AY269" s="26"/>
      <c r="BB269" s="26"/>
      <c r="BE269" s="26"/>
      <c r="BH269" s="26"/>
      <c r="BK269" s="26"/>
      <c r="BN269" s="26"/>
      <c r="BQ269" s="26"/>
      <c r="BT269" s="26"/>
    </row>
    <row r="270">
      <c r="I270" s="32"/>
      <c r="J270" s="26"/>
      <c r="K270" s="26"/>
      <c r="N270" s="26"/>
      <c r="O270" s="26"/>
      <c r="R270" s="26"/>
      <c r="S270" s="26"/>
      <c r="V270" s="26"/>
      <c r="W270" s="26"/>
      <c r="Z270" s="26"/>
      <c r="AA270" s="26"/>
      <c r="AD270" s="26"/>
      <c r="AG270" s="26"/>
      <c r="AJ270" s="26"/>
      <c r="AM270" s="26"/>
      <c r="AP270" s="26"/>
      <c r="AS270" s="26"/>
      <c r="AV270" s="26"/>
      <c r="AY270" s="26"/>
      <c r="BB270" s="26"/>
      <c r="BE270" s="26"/>
      <c r="BH270" s="26"/>
      <c r="BK270" s="26"/>
      <c r="BN270" s="26"/>
      <c r="BQ270" s="26"/>
      <c r="BT270" s="26"/>
    </row>
    <row r="271">
      <c r="I271" s="32"/>
      <c r="J271" s="26"/>
      <c r="K271" s="26"/>
      <c r="N271" s="26"/>
      <c r="O271" s="26"/>
      <c r="R271" s="26"/>
      <c r="S271" s="26"/>
      <c r="V271" s="26"/>
      <c r="W271" s="26"/>
      <c r="Z271" s="26"/>
      <c r="AA271" s="26"/>
      <c r="AD271" s="26"/>
      <c r="AG271" s="26"/>
      <c r="AJ271" s="26"/>
      <c r="AM271" s="26"/>
      <c r="AP271" s="26"/>
      <c r="AS271" s="26"/>
      <c r="AV271" s="26"/>
      <c r="AY271" s="26"/>
      <c r="BB271" s="26"/>
      <c r="BE271" s="26"/>
      <c r="BH271" s="26"/>
      <c r="BK271" s="26"/>
      <c r="BN271" s="26"/>
      <c r="BQ271" s="26"/>
      <c r="BT271" s="26"/>
    </row>
    <row r="272">
      <c r="I272" s="32"/>
      <c r="J272" s="26"/>
      <c r="K272" s="26"/>
      <c r="N272" s="26"/>
      <c r="O272" s="26"/>
      <c r="R272" s="26"/>
      <c r="S272" s="26"/>
      <c r="V272" s="26"/>
      <c r="W272" s="26"/>
      <c r="Z272" s="26"/>
      <c r="AA272" s="26"/>
      <c r="AD272" s="26"/>
      <c r="AG272" s="26"/>
      <c r="AJ272" s="26"/>
      <c r="AM272" s="26"/>
      <c r="AP272" s="26"/>
      <c r="AS272" s="26"/>
      <c r="AV272" s="26"/>
      <c r="AY272" s="26"/>
      <c r="BB272" s="26"/>
      <c r="BE272" s="26"/>
      <c r="BH272" s="26"/>
      <c r="BK272" s="26"/>
      <c r="BN272" s="26"/>
      <c r="BQ272" s="26"/>
      <c r="BT272" s="26"/>
    </row>
    <row r="273">
      <c r="I273" s="32"/>
      <c r="J273" s="26"/>
      <c r="K273" s="26"/>
      <c r="N273" s="26"/>
      <c r="O273" s="26"/>
      <c r="R273" s="26"/>
      <c r="S273" s="26"/>
      <c r="V273" s="26"/>
      <c r="W273" s="26"/>
      <c r="Z273" s="26"/>
      <c r="AA273" s="26"/>
      <c r="AD273" s="26"/>
      <c r="AG273" s="26"/>
      <c r="AJ273" s="26"/>
      <c r="AM273" s="26"/>
      <c r="AP273" s="26"/>
      <c r="AS273" s="26"/>
      <c r="AV273" s="26"/>
      <c r="AY273" s="26"/>
      <c r="BB273" s="26"/>
      <c r="BE273" s="26"/>
      <c r="BH273" s="26"/>
      <c r="BK273" s="26"/>
      <c r="BN273" s="26"/>
      <c r="BQ273" s="26"/>
      <c r="BT273" s="26"/>
    </row>
    <row r="274">
      <c r="I274" s="32"/>
      <c r="J274" s="26"/>
      <c r="K274" s="26"/>
      <c r="N274" s="26"/>
      <c r="O274" s="26"/>
      <c r="R274" s="26"/>
      <c r="S274" s="26"/>
      <c r="V274" s="26"/>
      <c r="W274" s="26"/>
      <c r="Z274" s="26"/>
      <c r="AA274" s="26"/>
      <c r="AD274" s="26"/>
      <c r="AG274" s="26"/>
      <c r="AJ274" s="26"/>
      <c r="AM274" s="26"/>
      <c r="AP274" s="26"/>
      <c r="AS274" s="26"/>
      <c r="AV274" s="26"/>
      <c r="AY274" s="26"/>
      <c r="BB274" s="26"/>
      <c r="BE274" s="26"/>
      <c r="BH274" s="26"/>
      <c r="BK274" s="26"/>
      <c r="BN274" s="26"/>
      <c r="BQ274" s="26"/>
      <c r="BT274" s="26"/>
    </row>
    <row r="275">
      <c r="I275" s="32"/>
      <c r="J275" s="26"/>
      <c r="K275" s="26"/>
      <c r="N275" s="26"/>
      <c r="O275" s="26"/>
      <c r="R275" s="26"/>
      <c r="S275" s="26"/>
      <c r="V275" s="26"/>
      <c r="W275" s="26"/>
      <c r="Z275" s="26"/>
      <c r="AA275" s="26"/>
      <c r="AD275" s="26"/>
      <c r="AG275" s="26"/>
      <c r="AJ275" s="26"/>
      <c r="AM275" s="26"/>
      <c r="AP275" s="26"/>
      <c r="AS275" s="26"/>
      <c r="AV275" s="26"/>
      <c r="AY275" s="26"/>
      <c r="BB275" s="26"/>
      <c r="BE275" s="26"/>
      <c r="BH275" s="26"/>
      <c r="BK275" s="26"/>
      <c r="BN275" s="26"/>
      <c r="BQ275" s="26"/>
      <c r="BT275" s="26"/>
    </row>
    <row r="276">
      <c r="I276" s="32"/>
      <c r="J276" s="26"/>
      <c r="K276" s="26"/>
      <c r="N276" s="26"/>
      <c r="O276" s="26"/>
      <c r="R276" s="26"/>
      <c r="S276" s="26"/>
      <c r="V276" s="26"/>
      <c r="W276" s="26"/>
      <c r="Z276" s="26"/>
      <c r="AA276" s="26"/>
      <c r="AD276" s="26"/>
      <c r="AG276" s="26"/>
      <c r="AJ276" s="26"/>
      <c r="AM276" s="26"/>
      <c r="AP276" s="26"/>
      <c r="AS276" s="26"/>
      <c r="AV276" s="26"/>
      <c r="AY276" s="26"/>
      <c r="BB276" s="26"/>
      <c r="BE276" s="26"/>
      <c r="BH276" s="26"/>
      <c r="BK276" s="26"/>
      <c r="BN276" s="26"/>
      <c r="BQ276" s="26"/>
      <c r="BT276" s="26"/>
    </row>
    <row r="277">
      <c r="I277" s="32"/>
      <c r="J277" s="26"/>
      <c r="K277" s="26"/>
      <c r="N277" s="26"/>
      <c r="O277" s="26"/>
      <c r="R277" s="26"/>
      <c r="S277" s="26"/>
      <c r="V277" s="26"/>
      <c r="W277" s="26"/>
      <c r="Z277" s="26"/>
      <c r="AA277" s="26"/>
      <c r="AD277" s="26"/>
      <c r="AG277" s="26"/>
      <c r="AJ277" s="26"/>
      <c r="AM277" s="26"/>
      <c r="AP277" s="26"/>
      <c r="AS277" s="26"/>
      <c r="AV277" s="26"/>
      <c r="AY277" s="26"/>
      <c r="BB277" s="26"/>
      <c r="BE277" s="26"/>
      <c r="BH277" s="26"/>
      <c r="BK277" s="26"/>
      <c r="BN277" s="26"/>
      <c r="BQ277" s="26"/>
      <c r="BT277" s="26"/>
    </row>
    <row r="278">
      <c r="I278" s="32"/>
      <c r="J278" s="26"/>
      <c r="K278" s="26"/>
      <c r="N278" s="26"/>
      <c r="O278" s="26"/>
      <c r="R278" s="26"/>
      <c r="S278" s="26"/>
      <c r="V278" s="26"/>
      <c r="W278" s="26"/>
      <c r="Z278" s="26"/>
      <c r="AA278" s="26"/>
      <c r="AD278" s="26"/>
      <c r="AG278" s="26"/>
      <c r="AJ278" s="26"/>
      <c r="AM278" s="26"/>
      <c r="AP278" s="26"/>
      <c r="AS278" s="26"/>
      <c r="AV278" s="26"/>
      <c r="AY278" s="26"/>
      <c r="BB278" s="26"/>
      <c r="BE278" s="26"/>
      <c r="BH278" s="26"/>
      <c r="BK278" s="26"/>
      <c r="BN278" s="26"/>
      <c r="BQ278" s="26"/>
      <c r="BT278" s="26"/>
    </row>
    <row r="279">
      <c r="I279" s="32"/>
      <c r="J279" s="26"/>
      <c r="K279" s="26"/>
      <c r="N279" s="26"/>
      <c r="O279" s="26"/>
      <c r="R279" s="26"/>
      <c r="S279" s="26"/>
      <c r="V279" s="26"/>
      <c r="W279" s="26"/>
      <c r="Z279" s="26"/>
      <c r="AA279" s="26"/>
      <c r="AD279" s="26"/>
      <c r="AG279" s="26"/>
      <c r="AJ279" s="26"/>
      <c r="AM279" s="26"/>
      <c r="AP279" s="26"/>
      <c r="AS279" s="26"/>
      <c r="AV279" s="26"/>
      <c r="AY279" s="26"/>
      <c r="BB279" s="26"/>
      <c r="BE279" s="26"/>
      <c r="BH279" s="26"/>
      <c r="BK279" s="26"/>
      <c r="BN279" s="26"/>
      <c r="BQ279" s="26"/>
      <c r="BT279" s="26"/>
    </row>
    <row r="280">
      <c r="I280" s="32"/>
      <c r="J280" s="26"/>
      <c r="K280" s="26"/>
      <c r="N280" s="26"/>
      <c r="O280" s="26"/>
      <c r="R280" s="26"/>
      <c r="S280" s="26"/>
      <c r="V280" s="26"/>
      <c r="W280" s="26"/>
      <c r="Z280" s="26"/>
      <c r="AA280" s="26"/>
      <c r="AD280" s="26"/>
      <c r="AG280" s="26"/>
      <c r="AJ280" s="26"/>
      <c r="AM280" s="26"/>
      <c r="AP280" s="26"/>
      <c r="AS280" s="26"/>
      <c r="AV280" s="26"/>
      <c r="AY280" s="26"/>
      <c r="BB280" s="26"/>
      <c r="BE280" s="26"/>
      <c r="BH280" s="26"/>
      <c r="BK280" s="26"/>
      <c r="BN280" s="26"/>
      <c r="BQ280" s="26"/>
      <c r="BT280" s="26"/>
    </row>
    <row r="281">
      <c r="I281" s="32"/>
      <c r="J281" s="26"/>
      <c r="K281" s="26"/>
      <c r="N281" s="26"/>
      <c r="O281" s="26"/>
      <c r="R281" s="26"/>
      <c r="S281" s="26"/>
      <c r="V281" s="26"/>
      <c r="W281" s="26"/>
      <c r="Z281" s="26"/>
      <c r="AA281" s="26"/>
      <c r="AD281" s="26"/>
      <c r="AG281" s="26"/>
      <c r="AJ281" s="26"/>
      <c r="AM281" s="26"/>
      <c r="AP281" s="26"/>
      <c r="AS281" s="26"/>
      <c r="AV281" s="26"/>
      <c r="AY281" s="26"/>
      <c r="BB281" s="26"/>
      <c r="BE281" s="26"/>
      <c r="BH281" s="26"/>
      <c r="BK281" s="26"/>
      <c r="BN281" s="26"/>
      <c r="BQ281" s="26"/>
      <c r="BT281" s="26"/>
    </row>
    <row r="282">
      <c r="I282" s="32"/>
      <c r="J282" s="26"/>
      <c r="K282" s="26"/>
      <c r="N282" s="26"/>
      <c r="O282" s="26"/>
      <c r="R282" s="26"/>
      <c r="S282" s="26"/>
      <c r="V282" s="26"/>
      <c r="W282" s="26"/>
      <c r="Z282" s="26"/>
      <c r="AA282" s="26"/>
      <c r="AD282" s="26"/>
      <c r="AG282" s="26"/>
      <c r="AJ282" s="26"/>
      <c r="AM282" s="26"/>
      <c r="AP282" s="26"/>
      <c r="AS282" s="26"/>
      <c r="AV282" s="26"/>
      <c r="AY282" s="26"/>
      <c r="BB282" s="26"/>
      <c r="BE282" s="26"/>
      <c r="BH282" s="26"/>
      <c r="BK282" s="26"/>
      <c r="BN282" s="26"/>
      <c r="BQ282" s="26"/>
      <c r="BT282" s="26"/>
    </row>
    <row r="283">
      <c r="I283" s="32"/>
      <c r="J283" s="26"/>
      <c r="K283" s="26"/>
      <c r="N283" s="26"/>
      <c r="O283" s="26"/>
      <c r="R283" s="26"/>
      <c r="S283" s="26"/>
      <c r="V283" s="26"/>
      <c r="W283" s="26"/>
      <c r="Z283" s="26"/>
      <c r="AA283" s="26"/>
      <c r="AD283" s="26"/>
      <c r="AG283" s="26"/>
      <c r="AJ283" s="26"/>
      <c r="AM283" s="26"/>
      <c r="AP283" s="26"/>
      <c r="AS283" s="26"/>
      <c r="AV283" s="26"/>
      <c r="AY283" s="26"/>
      <c r="BB283" s="26"/>
      <c r="BE283" s="26"/>
      <c r="BH283" s="26"/>
      <c r="BK283" s="26"/>
      <c r="BN283" s="26"/>
      <c r="BQ283" s="26"/>
      <c r="BT283" s="26"/>
    </row>
    <row r="284">
      <c r="I284" s="32"/>
      <c r="J284" s="26"/>
      <c r="K284" s="26"/>
      <c r="N284" s="26"/>
      <c r="O284" s="26"/>
      <c r="R284" s="26"/>
      <c r="S284" s="26"/>
      <c r="V284" s="26"/>
      <c r="W284" s="26"/>
      <c r="Z284" s="26"/>
      <c r="AA284" s="26"/>
      <c r="AD284" s="26"/>
      <c r="AG284" s="26"/>
      <c r="AJ284" s="26"/>
      <c r="AM284" s="26"/>
      <c r="AP284" s="26"/>
      <c r="AS284" s="26"/>
      <c r="AV284" s="26"/>
      <c r="AY284" s="26"/>
      <c r="BB284" s="26"/>
      <c r="BE284" s="26"/>
      <c r="BH284" s="26"/>
      <c r="BK284" s="26"/>
      <c r="BN284" s="26"/>
      <c r="BQ284" s="26"/>
      <c r="BT284" s="26"/>
    </row>
    <row r="285">
      <c r="I285" s="32"/>
      <c r="J285" s="26"/>
      <c r="K285" s="26"/>
      <c r="N285" s="26"/>
      <c r="O285" s="26"/>
      <c r="R285" s="26"/>
      <c r="S285" s="26"/>
      <c r="V285" s="26"/>
      <c r="W285" s="26"/>
      <c r="Z285" s="26"/>
      <c r="AA285" s="26"/>
      <c r="AD285" s="26"/>
      <c r="AG285" s="26"/>
      <c r="AJ285" s="26"/>
      <c r="AM285" s="26"/>
      <c r="AP285" s="26"/>
      <c r="AS285" s="26"/>
      <c r="AV285" s="26"/>
      <c r="AY285" s="26"/>
      <c r="BB285" s="26"/>
      <c r="BE285" s="26"/>
      <c r="BH285" s="26"/>
      <c r="BK285" s="26"/>
      <c r="BN285" s="26"/>
      <c r="BQ285" s="26"/>
      <c r="BT285" s="26"/>
    </row>
    <row r="286">
      <c r="I286" s="32"/>
      <c r="J286" s="26"/>
      <c r="K286" s="26"/>
      <c r="N286" s="26"/>
      <c r="O286" s="26"/>
      <c r="R286" s="26"/>
      <c r="S286" s="26"/>
      <c r="V286" s="26"/>
      <c r="W286" s="26"/>
      <c r="Z286" s="26"/>
      <c r="AA286" s="26"/>
      <c r="AD286" s="26"/>
      <c r="AG286" s="26"/>
      <c r="AJ286" s="26"/>
      <c r="AM286" s="26"/>
      <c r="AP286" s="26"/>
      <c r="AS286" s="26"/>
      <c r="AV286" s="26"/>
      <c r="AY286" s="26"/>
      <c r="BB286" s="26"/>
      <c r="BE286" s="26"/>
      <c r="BH286" s="26"/>
      <c r="BK286" s="26"/>
      <c r="BN286" s="26"/>
      <c r="BQ286" s="26"/>
      <c r="BT286" s="26"/>
    </row>
    <row r="287">
      <c r="I287" s="32"/>
      <c r="J287" s="26"/>
      <c r="K287" s="26"/>
      <c r="N287" s="26"/>
      <c r="O287" s="26"/>
      <c r="R287" s="26"/>
      <c r="S287" s="26"/>
      <c r="V287" s="26"/>
      <c r="W287" s="26"/>
      <c r="Z287" s="26"/>
      <c r="AA287" s="26"/>
      <c r="AD287" s="26"/>
      <c r="AG287" s="26"/>
      <c r="AJ287" s="26"/>
      <c r="AM287" s="26"/>
      <c r="AP287" s="26"/>
      <c r="AS287" s="26"/>
      <c r="AV287" s="26"/>
      <c r="AY287" s="26"/>
      <c r="BB287" s="26"/>
      <c r="BE287" s="26"/>
      <c r="BH287" s="26"/>
      <c r="BK287" s="26"/>
      <c r="BN287" s="26"/>
      <c r="BQ287" s="26"/>
      <c r="BT287" s="26"/>
    </row>
    <row r="288">
      <c r="I288" s="32"/>
      <c r="J288" s="26"/>
      <c r="K288" s="26"/>
      <c r="N288" s="26"/>
      <c r="O288" s="26"/>
      <c r="R288" s="26"/>
      <c r="S288" s="26"/>
      <c r="V288" s="26"/>
      <c r="W288" s="26"/>
      <c r="Z288" s="26"/>
      <c r="AA288" s="26"/>
      <c r="AD288" s="26"/>
      <c r="AG288" s="26"/>
      <c r="AJ288" s="26"/>
      <c r="AM288" s="26"/>
      <c r="AP288" s="26"/>
      <c r="AS288" s="26"/>
      <c r="AV288" s="26"/>
      <c r="AY288" s="26"/>
      <c r="BB288" s="26"/>
      <c r="BE288" s="26"/>
      <c r="BH288" s="26"/>
      <c r="BK288" s="26"/>
      <c r="BN288" s="26"/>
      <c r="BQ288" s="26"/>
      <c r="BT288" s="26"/>
    </row>
    <row r="289">
      <c r="I289" s="32"/>
      <c r="J289" s="26"/>
      <c r="K289" s="26"/>
      <c r="N289" s="26"/>
      <c r="O289" s="26"/>
      <c r="R289" s="26"/>
      <c r="S289" s="26"/>
      <c r="V289" s="26"/>
      <c r="W289" s="26"/>
      <c r="Z289" s="26"/>
      <c r="AA289" s="26"/>
      <c r="AD289" s="26"/>
      <c r="AG289" s="26"/>
      <c r="AJ289" s="26"/>
      <c r="AM289" s="26"/>
      <c r="AP289" s="26"/>
      <c r="AS289" s="26"/>
      <c r="AV289" s="26"/>
      <c r="AY289" s="26"/>
      <c r="BB289" s="26"/>
      <c r="BE289" s="26"/>
      <c r="BH289" s="26"/>
      <c r="BK289" s="26"/>
      <c r="BN289" s="26"/>
      <c r="BQ289" s="26"/>
      <c r="BT289" s="26"/>
    </row>
    <row r="290">
      <c r="I290" s="32"/>
      <c r="J290" s="26"/>
      <c r="K290" s="26"/>
      <c r="N290" s="26"/>
      <c r="O290" s="26"/>
      <c r="R290" s="26"/>
      <c r="S290" s="26"/>
      <c r="V290" s="26"/>
      <c r="W290" s="26"/>
      <c r="Z290" s="26"/>
      <c r="AA290" s="26"/>
      <c r="AD290" s="26"/>
      <c r="AG290" s="26"/>
      <c r="AJ290" s="26"/>
      <c r="AM290" s="26"/>
      <c r="AP290" s="26"/>
      <c r="AS290" s="26"/>
      <c r="AV290" s="26"/>
      <c r="AY290" s="26"/>
      <c r="BB290" s="26"/>
      <c r="BE290" s="26"/>
      <c r="BH290" s="26"/>
      <c r="BK290" s="26"/>
      <c r="BN290" s="26"/>
      <c r="BQ290" s="26"/>
      <c r="BT290" s="26"/>
    </row>
    <row r="291">
      <c r="I291" s="32"/>
      <c r="J291" s="26"/>
      <c r="K291" s="26"/>
      <c r="N291" s="26"/>
      <c r="O291" s="26"/>
      <c r="R291" s="26"/>
      <c r="S291" s="26"/>
      <c r="V291" s="26"/>
      <c r="W291" s="26"/>
      <c r="Z291" s="26"/>
      <c r="AA291" s="26"/>
      <c r="AD291" s="26"/>
      <c r="AG291" s="26"/>
      <c r="AJ291" s="26"/>
      <c r="AM291" s="26"/>
      <c r="AP291" s="26"/>
      <c r="AS291" s="26"/>
      <c r="AV291" s="26"/>
      <c r="AY291" s="26"/>
      <c r="BB291" s="26"/>
      <c r="BE291" s="26"/>
      <c r="BH291" s="26"/>
      <c r="BK291" s="26"/>
      <c r="BN291" s="26"/>
      <c r="BQ291" s="26"/>
      <c r="BT291" s="26"/>
    </row>
    <row r="292">
      <c r="I292" s="32"/>
      <c r="J292" s="26"/>
      <c r="K292" s="26"/>
      <c r="N292" s="26"/>
      <c r="O292" s="26"/>
      <c r="R292" s="26"/>
      <c r="S292" s="26"/>
      <c r="V292" s="26"/>
      <c r="W292" s="26"/>
      <c r="Z292" s="26"/>
      <c r="AA292" s="26"/>
      <c r="AD292" s="26"/>
      <c r="AG292" s="26"/>
      <c r="AJ292" s="26"/>
      <c r="AM292" s="26"/>
      <c r="AP292" s="26"/>
      <c r="AS292" s="26"/>
      <c r="AV292" s="26"/>
      <c r="AY292" s="26"/>
      <c r="BB292" s="26"/>
      <c r="BE292" s="26"/>
      <c r="BH292" s="26"/>
      <c r="BK292" s="26"/>
      <c r="BN292" s="26"/>
      <c r="BQ292" s="26"/>
      <c r="BT292" s="26"/>
    </row>
    <row r="293">
      <c r="I293" s="32"/>
      <c r="J293" s="26"/>
      <c r="K293" s="26"/>
      <c r="N293" s="26"/>
      <c r="O293" s="26"/>
      <c r="R293" s="26"/>
      <c r="S293" s="26"/>
      <c r="V293" s="26"/>
      <c r="W293" s="26"/>
      <c r="Z293" s="26"/>
      <c r="AA293" s="26"/>
      <c r="AD293" s="26"/>
      <c r="AG293" s="26"/>
      <c r="AJ293" s="26"/>
      <c r="AM293" s="26"/>
      <c r="AP293" s="26"/>
      <c r="AS293" s="26"/>
      <c r="AV293" s="26"/>
      <c r="AY293" s="26"/>
      <c r="BB293" s="26"/>
      <c r="BE293" s="26"/>
      <c r="BH293" s="26"/>
      <c r="BK293" s="26"/>
      <c r="BN293" s="26"/>
      <c r="BQ293" s="26"/>
      <c r="BT293" s="26"/>
    </row>
    <row r="294">
      <c r="I294" s="32"/>
      <c r="J294" s="26"/>
      <c r="K294" s="26"/>
      <c r="N294" s="26"/>
      <c r="O294" s="26"/>
      <c r="R294" s="26"/>
      <c r="S294" s="26"/>
      <c r="V294" s="26"/>
      <c r="W294" s="26"/>
      <c r="Z294" s="26"/>
      <c r="AA294" s="26"/>
      <c r="AD294" s="26"/>
      <c r="AG294" s="26"/>
      <c r="AJ294" s="26"/>
      <c r="AM294" s="26"/>
      <c r="AP294" s="26"/>
      <c r="AS294" s="26"/>
      <c r="AV294" s="26"/>
      <c r="AY294" s="26"/>
      <c r="BB294" s="26"/>
      <c r="BE294" s="26"/>
      <c r="BH294" s="26"/>
      <c r="BK294" s="26"/>
      <c r="BN294" s="26"/>
      <c r="BQ294" s="26"/>
      <c r="BT294" s="26"/>
    </row>
    <row r="295">
      <c r="I295" s="32"/>
      <c r="J295" s="26"/>
      <c r="K295" s="26"/>
      <c r="N295" s="26"/>
      <c r="O295" s="26"/>
      <c r="R295" s="26"/>
      <c r="S295" s="26"/>
      <c r="V295" s="26"/>
      <c r="W295" s="26"/>
      <c r="Z295" s="26"/>
      <c r="AA295" s="26"/>
      <c r="AD295" s="26"/>
      <c r="AG295" s="26"/>
      <c r="AJ295" s="26"/>
      <c r="AM295" s="26"/>
      <c r="AP295" s="26"/>
      <c r="AS295" s="26"/>
      <c r="AV295" s="26"/>
      <c r="AY295" s="26"/>
      <c r="BB295" s="26"/>
      <c r="BE295" s="26"/>
      <c r="BH295" s="26"/>
      <c r="BK295" s="26"/>
      <c r="BN295" s="26"/>
      <c r="BQ295" s="26"/>
      <c r="BT295" s="26"/>
    </row>
    <row r="296">
      <c r="I296" s="32"/>
      <c r="J296" s="26"/>
      <c r="K296" s="26"/>
      <c r="N296" s="26"/>
      <c r="O296" s="26"/>
      <c r="R296" s="26"/>
      <c r="S296" s="26"/>
      <c r="V296" s="26"/>
      <c r="W296" s="26"/>
      <c r="Z296" s="26"/>
      <c r="AA296" s="26"/>
      <c r="AD296" s="26"/>
      <c r="AG296" s="26"/>
      <c r="AJ296" s="26"/>
      <c r="AM296" s="26"/>
      <c r="AP296" s="26"/>
      <c r="AS296" s="26"/>
      <c r="AV296" s="26"/>
      <c r="AY296" s="26"/>
      <c r="BB296" s="26"/>
      <c r="BE296" s="26"/>
      <c r="BH296" s="26"/>
      <c r="BK296" s="26"/>
      <c r="BN296" s="26"/>
      <c r="BQ296" s="26"/>
      <c r="BT296" s="26"/>
    </row>
    <row r="297">
      <c r="I297" s="32"/>
      <c r="J297" s="26"/>
      <c r="K297" s="26"/>
      <c r="N297" s="26"/>
      <c r="O297" s="26"/>
      <c r="R297" s="26"/>
      <c r="S297" s="26"/>
      <c r="V297" s="26"/>
      <c r="W297" s="26"/>
      <c r="Z297" s="26"/>
      <c r="AA297" s="26"/>
      <c r="AD297" s="26"/>
      <c r="AG297" s="26"/>
      <c r="AJ297" s="26"/>
      <c r="AM297" s="26"/>
      <c r="AP297" s="26"/>
      <c r="AS297" s="26"/>
      <c r="AV297" s="26"/>
      <c r="AY297" s="26"/>
      <c r="BB297" s="26"/>
      <c r="BE297" s="26"/>
      <c r="BH297" s="26"/>
      <c r="BK297" s="26"/>
      <c r="BN297" s="26"/>
      <c r="BQ297" s="26"/>
      <c r="BT297" s="26"/>
    </row>
    <row r="298">
      <c r="I298" s="32"/>
      <c r="J298" s="26"/>
      <c r="K298" s="26"/>
      <c r="N298" s="26"/>
      <c r="O298" s="26"/>
      <c r="R298" s="26"/>
      <c r="S298" s="26"/>
      <c r="V298" s="26"/>
      <c r="W298" s="26"/>
      <c r="Z298" s="26"/>
      <c r="AA298" s="26"/>
      <c r="AD298" s="26"/>
      <c r="AG298" s="26"/>
      <c r="AJ298" s="26"/>
      <c r="AM298" s="26"/>
      <c r="AP298" s="26"/>
      <c r="AS298" s="26"/>
      <c r="AV298" s="26"/>
      <c r="AY298" s="26"/>
      <c r="BB298" s="26"/>
      <c r="BE298" s="26"/>
      <c r="BH298" s="26"/>
      <c r="BK298" s="26"/>
      <c r="BN298" s="26"/>
      <c r="BQ298" s="26"/>
      <c r="BT298" s="26"/>
    </row>
    <row r="299">
      <c r="I299" s="32"/>
      <c r="J299" s="26"/>
      <c r="K299" s="26"/>
      <c r="N299" s="26"/>
      <c r="O299" s="26"/>
      <c r="R299" s="26"/>
      <c r="S299" s="26"/>
      <c r="V299" s="26"/>
      <c r="W299" s="26"/>
      <c r="Z299" s="26"/>
      <c r="AA299" s="26"/>
      <c r="AD299" s="26"/>
      <c r="AG299" s="26"/>
      <c r="AJ299" s="26"/>
      <c r="AM299" s="26"/>
      <c r="AP299" s="26"/>
      <c r="AS299" s="26"/>
      <c r="AV299" s="26"/>
      <c r="AY299" s="26"/>
      <c r="BB299" s="26"/>
      <c r="BE299" s="26"/>
      <c r="BH299" s="26"/>
      <c r="BK299" s="26"/>
      <c r="BN299" s="26"/>
      <c r="BQ299" s="26"/>
      <c r="BT299" s="26"/>
    </row>
    <row r="300">
      <c r="I300" s="32"/>
      <c r="J300" s="26"/>
      <c r="K300" s="26"/>
      <c r="N300" s="26"/>
      <c r="O300" s="26"/>
      <c r="R300" s="26"/>
      <c r="S300" s="26"/>
      <c r="V300" s="26"/>
      <c r="W300" s="26"/>
      <c r="Z300" s="26"/>
      <c r="AA300" s="26"/>
      <c r="AD300" s="26"/>
      <c r="AG300" s="26"/>
      <c r="AJ300" s="26"/>
      <c r="AM300" s="26"/>
      <c r="AP300" s="26"/>
      <c r="AS300" s="26"/>
      <c r="AV300" s="26"/>
      <c r="AY300" s="26"/>
      <c r="BB300" s="26"/>
      <c r="BE300" s="26"/>
      <c r="BH300" s="26"/>
      <c r="BK300" s="26"/>
      <c r="BN300" s="26"/>
      <c r="BQ300" s="26"/>
      <c r="BT300" s="26"/>
    </row>
    <row r="301">
      <c r="I301" s="32"/>
      <c r="J301" s="26"/>
      <c r="K301" s="26"/>
      <c r="N301" s="26"/>
      <c r="O301" s="26"/>
      <c r="R301" s="26"/>
      <c r="S301" s="26"/>
      <c r="V301" s="26"/>
      <c r="W301" s="26"/>
      <c r="Z301" s="26"/>
      <c r="AA301" s="26"/>
      <c r="AD301" s="26"/>
      <c r="AG301" s="26"/>
      <c r="AJ301" s="26"/>
      <c r="AM301" s="26"/>
      <c r="AP301" s="26"/>
      <c r="AS301" s="26"/>
      <c r="AV301" s="26"/>
      <c r="AY301" s="26"/>
      <c r="BB301" s="26"/>
      <c r="BE301" s="26"/>
      <c r="BH301" s="26"/>
      <c r="BK301" s="26"/>
      <c r="BN301" s="26"/>
      <c r="BQ301" s="26"/>
      <c r="BT301" s="26"/>
    </row>
    <row r="302">
      <c r="I302" s="32"/>
      <c r="J302" s="26"/>
      <c r="K302" s="26"/>
      <c r="N302" s="26"/>
      <c r="O302" s="26"/>
      <c r="R302" s="26"/>
      <c r="S302" s="26"/>
      <c r="V302" s="26"/>
      <c r="W302" s="26"/>
      <c r="Z302" s="26"/>
      <c r="AA302" s="26"/>
      <c r="AD302" s="26"/>
      <c r="AG302" s="26"/>
      <c r="AJ302" s="26"/>
      <c r="AM302" s="26"/>
      <c r="AP302" s="26"/>
      <c r="AS302" s="26"/>
      <c r="AV302" s="26"/>
      <c r="AY302" s="26"/>
      <c r="BB302" s="26"/>
      <c r="BE302" s="26"/>
      <c r="BH302" s="26"/>
      <c r="BK302" s="26"/>
      <c r="BN302" s="26"/>
      <c r="BQ302" s="26"/>
      <c r="BT302" s="26"/>
    </row>
    <row r="303">
      <c r="I303" s="32"/>
      <c r="J303" s="26"/>
      <c r="K303" s="26"/>
      <c r="N303" s="26"/>
      <c r="O303" s="26"/>
      <c r="R303" s="26"/>
      <c r="S303" s="26"/>
      <c r="V303" s="26"/>
      <c r="W303" s="26"/>
      <c r="Z303" s="26"/>
      <c r="AA303" s="26"/>
      <c r="AD303" s="26"/>
      <c r="AG303" s="26"/>
      <c r="AJ303" s="26"/>
      <c r="AM303" s="26"/>
      <c r="AP303" s="26"/>
      <c r="AS303" s="26"/>
      <c r="AV303" s="26"/>
      <c r="AY303" s="26"/>
      <c r="BB303" s="26"/>
      <c r="BE303" s="26"/>
      <c r="BH303" s="26"/>
      <c r="BK303" s="26"/>
      <c r="BN303" s="26"/>
      <c r="BQ303" s="26"/>
      <c r="BT303" s="26"/>
    </row>
    <row r="304">
      <c r="I304" s="32"/>
      <c r="J304" s="26"/>
      <c r="K304" s="26"/>
      <c r="N304" s="26"/>
      <c r="O304" s="26"/>
      <c r="R304" s="26"/>
      <c r="S304" s="26"/>
      <c r="V304" s="26"/>
      <c r="W304" s="26"/>
      <c r="Z304" s="26"/>
      <c r="AA304" s="26"/>
      <c r="AD304" s="26"/>
      <c r="AG304" s="26"/>
      <c r="AJ304" s="26"/>
      <c r="AM304" s="26"/>
      <c r="AP304" s="26"/>
      <c r="AS304" s="26"/>
      <c r="AV304" s="26"/>
      <c r="AY304" s="26"/>
      <c r="BB304" s="26"/>
      <c r="BE304" s="26"/>
      <c r="BH304" s="26"/>
      <c r="BK304" s="26"/>
      <c r="BN304" s="26"/>
      <c r="BQ304" s="26"/>
      <c r="BT304" s="26"/>
    </row>
    <row r="305">
      <c r="I305" s="32"/>
      <c r="J305" s="26"/>
      <c r="K305" s="26"/>
      <c r="N305" s="26"/>
      <c r="O305" s="26"/>
      <c r="R305" s="26"/>
      <c r="S305" s="26"/>
      <c r="V305" s="26"/>
      <c r="W305" s="26"/>
      <c r="Z305" s="26"/>
      <c r="AA305" s="26"/>
      <c r="AD305" s="26"/>
      <c r="AG305" s="26"/>
      <c r="AJ305" s="26"/>
      <c r="AM305" s="26"/>
      <c r="AP305" s="26"/>
      <c r="AS305" s="26"/>
      <c r="AV305" s="26"/>
      <c r="AY305" s="26"/>
      <c r="BB305" s="26"/>
      <c r="BE305" s="26"/>
      <c r="BH305" s="26"/>
      <c r="BK305" s="26"/>
      <c r="BN305" s="26"/>
      <c r="BQ305" s="26"/>
      <c r="BT305" s="26"/>
    </row>
    <row r="306">
      <c r="I306" s="32"/>
      <c r="J306" s="26"/>
      <c r="K306" s="26"/>
      <c r="N306" s="26"/>
      <c r="O306" s="26"/>
      <c r="R306" s="26"/>
      <c r="S306" s="26"/>
      <c r="V306" s="26"/>
      <c r="W306" s="26"/>
      <c r="Z306" s="26"/>
      <c r="AA306" s="26"/>
      <c r="AD306" s="26"/>
      <c r="AG306" s="26"/>
      <c r="AJ306" s="26"/>
      <c r="AM306" s="26"/>
      <c r="AP306" s="26"/>
      <c r="AS306" s="26"/>
      <c r="AV306" s="26"/>
      <c r="AY306" s="26"/>
      <c r="BB306" s="26"/>
      <c r="BE306" s="26"/>
      <c r="BH306" s="26"/>
      <c r="BK306" s="26"/>
      <c r="BN306" s="26"/>
      <c r="BQ306" s="26"/>
      <c r="BT306" s="26"/>
    </row>
    <row r="307">
      <c r="I307" s="32"/>
      <c r="J307" s="26"/>
      <c r="K307" s="26"/>
      <c r="N307" s="26"/>
      <c r="O307" s="26"/>
      <c r="R307" s="26"/>
      <c r="S307" s="26"/>
      <c r="V307" s="26"/>
      <c r="W307" s="26"/>
      <c r="Z307" s="26"/>
      <c r="AA307" s="26"/>
      <c r="AD307" s="26"/>
      <c r="AG307" s="26"/>
      <c r="AJ307" s="26"/>
      <c r="AM307" s="26"/>
      <c r="AP307" s="26"/>
      <c r="AS307" s="26"/>
      <c r="AV307" s="26"/>
      <c r="AY307" s="26"/>
      <c r="BB307" s="26"/>
      <c r="BE307" s="26"/>
      <c r="BH307" s="26"/>
      <c r="BK307" s="26"/>
      <c r="BN307" s="26"/>
      <c r="BQ307" s="26"/>
      <c r="BT307" s="26"/>
    </row>
    <row r="308">
      <c r="I308" s="32"/>
      <c r="J308" s="26"/>
      <c r="K308" s="26"/>
      <c r="N308" s="26"/>
      <c r="O308" s="26"/>
      <c r="R308" s="26"/>
      <c r="S308" s="26"/>
      <c r="V308" s="26"/>
      <c r="W308" s="26"/>
      <c r="Z308" s="26"/>
      <c r="AA308" s="26"/>
      <c r="AD308" s="26"/>
      <c r="AG308" s="26"/>
      <c r="AJ308" s="26"/>
      <c r="AM308" s="26"/>
      <c r="AP308" s="26"/>
      <c r="AS308" s="26"/>
      <c r="AV308" s="26"/>
      <c r="AY308" s="26"/>
      <c r="BB308" s="26"/>
      <c r="BE308" s="26"/>
      <c r="BH308" s="26"/>
      <c r="BK308" s="26"/>
      <c r="BN308" s="26"/>
      <c r="BQ308" s="26"/>
      <c r="BT308" s="26"/>
    </row>
    <row r="309">
      <c r="I309" s="32"/>
      <c r="J309" s="26"/>
      <c r="K309" s="26"/>
      <c r="N309" s="26"/>
      <c r="O309" s="26"/>
      <c r="R309" s="26"/>
      <c r="S309" s="26"/>
      <c r="V309" s="26"/>
      <c r="W309" s="26"/>
      <c r="Z309" s="26"/>
      <c r="AA309" s="26"/>
      <c r="AD309" s="26"/>
      <c r="AG309" s="26"/>
      <c r="AJ309" s="26"/>
      <c r="AM309" s="26"/>
      <c r="AP309" s="26"/>
      <c r="AS309" s="26"/>
      <c r="AV309" s="26"/>
      <c r="AY309" s="26"/>
      <c r="BB309" s="26"/>
      <c r="BE309" s="26"/>
      <c r="BH309" s="26"/>
      <c r="BK309" s="26"/>
      <c r="BN309" s="26"/>
      <c r="BQ309" s="26"/>
      <c r="BT309" s="26"/>
    </row>
    <row r="310">
      <c r="I310" s="32"/>
      <c r="J310" s="26"/>
      <c r="K310" s="26"/>
      <c r="N310" s="26"/>
      <c r="O310" s="26"/>
      <c r="R310" s="26"/>
      <c r="S310" s="26"/>
      <c r="V310" s="26"/>
      <c r="W310" s="26"/>
      <c r="Z310" s="26"/>
      <c r="AA310" s="26"/>
      <c r="AD310" s="26"/>
      <c r="AG310" s="26"/>
      <c r="AJ310" s="26"/>
      <c r="AM310" s="26"/>
      <c r="AP310" s="26"/>
      <c r="AS310" s="26"/>
      <c r="AV310" s="26"/>
      <c r="AY310" s="26"/>
      <c r="BB310" s="26"/>
      <c r="BE310" s="26"/>
      <c r="BH310" s="26"/>
      <c r="BK310" s="26"/>
      <c r="BN310" s="26"/>
      <c r="BQ310" s="26"/>
      <c r="BT310" s="26"/>
    </row>
    <row r="311">
      <c r="I311" s="32"/>
      <c r="J311" s="26"/>
      <c r="K311" s="26"/>
      <c r="N311" s="26"/>
      <c r="O311" s="26"/>
      <c r="R311" s="26"/>
      <c r="S311" s="26"/>
      <c r="V311" s="26"/>
      <c r="W311" s="26"/>
      <c r="Z311" s="26"/>
      <c r="AA311" s="26"/>
      <c r="AD311" s="26"/>
      <c r="AG311" s="26"/>
      <c r="AJ311" s="26"/>
      <c r="AM311" s="26"/>
      <c r="AP311" s="26"/>
      <c r="AS311" s="26"/>
      <c r="AV311" s="26"/>
      <c r="AY311" s="26"/>
      <c r="BB311" s="26"/>
      <c r="BE311" s="26"/>
      <c r="BH311" s="26"/>
      <c r="BK311" s="26"/>
      <c r="BN311" s="26"/>
      <c r="BQ311" s="26"/>
      <c r="BT311" s="26"/>
    </row>
    <row r="312">
      <c r="I312" s="32"/>
      <c r="J312" s="26"/>
      <c r="K312" s="26"/>
      <c r="N312" s="26"/>
      <c r="O312" s="26"/>
      <c r="R312" s="26"/>
      <c r="S312" s="26"/>
      <c r="V312" s="26"/>
      <c r="W312" s="26"/>
      <c r="Z312" s="26"/>
      <c r="AA312" s="26"/>
      <c r="AD312" s="26"/>
      <c r="AG312" s="26"/>
      <c r="AJ312" s="26"/>
      <c r="AM312" s="26"/>
      <c r="AP312" s="26"/>
      <c r="AS312" s="26"/>
      <c r="AV312" s="26"/>
      <c r="AY312" s="26"/>
      <c r="BB312" s="26"/>
      <c r="BE312" s="26"/>
      <c r="BH312" s="26"/>
      <c r="BK312" s="26"/>
      <c r="BN312" s="26"/>
      <c r="BQ312" s="26"/>
      <c r="BT312" s="26"/>
    </row>
    <row r="313">
      <c r="I313" s="32"/>
      <c r="J313" s="26"/>
      <c r="K313" s="26"/>
      <c r="N313" s="26"/>
      <c r="O313" s="26"/>
      <c r="R313" s="26"/>
      <c r="S313" s="26"/>
      <c r="V313" s="26"/>
      <c r="W313" s="26"/>
      <c r="Z313" s="26"/>
      <c r="AA313" s="26"/>
      <c r="AD313" s="26"/>
      <c r="AG313" s="26"/>
      <c r="AJ313" s="26"/>
      <c r="AM313" s="26"/>
      <c r="AP313" s="26"/>
      <c r="AS313" s="26"/>
      <c r="AV313" s="26"/>
      <c r="AY313" s="26"/>
      <c r="BB313" s="26"/>
      <c r="BE313" s="26"/>
      <c r="BH313" s="26"/>
      <c r="BK313" s="26"/>
      <c r="BN313" s="26"/>
      <c r="BQ313" s="26"/>
      <c r="BT313" s="26"/>
    </row>
    <row r="314">
      <c r="I314" s="32"/>
      <c r="J314" s="26"/>
      <c r="K314" s="26"/>
      <c r="N314" s="26"/>
      <c r="O314" s="26"/>
      <c r="R314" s="26"/>
      <c r="S314" s="26"/>
      <c r="V314" s="26"/>
      <c r="W314" s="26"/>
      <c r="Z314" s="26"/>
      <c r="AA314" s="26"/>
      <c r="AD314" s="26"/>
      <c r="AG314" s="26"/>
      <c r="AJ314" s="26"/>
      <c r="AM314" s="26"/>
      <c r="AP314" s="26"/>
      <c r="AS314" s="26"/>
      <c r="AV314" s="26"/>
      <c r="AY314" s="26"/>
      <c r="BB314" s="26"/>
      <c r="BE314" s="26"/>
      <c r="BH314" s="26"/>
      <c r="BK314" s="26"/>
      <c r="BN314" s="26"/>
      <c r="BQ314" s="26"/>
      <c r="BT314" s="26"/>
    </row>
    <row r="315">
      <c r="I315" s="32"/>
      <c r="J315" s="26"/>
      <c r="K315" s="26"/>
      <c r="N315" s="26"/>
      <c r="O315" s="26"/>
      <c r="R315" s="26"/>
      <c r="S315" s="26"/>
      <c r="V315" s="26"/>
      <c r="W315" s="26"/>
      <c r="Z315" s="26"/>
      <c r="AA315" s="26"/>
      <c r="AD315" s="26"/>
      <c r="AG315" s="26"/>
      <c r="AJ315" s="26"/>
      <c r="AM315" s="26"/>
      <c r="AP315" s="26"/>
      <c r="AS315" s="26"/>
      <c r="AV315" s="26"/>
      <c r="AY315" s="26"/>
      <c r="BB315" s="26"/>
      <c r="BE315" s="26"/>
      <c r="BH315" s="26"/>
      <c r="BK315" s="26"/>
      <c r="BN315" s="26"/>
      <c r="BQ315" s="26"/>
      <c r="BT315" s="26"/>
    </row>
    <row r="316">
      <c r="I316" s="32"/>
      <c r="J316" s="26"/>
      <c r="K316" s="26"/>
      <c r="N316" s="26"/>
      <c r="O316" s="26"/>
      <c r="R316" s="26"/>
      <c r="S316" s="26"/>
      <c r="V316" s="26"/>
      <c r="W316" s="26"/>
      <c r="Z316" s="26"/>
      <c r="AA316" s="26"/>
      <c r="AD316" s="26"/>
      <c r="AG316" s="26"/>
      <c r="AJ316" s="26"/>
      <c r="AM316" s="26"/>
      <c r="AP316" s="26"/>
      <c r="AS316" s="26"/>
      <c r="AV316" s="26"/>
      <c r="AY316" s="26"/>
      <c r="BB316" s="26"/>
      <c r="BE316" s="26"/>
      <c r="BH316" s="26"/>
      <c r="BK316" s="26"/>
      <c r="BN316" s="26"/>
      <c r="BQ316" s="26"/>
      <c r="BT316" s="26"/>
    </row>
    <row r="317">
      <c r="I317" s="32"/>
      <c r="J317" s="26"/>
      <c r="K317" s="26"/>
      <c r="N317" s="26"/>
      <c r="O317" s="26"/>
      <c r="R317" s="26"/>
      <c r="S317" s="26"/>
      <c r="V317" s="26"/>
      <c r="W317" s="26"/>
      <c r="Z317" s="26"/>
      <c r="AA317" s="26"/>
      <c r="AD317" s="26"/>
      <c r="AG317" s="26"/>
      <c r="AJ317" s="26"/>
      <c r="AM317" s="26"/>
      <c r="AP317" s="26"/>
      <c r="AS317" s="26"/>
      <c r="AV317" s="26"/>
      <c r="AY317" s="26"/>
      <c r="BB317" s="26"/>
      <c r="BE317" s="26"/>
      <c r="BH317" s="26"/>
      <c r="BK317" s="26"/>
      <c r="BN317" s="26"/>
      <c r="BQ317" s="26"/>
      <c r="BT317" s="26"/>
    </row>
    <row r="318">
      <c r="I318" s="32"/>
      <c r="J318" s="26"/>
      <c r="K318" s="26"/>
      <c r="N318" s="26"/>
      <c r="O318" s="26"/>
      <c r="R318" s="26"/>
      <c r="S318" s="26"/>
      <c r="V318" s="26"/>
      <c r="W318" s="26"/>
      <c r="Z318" s="26"/>
      <c r="AA318" s="26"/>
      <c r="AD318" s="26"/>
      <c r="AG318" s="26"/>
      <c r="AJ318" s="26"/>
      <c r="AM318" s="26"/>
      <c r="AP318" s="26"/>
      <c r="AS318" s="26"/>
      <c r="AV318" s="26"/>
      <c r="AY318" s="26"/>
      <c r="BB318" s="26"/>
      <c r="BE318" s="26"/>
      <c r="BH318" s="26"/>
      <c r="BK318" s="26"/>
      <c r="BN318" s="26"/>
      <c r="BQ318" s="26"/>
      <c r="BT318" s="26"/>
    </row>
    <row r="319">
      <c r="I319" s="32"/>
      <c r="J319" s="26"/>
      <c r="K319" s="26"/>
      <c r="N319" s="26"/>
      <c r="O319" s="26"/>
      <c r="R319" s="26"/>
      <c r="S319" s="26"/>
      <c r="V319" s="26"/>
      <c r="W319" s="26"/>
      <c r="Z319" s="26"/>
      <c r="AA319" s="26"/>
      <c r="AD319" s="26"/>
      <c r="AG319" s="26"/>
      <c r="AJ319" s="26"/>
      <c r="AM319" s="26"/>
      <c r="AP319" s="26"/>
      <c r="AS319" s="26"/>
      <c r="AV319" s="26"/>
      <c r="AY319" s="26"/>
      <c r="BB319" s="26"/>
      <c r="BE319" s="26"/>
      <c r="BH319" s="26"/>
      <c r="BK319" s="26"/>
      <c r="BN319" s="26"/>
      <c r="BQ319" s="26"/>
      <c r="BT319" s="26"/>
    </row>
    <row r="320">
      <c r="I320" s="32"/>
      <c r="J320" s="26"/>
      <c r="K320" s="26"/>
      <c r="N320" s="26"/>
      <c r="O320" s="26"/>
      <c r="R320" s="26"/>
      <c r="S320" s="26"/>
      <c r="V320" s="26"/>
      <c r="W320" s="26"/>
      <c r="Z320" s="26"/>
      <c r="AA320" s="26"/>
      <c r="AD320" s="26"/>
      <c r="AG320" s="26"/>
      <c r="AJ320" s="26"/>
      <c r="AM320" s="26"/>
      <c r="AP320" s="26"/>
      <c r="AS320" s="26"/>
      <c r="AV320" s="26"/>
      <c r="AY320" s="26"/>
      <c r="BB320" s="26"/>
      <c r="BE320" s="26"/>
      <c r="BH320" s="26"/>
      <c r="BK320" s="26"/>
      <c r="BN320" s="26"/>
      <c r="BQ320" s="26"/>
      <c r="BT320" s="26"/>
    </row>
    <row r="321">
      <c r="I321" s="32"/>
      <c r="J321" s="26"/>
      <c r="K321" s="26"/>
      <c r="N321" s="26"/>
      <c r="O321" s="26"/>
      <c r="R321" s="26"/>
      <c r="S321" s="26"/>
      <c r="V321" s="26"/>
      <c r="W321" s="26"/>
      <c r="Z321" s="26"/>
      <c r="AA321" s="26"/>
      <c r="AD321" s="26"/>
      <c r="AG321" s="26"/>
      <c r="AJ321" s="26"/>
      <c r="AM321" s="26"/>
      <c r="AP321" s="26"/>
      <c r="AS321" s="26"/>
      <c r="AV321" s="26"/>
      <c r="AY321" s="26"/>
      <c r="BB321" s="26"/>
      <c r="BE321" s="26"/>
      <c r="BH321" s="26"/>
      <c r="BK321" s="26"/>
      <c r="BN321" s="26"/>
      <c r="BQ321" s="26"/>
      <c r="BT321" s="26"/>
    </row>
    <row r="322">
      <c r="I322" s="32"/>
      <c r="J322" s="26"/>
      <c r="K322" s="26"/>
      <c r="N322" s="26"/>
      <c r="O322" s="26"/>
      <c r="R322" s="26"/>
      <c r="S322" s="26"/>
      <c r="V322" s="26"/>
      <c r="W322" s="26"/>
      <c r="Z322" s="26"/>
      <c r="AA322" s="26"/>
      <c r="AD322" s="26"/>
      <c r="AG322" s="26"/>
      <c r="AJ322" s="26"/>
      <c r="AM322" s="26"/>
      <c r="AP322" s="26"/>
      <c r="AS322" s="26"/>
      <c r="AV322" s="26"/>
      <c r="AY322" s="26"/>
      <c r="BB322" s="26"/>
      <c r="BE322" s="26"/>
      <c r="BH322" s="26"/>
      <c r="BK322" s="26"/>
      <c r="BN322" s="26"/>
      <c r="BQ322" s="26"/>
      <c r="BT322" s="26"/>
    </row>
    <row r="323">
      <c r="I323" s="32"/>
      <c r="J323" s="26"/>
      <c r="K323" s="26"/>
      <c r="N323" s="26"/>
      <c r="O323" s="26"/>
      <c r="R323" s="26"/>
      <c r="S323" s="26"/>
      <c r="V323" s="26"/>
      <c r="W323" s="26"/>
      <c r="Z323" s="26"/>
      <c r="AA323" s="26"/>
      <c r="AD323" s="26"/>
      <c r="AG323" s="26"/>
      <c r="AJ323" s="26"/>
      <c r="AM323" s="26"/>
      <c r="AP323" s="26"/>
      <c r="AS323" s="26"/>
      <c r="AV323" s="26"/>
      <c r="AY323" s="26"/>
      <c r="BB323" s="26"/>
      <c r="BE323" s="26"/>
      <c r="BH323" s="26"/>
      <c r="BK323" s="26"/>
      <c r="BN323" s="26"/>
      <c r="BQ323" s="26"/>
      <c r="BT323" s="26"/>
    </row>
    <row r="324">
      <c r="I324" s="32"/>
      <c r="J324" s="26"/>
      <c r="K324" s="26"/>
      <c r="N324" s="26"/>
      <c r="O324" s="26"/>
      <c r="R324" s="26"/>
      <c r="S324" s="26"/>
      <c r="V324" s="26"/>
      <c r="W324" s="26"/>
      <c r="Z324" s="26"/>
      <c r="AA324" s="26"/>
      <c r="AD324" s="26"/>
      <c r="AG324" s="26"/>
      <c r="AJ324" s="26"/>
      <c r="AM324" s="26"/>
      <c r="AP324" s="26"/>
      <c r="AS324" s="26"/>
      <c r="AV324" s="26"/>
      <c r="AY324" s="26"/>
      <c r="BB324" s="26"/>
      <c r="BE324" s="26"/>
      <c r="BH324" s="26"/>
      <c r="BK324" s="26"/>
      <c r="BN324" s="26"/>
      <c r="BQ324" s="26"/>
      <c r="BT324" s="26"/>
    </row>
    <row r="325">
      <c r="I325" s="32"/>
      <c r="J325" s="26"/>
      <c r="K325" s="26"/>
      <c r="N325" s="26"/>
      <c r="O325" s="26"/>
      <c r="R325" s="26"/>
      <c r="S325" s="26"/>
      <c r="V325" s="26"/>
      <c r="W325" s="26"/>
      <c r="Z325" s="26"/>
      <c r="AA325" s="26"/>
      <c r="AD325" s="26"/>
      <c r="AG325" s="26"/>
      <c r="AJ325" s="26"/>
      <c r="AM325" s="26"/>
      <c r="AP325" s="26"/>
      <c r="AS325" s="26"/>
      <c r="AV325" s="26"/>
      <c r="AY325" s="26"/>
      <c r="BB325" s="26"/>
      <c r="BE325" s="26"/>
      <c r="BH325" s="26"/>
      <c r="BK325" s="26"/>
      <c r="BN325" s="26"/>
      <c r="BQ325" s="26"/>
      <c r="BT325" s="26"/>
    </row>
    <row r="326">
      <c r="I326" s="32"/>
      <c r="J326" s="26"/>
      <c r="K326" s="26"/>
      <c r="N326" s="26"/>
      <c r="O326" s="26"/>
      <c r="R326" s="26"/>
      <c r="S326" s="26"/>
      <c r="V326" s="26"/>
      <c r="W326" s="26"/>
      <c r="Z326" s="26"/>
      <c r="AA326" s="26"/>
      <c r="AD326" s="26"/>
      <c r="AG326" s="26"/>
      <c r="AJ326" s="26"/>
      <c r="AM326" s="26"/>
      <c r="AP326" s="26"/>
      <c r="AS326" s="26"/>
      <c r="AV326" s="26"/>
      <c r="AY326" s="26"/>
      <c r="BB326" s="26"/>
      <c r="BE326" s="26"/>
      <c r="BH326" s="26"/>
      <c r="BK326" s="26"/>
      <c r="BN326" s="26"/>
      <c r="BQ326" s="26"/>
      <c r="BT326" s="26"/>
    </row>
    <row r="327">
      <c r="I327" s="32"/>
      <c r="J327" s="26"/>
      <c r="K327" s="26"/>
      <c r="N327" s="26"/>
      <c r="O327" s="26"/>
      <c r="R327" s="26"/>
      <c r="S327" s="26"/>
      <c r="V327" s="26"/>
      <c r="W327" s="26"/>
      <c r="Z327" s="26"/>
      <c r="AA327" s="26"/>
      <c r="AD327" s="26"/>
      <c r="AG327" s="26"/>
      <c r="AJ327" s="26"/>
      <c r="AM327" s="26"/>
      <c r="AP327" s="26"/>
      <c r="AS327" s="26"/>
      <c r="AV327" s="26"/>
      <c r="AY327" s="26"/>
      <c r="BB327" s="26"/>
      <c r="BE327" s="26"/>
      <c r="BH327" s="26"/>
      <c r="BK327" s="26"/>
      <c r="BN327" s="26"/>
      <c r="BQ327" s="26"/>
      <c r="BT327" s="26"/>
    </row>
    <row r="328">
      <c r="I328" s="32"/>
      <c r="J328" s="26"/>
      <c r="K328" s="26"/>
      <c r="N328" s="26"/>
      <c r="O328" s="26"/>
      <c r="R328" s="26"/>
      <c r="S328" s="26"/>
      <c r="V328" s="26"/>
      <c r="W328" s="26"/>
      <c r="Z328" s="26"/>
      <c r="AA328" s="26"/>
      <c r="AD328" s="26"/>
      <c r="AG328" s="26"/>
      <c r="AJ328" s="26"/>
      <c r="AM328" s="26"/>
      <c r="AP328" s="26"/>
      <c r="AS328" s="26"/>
      <c r="AV328" s="26"/>
      <c r="AY328" s="26"/>
      <c r="BB328" s="26"/>
      <c r="BE328" s="26"/>
      <c r="BH328" s="26"/>
      <c r="BK328" s="26"/>
      <c r="BN328" s="26"/>
      <c r="BQ328" s="26"/>
      <c r="BT328" s="26"/>
    </row>
    <row r="329">
      <c r="I329" s="32"/>
      <c r="J329" s="26"/>
      <c r="K329" s="26"/>
      <c r="N329" s="26"/>
      <c r="O329" s="26"/>
      <c r="R329" s="26"/>
      <c r="S329" s="26"/>
      <c r="V329" s="26"/>
      <c r="W329" s="26"/>
      <c r="Z329" s="26"/>
      <c r="AA329" s="26"/>
      <c r="AD329" s="26"/>
      <c r="AG329" s="26"/>
      <c r="AJ329" s="26"/>
      <c r="AM329" s="26"/>
      <c r="AP329" s="26"/>
      <c r="AS329" s="26"/>
      <c r="AV329" s="26"/>
      <c r="AY329" s="26"/>
      <c r="BB329" s="26"/>
      <c r="BE329" s="26"/>
      <c r="BH329" s="26"/>
      <c r="BK329" s="26"/>
      <c r="BN329" s="26"/>
      <c r="BQ329" s="26"/>
      <c r="BT329" s="26"/>
    </row>
    <row r="330">
      <c r="I330" s="32"/>
      <c r="J330" s="26"/>
      <c r="K330" s="26"/>
      <c r="N330" s="26"/>
      <c r="O330" s="26"/>
      <c r="R330" s="26"/>
      <c r="S330" s="26"/>
      <c r="V330" s="26"/>
      <c r="W330" s="26"/>
      <c r="Z330" s="26"/>
      <c r="AA330" s="26"/>
      <c r="AD330" s="26"/>
      <c r="AG330" s="26"/>
      <c r="AJ330" s="26"/>
      <c r="AM330" s="26"/>
      <c r="AP330" s="26"/>
      <c r="AS330" s="26"/>
      <c r="AV330" s="26"/>
      <c r="AY330" s="26"/>
      <c r="BB330" s="26"/>
      <c r="BE330" s="26"/>
      <c r="BH330" s="26"/>
      <c r="BK330" s="26"/>
      <c r="BN330" s="26"/>
      <c r="BQ330" s="26"/>
      <c r="BT330" s="26"/>
    </row>
    <row r="331">
      <c r="I331" s="32"/>
      <c r="J331" s="26"/>
      <c r="K331" s="26"/>
      <c r="N331" s="26"/>
      <c r="O331" s="26"/>
      <c r="R331" s="26"/>
      <c r="S331" s="26"/>
      <c r="V331" s="26"/>
      <c r="W331" s="26"/>
      <c r="Z331" s="26"/>
      <c r="AA331" s="26"/>
      <c r="AD331" s="26"/>
      <c r="AG331" s="26"/>
      <c r="AJ331" s="26"/>
      <c r="AM331" s="26"/>
      <c r="AP331" s="26"/>
      <c r="AS331" s="26"/>
      <c r="AV331" s="26"/>
      <c r="AY331" s="26"/>
      <c r="BB331" s="26"/>
      <c r="BE331" s="26"/>
      <c r="BH331" s="26"/>
      <c r="BK331" s="26"/>
      <c r="BN331" s="26"/>
      <c r="BQ331" s="26"/>
      <c r="BT331" s="26"/>
    </row>
    <row r="332">
      <c r="I332" s="32"/>
      <c r="J332" s="26"/>
      <c r="K332" s="26"/>
      <c r="N332" s="26"/>
      <c r="O332" s="26"/>
      <c r="R332" s="26"/>
      <c r="S332" s="26"/>
      <c r="V332" s="26"/>
      <c r="W332" s="26"/>
      <c r="Z332" s="26"/>
      <c r="AA332" s="26"/>
      <c r="AD332" s="26"/>
      <c r="AG332" s="26"/>
      <c r="AJ332" s="26"/>
      <c r="AM332" s="26"/>
      <c r="AP332" s="26"/>
      <c r="AS332" s="26"/>
      <c r="AV332" s="26"/>
      <c r="AY332" s="26"/>
      <c r="BB332" s="26"/>
      <c r="BE332" s="26"/>
      <c r="BH332" s="26"/>
      <c r="BK332" s="26"/>
      <c r="BN332" s="26"/>
      <c r="BQ332" s="26"/>
      <c r="BT332" s="26"/>
    </row>
    <row r="333">
      <c r="I333" s="32"/>
      <c r="J333" s="26"/>
      <c r="K333" s="26"/>
      <c r="N333" s="26"/>
      <c r="O333" s="26"/>
      <c r="R333" s="26"/>
      <c r="S333" s="26"/>
      <c r="V333" s="26"/>
      <c r="W333" s="26"/>
      <c r="Z333" s="26"/>
      <c r="AA333" s="26"/>
      <c r="AD333" s="26"/>
      <c r="AG333" s="26"/>
      <c r="AJ333" s="26"/>
      <c r="AM333" s="26"/>
      <c r="AP333" s="26"/>
      <c r="AS333" s="26"/>
      <c r="AV333" s="26"/>
      <c r="AY333" s="26"/>
      <c r="BB333" s="26"/>
      <c r="BE333" s="26"/>
      <c r="BH333" s="26"/>
      <c r="BK333" s="26"/>
      <c r="BN333" s="26"/>
      <c r="BQ333" s="26"/>
      <c r="BT333" s="26"/>
    </row>
    <row r="334">
      <c r="I334" s="32"/>
      <c r="J334" s="26"/>
      <c r="K334" s="26"/>
      <c r="N334" s="26"/>
      <c r="O334" s="26"/>
      <c r="R334" s="26"/>
      <c r="S334" s="26"/>
      <c r="V334" s="26"/>
      <c r="W334" s="26"/>
      <c r="Z334" s="26"/>
      <c r="AA334" s="26"/>
      <c r="AD334" s="26"/>
      <c r="AG334" s="26"/>
      <c r="AJ334" s="26"/>
      <c r="AM334" s="26"/>
      <c r="AP334" s="26"/>
      <c r="AS334" s="26"/>
      <c r="AV334" s="26"/>
      <c r="AY334" s="26"/>
      <c r="BB334" s="26"/>
      <c r="BE334" s="26"/>
      <c r="BH334" s="26"/>
      <c r="BK334" s="26"/>
      <c r="BN334" s="26"/>
      <c r="BQ334" s="26"/>
      <c r="BT334" s="26"/>
    </row>
    <row r="335">
      <c r="I335" s="32"/>
      <c r="J335" s="26"/>
      <c r="K335" s="26"/>
      <c r="N335" s="26"/>
      <c r="O335" s="26"/>
      <c r="R335" s="26"/>
      <c r="S335" s="26"/>
      <c r="V335" s="26"/>
      <c r="W335" s="26"/>
      <c r="Z335" s="26"/>
      <c r="AA335" s="26"/>
      <c r="AD335" s="26"/>
      <c r="AG335" s="26"/>
      <c r="AJ335" s="26"/>
      <c r="AM335" s="26"/>
      <c r="AP335" s="26"/>
      <c r="AS335" s="26"/>
      <c r="AV335" s="26"/>
      <c r="AY335" s="26"/>
      <c r="BB335" s="26"/>
      <c r="BE335" s="26"/>
      <c r="BH335" s="26"/>
      <c r="BK335" s="26"/>
      <c r="BN335" s="26"/>
      <c r="BQ335" s="26"/>
      <c r="BT335" s="26"/>
    </row>
    <row r="336">
      <c r="I336" s="32"/>
      <c r="J336" s="26"/>
      <c r="K336" s="26"/>
      <c r="N336" s="26"/>
      <c r="O336" s="26"/>
      <c r="R336" s="26"/>
      <c r="S336" s="26"/>
      <c r="V336" s="26"/>
      <c r="W336" s="26"/>
      <c r="Z336" s="26"/>
      <c r="AA336" s="26"/>
      <c r="AD336" s="26"/>
      <c r="AG336" s="26"/>
      <c r="AJ336" s="26"/>
      <c r="AM336" s="26"/>
      <c r="AP336" s="26"/>
      <c r="AS336" s="26"/>
      <c r="AV336" s="26"/>
      <c r="AY336" s="26"/>
      <c r="BB336" s="26"/>
      <c r="BE336" s="26"/>
      <c r="BH336" s="26"/>
      <c r="BK336" s="26"/>
      <c r="BN336" s="26"/>
      <c r="BQ336" s="26"/>
      <c r="BT336" s="26"/>
    </row>
    <row r="337">
      <c r="I337" s="32"/>
      <c r="J337" s="26"/>
      <c r="K337" s="26"/>
      <c r="N337" s="26"/>
      <c r="O337" s="26"/>
      <c r="R337" s="26"/>
      <c r="S337" s="26"/>
      <c r="V337" s="26"/>
      <c r="W337" s="26"/>
      <c r="Z337" s="26"/>
      <c r="AA337" s="26"/>
      <c r="AD337" s="26"/>
      <c r="AG337" s="26"/>
      <c r="AJ337" s="26"/>
      <c r="AM337" s="26"/>
      <c r="AP337" s="26"/>
      <c r="AS337" s="26"/>
      <c r="AV337" s="26"/>
      <c r="AY337" s="26"/>
      <c r="BB337" s="26"/>
      <c r="BE337" s="26"/>
      <c r="BH337" s="26"/>
      <c r="BK337" s="26"/>
      <c r="BN337" s="26"/>
      <c r="BQ337" s="26"/>
      <c r="BT337" s="26"/>
    </row>
    <row r="338">
      <c r="I338" s="32"/>
      <c r="J338" s="26"/>
      <c r="K338" s="26"/>
      <c r="N338" s="26"/>
      <c r="O338" s="26"/>
      <c r="R338" s="26"/>
      <c r="S338" s="26"/>
      <c r="V338" s="26"/>
      <c r="W338" s="26"/>
      <c r="Z338" s="26"/>
      <c r="AA338" s="26"/>
      <c r="AD338" s="26"/>
      <c r="AG338" s="26"/>
      <c r="AJ338" s="26"/>
      <c r="AM338" s="26"/>
      <c r="AP338" s="26"/>
      <c r="AS338" s="26"/>
      <c r="AV338" s="26"/>
      <c r="AY338" s="26"/>
      <c r="BB338" s="26"/>
      <c r="BE338" s="26"/>
      <c r="BH338" s="26"/>
      <c r="BK338" s="26"/>
      <c r="BN338" s="26"/>
      <c r="BQ338" s="26"/>
      <c r="BT338" s="26"/>
    </row>
    <row r="339">
      <c r="I339" s="32"/>
      <c r="J339" s="26"/>
      <c r="K339" s="26"/>
      <c r="N339" s="26"/>
      <c r="O339" s="26"/>
      <c r="R339" s="26"/>
      <c r="S339" s="26"/>
      <c r="V339" s="26"/>
      <c r="W339" s="26"/>
      <c r="Z339" s="26"/>
      <c r="AA339" s="26"/>
      <c r="AD339" s="26"/>
      <c r="AG339" s="26"/>
      <c r="AJ339" s="26"/>
      <c r="AM339" s="26"/>
      <c r="AP339" s="26"/>
      <c r="AS339" s="26"/>
      <c r="AV339" s="26"/>
      <c r="AY339" s="26"/>
      <c r="BB339" s="26"/>
      <c r="BE339" s="26"/>
      <c r="BH339" s="26"/>
      <c r="BK339" s="26"/>
      <c r="BN339" s="26"/>
      <c r="BQ339" s="26"/>
      <c r="BT339" s="26"/>
    </row>
    <row r="340">
      <c r="I340" s="32"/>
      <c r="J340" s="26"/>
      <c r="K340" s="26"/>
      <c r="N340" s="26"/>
      <c r="O340" s="26"/>
      <c r="R340" s="26"/>
      <c r="S340" s="26"/>
      <c r="V340" s="26"/>
      <c r="W340" s="26"/>
      <c r="Z340" s="26"/>
      <c r="AA340" s="26"/>
      <c r="AD340" s="26"/>
      <c r="AG340" s="26"/>
      <c r="AJ340" s="26"/>
      <c r="AM340" s="26"/>
      <c r="AP340" s="26"/>
      <c r="AS340" s="26"/>
      <c r="AV340" s="26"/>
      <c r="AY340" s="26"/>
      <c r="BB340" s="26"/>
      <c r="BE340" s="26"/>
      <c r="BH340" s="26"/>
      <c r="BK340" s="26"/>
      <c r="BN340" s="26"/>
      <c r="BQ340" s="26"/>
      <c r="BT340" s="26"/>
    </row>
    <row r="341">
      <c r="I341" s="32"/>
      <c r="J341" s="26"/>
      <c r="K341" s="26"/>
      <c r="N341" s="26"/>
      <c r="O341" s="26"/>
      <c r="R341" s="26"/>
      <c r="S341" s="26"/>
      <c r="V341" s="26"/>
      <c r="W341" s="26"/>
      <c r="Z341" s="26"/>
      <c r="AA341" s="26"/>
      <c r="AD341" s="26"/>
      <c r="AG341" s="26"/>
      <c r="AJ341" s="26"/>
      <c r="AM341" s="26"/>
      <c r="AP341" s="26"/>
      <c r="AS341" s="26"/>
      <c r="AV341" s="26"/>
      <c r="AY341" s="26"/>
      <c r="BB341" s="26"/>
      <c r="BE341" s="26"/>
      <c r="BH341" s="26"/>
      <c r="BK341" s="26"/>
      <c r="BN341" s="26"/>
      <c r="BQ341" s="26"/>
      <c r="BT341" s="26"/>
    </row>
    <row r="342">
      <c r="I342" s="32"/>
      <c r="J342" s="26"/>
      <c r="K342" s="26"/>
      <c r="N342" s="26"/>
      <c r="O342" s="26"/>
      <c r="R342" s="26"/>
      <c r="S342" s="26"/>
      <c r="V342" s="26"/>
      <c r="W342" s="26"/>
      <c r="Z342" s="26"/>
      <c r="AA342" s="26"/>
      <c r="AD342" s="26"/>
      <c r="AG342" s="26"/>
      <c r="AJ342" s="26"/>
      <c r="AM342" s="26"/>
      <c r="AP342" s="26"/>
      <c r="AS342" s="26"/>
      <c r="AV342" s="26"/>
      <c r="AY342" s="26"/>
      <c r="BB342" s="26"/>
      <c r="BE342" s="26"/>
      <c r="BH342" s="26"/>
      <c r="BK342" s="26"/>
      <c r="BN342" s="26"/>
      <c r="BQ342" s="26"/>
      <c r="BT342" s="26"/>
    </row>
    <row r="343">
      <c r="I343" s="32"/>
      <c r="J343" s="26"/>
      <c r="K343" s="26"/>
      <c r="N343" s="26"/>
      <c r="O343" s="26"/>
      <c r="R343" s="26"/>
      <c r="S343" s="26"/>
      <c r="V343" s="26"/>
      <c r="W343" s="26"/>
      <c r="Z343" s="26"/>
      <c r="AA343" s="26"/>
      <c r="AD343" s="26"/>
      <c r="AG343" s="26"/>
      <c r="AJ343" s="26"/>
      <c r="AM343" s="26"/>
      <c r="AP343" s="26"/>
      <c r="AS343" s="26"/>
      <c r="AV343" s="26"/>
      <c r="AY343" s="26"/>
      <c r="BB343" s="26"/>
      <c r="BE343" s="26"/>
      <c r="BH343" s="26"/>
      <c r="BK343" s="26"/>
      <c r="BN343" s="26"/>
      <c r="BQ343" s="26"/>
      <c r="BT343" s="26"/>
    </row>
    <row r="344">
      <c r="I344" s="32"/>
      <c r="J344" s="26"/>
      <c r="K344" s="26"/>
      <c r="N344" s="26"/>
      <c r="O344" s="26"/>
      <c r="R344" s="26"/>
      <c r="S344" s="26"/>
      <c r="V344" s="26"/>
      <c r="W344" s="26"/>
      <c r="Z344" s="26"/>
      <c r="AA344" s="26"/>
      <c r="AD344" s="26"/>
      <c r="AG344" s="26"/>
      <c r="AJ344" s="26"/>
      <c r="AM344" s="26"/>
      <c r="AP344" s="26"/>
      <c r="AS344" s="26"/>
      <c r="AV344" s="26"/>
      <c r="AY344" s="26"/>
      <c r="BB344" s="26"/>
      <c r="BE344" s="26"/>
      <c r="BH344" s="26"/>
      <c r="BK344" s="26"/>
      <c r="BN344" s="26"/>
      <c r="BQ344" s="26"/>
      <c r="BT344" s="26"/>
    </row>
    <row r="345">
      <c r="I345" s="32"/>
      <c r="J345" s="26"/>
      <c r="K345" s="26"/>
      <c r="N345" s="26"/>
      <c r="O345" s="26"/>
      <c r="R345" s="26"/>
      <c r="S345" s="26"/>
      <c r="V345" s="26"/>
      <c r="W345" s="26"/>
      <c r="Z345" s="26"/>
      <c r="AA345" s="26"/>
      <c r="AD345" s="26"/>
      <c r="AG345" s="26"/>
      <c r="AJ345" s="26"/>
      <c r="AM345" s="26"/>
      <c r="AP345" s="26"/>
      <c r="AS345" s="26"/>
      <c r="AV345" s="26"/>
      <c r="AY345" s="26"/>
      <c r="BB345" s="26"/>
      <c r="BE345" s="26"/>
      <c r="BH345" s="26"/>
      <c r="BK345" s="26"/>
      <c r="BN345" s="26"/>
      <c r="BQ345" s="26"/>
      <c r="BT345" s="26"/>
    </row>
    <row r="346">
      <c r="I346" s="32"/>
      <c r="J346" s="26"/>
      <c r="K346" s="26"/>
      <c r="N346" s="26"/>
      <c r="O346" s="26"/>
      <c r="R346" s="26"/>
      <c r="S346" s="26"/>
      <c r="V346" s="26"/>
      <c r="W346" s="26"/>
      <c r="Z346" s="26"/>
      <c r="AA346" s="26"/>
      <c r="AD346" s="26"/>
      <c r="AG346" s="26"/>
      <c r="AJ346" s="26"/>
      <c r="AM346" s="26"/>
      <c r="AP346" s="26"/>
      <c r="AS346" s="26"/>
      <c r="AV346" s="26"/>
      <c r="AY346" s="26"/>
      <c r="BB346" s="26"/>
      <c r="BE346" s="26"/>
      <c r="BH346" s="26"/>
      <c r="BK346" s="26"/>
      <c r="BN346" s="26"/>
      <c r="BQ346" s="26"/>
      <c r="BT346" s="26"/>
    </row>
    <row r="347">
      <c r="I347" s="32"/>
      <c r="J347" s="26"/>
      <c r="K347" s="26"/>
      <c r="N347" s="26"/>
      <c r="O347" s="26"/>
      <c r="R347" s="26"/>
      <c r="S347" s="26"/>
      <c r="V347" s="26"/>
      <c r="W347" s="26"/>
      <c r="Z347" s="26"/>
      <c r="AA347" s="26"/>
      <c r="AD347" s="26"/>
      <c r="AG347" s="26"/>
      <c r="AJ347" s="26"/>
      <c r="AM347" s="26"/>
      <c r="AP347" s="26"/>
      <c r="AS347" s="26"/>
      <c r="AV347" s="26"/>
      <c r="AY347" s="26"/>
      <c r="BB347" s="26"/>
      <c r="BE347" s="26"/>
      <c r="BH347" s="26"/>
      <c r="BK347" s="26"/>
      <c r="BN347" s="26"/>
      <c r="BQ347" s="26"/>
      <c r="BT347" s="26"/>
    </row>
    <row r="348">
      <c r="I348" s="32"/>
      <c r="J348" s="26"/>
      <c r="K348" s="26"/>
      <c r="N348" s="26"/>
      <c r="O348" s="26"/>
      <c r="R348" s="26"/>
      <c r="S348" s="26"/>
      <c r="V348" s="26"/>
      <c r="W348" s="26"/>
      <c r="Z348" s="26"/>
      <c r="AA348" s="26"/>
      <c r="AD348" s="26"/>
      <c r="AG348" s="26"/>
      <c r="AJ348" s="26"/>
      <c r="AM348" s="26"/>
      <c r="AP348" s="26"/>
      <c r="AS348" s="26"/>
      <c r="AV348" s="26"/>
      <c r="AY348" s="26"/>
      <c r="BB348" s="26"/>
      <c r="BE348" s="26"/>
      <c r="BH348" s="26"/>
      <c r="BK348" s="26"/>
      <c r="BN348" s="26"/>
      <c r="BQ348" s="26"/>
      <c r="BT348" s="26"/>
    </row>
    <row r="349">
      <c r="I349" s="32"/>
      <c r="J349" s="26"/>
      <c r="K349" s="26"/>
      <c r="N349" s="26"/>
      <c r="O349" s="26"/>
      <c r="R349" s="26"/>
      <c r="S349" s="26"/>
      <c r="V349" s="26"/>
      <c r="W349" s="26"/>
      <c r="Z349" s="26"/>
      <c r="AA349" s="26"/>
      <c r="AD349" s="26"/>
      <c r="AG349" s="26"/>
      <c r="AJ349" s="26"/>
      <c r="AM349" s="26"/>
      <c r="AP349" s="26"/>
      <c r="AS349" s="26"/>
      <c r="AV349" s="26"/>
      <c r="AY349" s="26"/>
      <c r="BB349" s="26"/>
      <c r="BE349" s="26"/>
      <c r="BH349" s="26"/>
      <c r="BK349" s="26"/>
      <c r="BN349" s="26"/>
      <c r="BQ349" s="26"/>
      <c r="BT349" s="26"/>
    </row>
    <row r="350">
      <c r="I350" s="32"/>
      <c r="J350" s="26"/>
      <c r="K350" s="26"/>
      <c r="N350" s="26"/>
      <c r="O350" s="26"/>
      <c r="R350" s="26"/>
      <c r="S350" s="26"/>
      <c r="V350" s="26"/>
      <c r="W350" s="26"/>
      <c r="Z350" s="26"/>
      <c r="AA350" s="26"/>
      <c r="AD350" s="26"/>
      <c r="AG350" s="26"/>
      <c r="AJ350" s="26"/>
      <c r="AM350" s="26"/>
      <c r="AP350" s="26"/>
      <c r="AS350" s="26"/>
      <c r="AV350" s="26"/>
      <c r="AY350" s="26"/>
      <c r="BB350" s="26"/>
      <c r="BE350" s="26"/>
      <c r="BH350" s="26"/>
      <c r="BK350" s="26"/>
      <c r="BN350" s="26"/>
      <c r="BQ350" s="26"/>
      <c r="BT350" s="26"/>
    </row>
    <row r="351">
      <c r="I351" s="32"/>
      <c r="J351" s="26"/>
      <c r="K351" s="26"/>
      <c r="N351" s="26"/>
      <c r="O351" s="26"/>
      <c r="R351" s="26"/>
      <c r="S351" s="26"/>
      <c r="V351" s="26"/>
      <c r="W351" s="26"/>
      <c r="Z351" s="26"/>
      <c r="AA351" s="26"/>
      <c r="AD351" s="26"/>
      <c r="AG351" s="26"/>
      <c r="AJ351" s="26"/>
      <c r="AM351" s="26"/>
      <c r="AP351" s="26"/>
      <c r="AS351" s="26"/>
      <c r="AV351" s="26"/>
      <c r="AY351" s="26"/>
      <c r="BB351" s="26"/>
      <c r="BE351" s="26"/>
      <c r="BH351" s="26"/>
      <c r="BK351" s="26"/>
      <c r="BN351" s="26"/>
      <c r="BQ351" s="26"/>
      <c r="BT351" s="26"/>
    </row>
    <row r="352">
      <c r="I352" s="32"/>
      <c r="J352" s="26"/>
      <c r="K352" s="26"/>
      <c r="N352" s="26"/>
      <c r="O352" s="26"/>
      <c r="R352" s="26"/>
      <c r="S352" s="26"/>
      <c r="V352" s="26"/>
      <c r="W352" s="26"/>
      <c r="Z352" s="26"/>
      <c r="AA352" s="26"/>
      <c r="AD352" s="26"/>
      <c r="AG352" s="26"/>
      <c r="AJ352" s="26"/>
      <c r="AM352" s="26"/>
      <c r="AP352" s="26"/>
      <c r="AS352" s="26"/>
      <c r="AV352" s="26"/>
      <c r="AY352" s="26"/>
      <c r="BB352" s="26"/>
      <c r="BE352" s="26"/>
      <c r="BH352" s="26"/>
      <c r="BK352" s="26"/>
      <c r="BN352" s="26"/>
      <c r="BQ352" s="26"/>
      <c r="BT352" s="26"/>
    </row>
    <row r="353">
      <c r="I353" s="32"/>
      <c r="J353" s="26"/>
      <c r="K353" s="26"/>
      <c r="N353" s="26"/>
      <c r="O353" s="26"/>
      <c r="R353" s="26"/>
      <c r="S353" s="26"/>
      <c r="V353" s="26"/>
      <c r="W353" s="26"/>
      <c r="Z353" s="26"/>
      <c r="AA353" s="26"/>
      <c r="AD353" s="26"/>
      <c r="AG353" s="26"/>
      <c r="AJ353" s="26"/>
      <c r="AM353" s="26"/>
      <c r="AP353" s="26"/>
      <c r="AS353" s="26"/>
      <c r="AV353" s="26"/>
      <c r="AY353" s="26"/>
      <c r="BB353" s="26"/>
      <c r="BE353" s="26"/>
      <c r="BH353" s="26"/>
      <c r="BK353" s="26"/>
      <c r="BN353" s="26"/>
      <c r="BQ353" s="26"/>
      <c r="BT353" s="26"/>
    </row>
    <row r="354">
      <c r="I354" s="32"/>
      <c r="J354" s="26"/>
      <c r="K354" s="26"/>
      <c r="N354" s="26"/>
      <c r="O354" s="26"/>
      <c r="R354" s="26"/>
      <c r="S354" s="26"/>
      <c r="V354" s="26"/>
      <c r="W354" s="26"/>
      <c r="Z354" s="26"/>
      <c r="AA354" s="26"/>
      <c r="AD354" s="26"/>
      <c r="AG354" s="26"/>
      <c r="AJ354" s="26"/>
      <c r="AM354" s="26"/>
      <c r="AP354" s="26"/>
      <c r="AS354" s="26"/>
      <c r="AV354" s="26"/>
      <c r="AY354" s="26"/>
      <c r="BB354" s="26"/>
      <c r="BE354" s="26"/>
      <c r="BH354" s="26"/>
      <c r="BK354" s="26"/>
      <c r="BN354" s="26"/>
      <c r="BQ354" s="26"/>
      <c r="BT354" s="26"/>
    </row>
    <row r="355">
      <c r="I355" s="32"/>
      <c r="J355" s="26"/>
      <c r="K355" s="26"/>
      <c r="N355" s="26"/>
      <c r="O355" s="26"/>
      <c r="R355" s="26"/>
      <c r="S355" s="26"/>
      <c r="V355" s="26"/>
      <c r="W355" s="26"/>
      <c r="Z355" s="26"/>
      <c r="AA355" s="26"/>
      <c r="AD355" s="26"/>
      <c r="AG355" s="26"/>
      <c r="AJ355" s="26"/>
      <c r="AM355" s="26"/>
      <c r="AP355" s="26"/>
      <c r="AS355" s="26"/>
      <c r="AV355" s="26"/>
      <c r="AY355" s="26"/>
      <c r="BB355" s="26"/>
      <c r="BE355" s="26"/>
      <c r="BH355" s="26"/>
      <c r="BK355" s="26"/>
      <c r="BN355" s="26"/>
      <c r="BQ355" s="26"/>
      <c r="BT355" s="26"/>
    </row>
    <row r="356">
      <c r="I356" s="32"/>
      <c r="J356" s="26"/>
      <c r="K356" s="26"/>
      <c r="N356" s="26"/>
      <c r="O356" s="26"/>
      <c r="R356" s="26"/>
      <c r="S356" s="26"/>
      <c r="V356" s="26"/>
      <c r="W356" s="26"/>
      <c r="Z356" s="26"/>
      <c r="AA356" s="26"/>
      <c r="AD356" s="26"/>
      <c r="AG356" s="26"/>
      <c r="AJ356" s="26"/>
      <c r="AM356" s="26"/>
      <c r="AP356" s="26"/>
      <c r="AS356" s="26"/>
      <c r="AV356" s="26"/>
      <c r="AY356" s="26"/>
      <c r="BB356" s="26"/>
      <c r="BE356" s="26"/>
      <c r="BH356" s="26"/>
      <c r="BK356" s="26"/>
      <c r="BN356" s="26"/>
      <c r="BQ356" s="26"/>
      <c r="BT356" s="26"/>
    </row>
    <row r="357">
      <c r="I357" s="32"/>
      <c r="J357" s="26"/>
      <c r="K357" s="26"/>
      <c r="N357" s="26"/>
      <c r="O357" s="26"/>
      <c r="R357" s="26"/>
      <c r="S357" s="26"/>
      <c r="V357" s="26"/>
      <c r="W357" s="26"/>
      <c r="Z357" s="26"/>
      <c r="AA357" s="26"/>
      <c r="AD357" s="26"/>
      <c r="AG357" s="26"/>
      <c r="AJ357" s="26"/>
      <c r="AM357" s="26"/>
      <c r="AP357" s="26"/>
      <c r="AS357" s="26"/>
      <c r="AV357" s="26"/>
      <c r="AY357" s="26"/>
      <c r="BB357" s="26"/>
      <c r="BE357" s="26"/>
      <c r="BH357" s="26"/>
      <c r="BK357" s="26"/>
      <c r="BN357" s="26"/>
      <c r="BQ357" s="26"/>
      <c r="BT357" s="26"/>
    </row>
    <row r="358">
      <c r="I358" s="32"/>
      <c r="J358" s="26"/>
      <c r="K358" s="26"/>
      <c r="N358" s="26"/>
      <c r="O358" s="26"/>
      <c r="R358" s="26"/>
      <c r="S358" s="26"/>
      <c r="V358" s="26"/>
      <c r="W358" s="26"/>
      <c r="Z358" s="26"/>
      <c r="AA358" s="26"/>
      <c r="AD358" s="26"/>
      <c r="AG358" s="26"/>
      <c r="AJ358" s="26"/>
      <c r="AM358" s="26"/>
      <c r="AP358" s="26"/>
      <c r="AS358" s="26"/>
      <c r="AV358" s="26"/>
      <c r="AY358" s="26"/>
      <c r="BB358" s="26"/>
      <c r="BE358" s="26"/>
      <c r="BH358" s="26"/>
      <c r="BK358" s="26"/>
      <c r="BN358" s="26"/>
      <c r="BQ358" s="26"/>
      <c r="BT358" s="26"/>
    </row>
    <row r="359">
      <c r="I359" s="32"/>
      <c r="J359" s="26"/>
      <c r="K359" s="26"/>
      <c r="N359" s="26"/>
      <c r="O359" s="26"/>
      <c r="R359" s="26"/>
      <c r="S359" s="26"/>
      <c r="V359" s="26"/>
      <c r="W359" s="26"/>
      <c r="Z359" s="26"/>
      <c r="AA359" s="26"/>
      <c r="AD359" s="26"/>
      <c r="AG359" s="26"/>
      <c r="AJ359" s="26"/>
      <c r="AM359" s="26"/>
      <c r="AP359" s="26"/>
      <c r="AS359" s="26"/>
      <c r="AV359" s="26"/>
      <c r="AY359" s="26"/>
      <c r="BB359" s="26"/>
      <c r="BE359" s="26"/>
      <c r="BH359" s="26"/>
      <c r="BK359" s="26"/>
      <c r="BN359" s="26"/>
      <c r="BQ359" s="26"/>
      <c r="BT359" s="26"/>
    </row>
    <row r="360">
      <c r="I360" s="32"/>
      <c r="J360" s="26"/>
      <c r="K360" s="26"/>
      <c r="N360" s="26"/>
      <c r="O360" s="26"/>
      <c r="R360" s="26"/>
      <c r="S360" s="26"/>
      <c r="V360" s="26"/>
      <c r="W360" s="26"/>
      <c r="Z360" s="26"/>
      <c r="AA360" s="26"/>
      <c r="AD360" s="26"/>
      <c r="AG360" s="26"/>
      <c r="AJ360" s="26"/>
      <c r="AM360" s="26"/>
      <c r="AP360" s="26"/>
      <c r="AS360" s="26"/>
      <c r="AV360" s="26"/>
      <c r="AY360" s="26"/>
      <c r="BB360" s="26"/>
      <c r="BE360" s="26"/>
      <c r="BH360" s="26"/>
      <c r="BK360" s="26"/>
      <c r="BN360" s="26"/>
      <c r="BQ360" s="26"/>
      <c r="BT360" s="26"/>
    </row>
    <row r="361">
      <c r="I361" s="32"/>
      <c r="J361" s="26"/>
      <c r="K361" s="26"/>
      <c r="N361" s="26"/>
      <c r="O361" s="26"/>
      <c r="R361" s="26"/>
      <c r="S361" s="26"/>
      <c r="V361" s="26"/>
      <c r="W361" s="26"/>
      <c r="Z361" s="26"/>
      <c r="AA361" s="26"/>
      <c r="AD361" s="26"/>
      <c r="AG361" s="26"/>
      <c r="AJ361" s="26"/>
      <c r="AM361" s="26"/>
      <c r="AP361" s="26"/>
      <c r="AS361" s="26"/>
      <c r="AV361" s="26"/>
      <c r="AY361" s="26"/>
      <c r="BB361" s="26"/>
      <c r="BE361" s="26"/>
      <c r="BH361" s="26"/>
      <c r="BK361" s="26"/>
      <c r="BN361" s="26"/>
      <c r="BQ361" s="26"/>
      <c r="BT361" s="26"/>
    </row>
    <row r="362">
      <c r="I362" s="32"/>
      <c r="J362" s="26"/>
      <c r="K362" s="26"/>
      <c r="N362" s="26"/>
      <c r="O362" s="26"/>
      <c r="R362" s="26"/>
      <c r="S362" s="26"/>
      <c r="V362" s="26"/>
      <c r="W362" s="26"/>
      <c r="Z362" s="26"/>
      <c r="AA362" s="26"/>
      <c r="AD362" s="26"/>
      <c r="AG362" s="26"/>
      <c r="AJ362" s="26"/>
      <c r="AM362" s="26"/>
      <c r="AP362" s="26"/>
      <c r="AS362" s="26"/>
      <c r="AV362" s="26"/>
      <c r="AY362" s="26"/>
      <c r="BB362" s="26"/>
      <c r="BE362" s="26"/>
      <c r="BH362" s="26"/>
      <c r="BK362" s="26"/>
      <c r="BN362" s="26"/>
      <c r="BQ362" s="26"/>
      <c r="BT362" s="26"/>
    </row>
    <row r="363">
      <c r="I363" s="32"/>
      <c r="J363" s="26"/>
      <c r="K363" s="26"/>
      <c r="N363" s="26"/>
      <c r="O363" s="26"/>
      <c r="R363" s="26"/>
      <c r="S363" s="26"/>
      <c r="V363" s="26"/>
      <c r="W363" s="26"/>
      <c r="Z363" s="26"/>
      <c r="AA363" s="26"/>
      <c r="AD363" s="26"/>
      <c r="AG363" s="26"/>
      <c r="AJ363" s="26"/>
      <c r="AM363" s="26"/>
      <c r="AP363" s="26"/>
      <c r="AS363" s="26"/>
      <c r="AV363" s="26"/>
      <c r="AY363" s="26"/>
      <c r="BB363" s="26"/>
      <c r="BE363" s="26"/>
      <c r="BH363" s="26"/>
      <c r="BK363" s="26"/>
      <c r="BN363" s="26"/>
      <c r="BQ363" s="26"/>
      <c r="BT363" s="26"/>
    </row>
    <row r="364">
      <c r="I364" s="32"/>
      <c r="J364" s="26"/>
      <c r="K364" s="26"/>
      <c r="N364" s="26"/>
      <c r="O364" s="26"/>
      <c r="R364" s="26"/>
      <c r="S364" s="26"/>
      <c r="V364" s="26"/>
      <c r="W364" s="26"/>
      <c r="Z364" s="26"/>
      <c r="AA364" s="26"/>
      <c r="AD364" s="26"/>
      <c r="AG364" s="26"/>
      <c r="AJ364" s="26"/>
      <c r="AM364" s="26"/>
      <c r="AP364" s="26"/>
      <c r="AS364" s="26"/>
      <c r="AV364" s="26"/>
      <c r="AY364" s="26"/>
      <c r="BB364" s="26"/>
      <c r="BE364" s="26"/>
      <c r="BH364" s="26"/>
      <c r="BK364" s="26"/>
      <c r="BN364" s="26"/>
      <c r="BQ364" s="26"/>
      <c r="BT364" s="26"/>
    </row>
    <row r="365">
      <c r="I365" s="32"/>
      <c r="J365" s="26"/>
      <c r="K365" s="26"/>
      <c r="N365" s="26"/>
      <c r="O365" s="26"/>
      <c r="R365" s="26"/>
      <c r="S365" s="26"/>
      <c r="V365" s="26"/>
      <c r="W365" s="26"/>
      <c r="Z365" s="26"/>
      <c r="AA365" s="26"/>
      <c r="AD365" s="26"/>
      <c r="AG365" s="26"/>
      <c r="AJ365" s="26"/>
      <c r="AM365" s="26"/>
      <c r="AP365" s="26"/>
      <c r="AS365" s="26"/>
      <c r="AV365" s="26"/>
      <c r="AY365" s="26"/>
      <c r="BB365" s="26"/>
      <c r="BE365" s="26"/>
      <c r="BH365" s="26"/>
      <c r="BK365" s="26"/>
      <c r="BN365" s="26"/>
      <c r="BQ365" s="26"/>
      <c r="BT365" s="26"/>
    </row>
    <row r="366">
      <c r="I366" s="32"/>
      <c r="J366" s="26"/>
      <c r="K366" s="26"/>
      <c r="N366" s="26"/>
      <c r="O366" s="26"/>
      <c r="R366" s="26"/>
      <c r="S366" s="26"/>
      <c r="V366" s="26"/>
      <c r="W366" s="26"/>
      <c r="Z366" s="26"/>
      <c r="AA366" s="26"/>
      <c r="AD366" s="26"/>
      <c r="AG366" s="26"/>
      <c r="AJ366" s="26"/>
      <c r="AM366" s="26"/>
      <c r="AP366" s="26"/>
      <c r="AS366" s="26"/>
      <c r="AV366" s="26"/>
      <c r="AY366" s="26"/>
      <c r="BB366" s="26"/>
      <c r="BE366" s="26"/>
      <c r="BH366" s="26"/>
      <c r="BK366" s="26"/>
      <c r="BN366" s="26"/>
      <c r="BQ366" s="26"/>
      <c r="BT366" s="26"/>
    </row>
    <row r="367">
      <c r="I367" s="32"/>
      <c r="J367" s="26"/>
      <c r="K367" s="26"/>
      <c r="N367" s="26"/>
      <c r="O367" s="26"/>
      <c r="R367" s="26"/>
      <c r="S367" s="26"/>
      <c r="V367" s="26"/>
      <c r="W367" s="26"/>
      <c r="Z367" s="26"/>
      <c r="AA367" s="26"/>
      <c r="AD367" s="26"/>
      <c r="AG367" s="26"/>
      <c r="AJ367" s="26"/>
      <c r="AM367" s="26"/>
      <c r="AP367" s="26"/>
      <c r="AS367" s="26"/>
      <c r="AV367" s="26"/>
      <c r="AY367" s="26"/>
      <c r="BB367" s="26"/>
      <c r="BE367" s="26"/>
      <c r="BH367" s="26"/>
      <c r="BK367" s="26"/>
      <c r="BN367" s="26"/>
      <c r="BQ367" s="26"/>
      <c r="BT367" s="26"/>
    </row>
    <row r="368">
      <c r="I368" s="32"/>
      <c r="J368" s="26"/>
      <c r="K368" s="26"/>
      <c r="N368" s="26"/>
      <c r="O368" s="26"/>
      <c r="R368" s="26"/>
      <c r="S368" s="26"/>
      <c r="V368" s="26"/>
      <c r="W368" s="26"/>
      <c r="Z368" s="26"/>
      <c r="AA368" s="26"/>
      <c r="AD368" s="26"/>
      <c r="AG368" s="26"/>
      <c r="AJ368" s="26"/>
      <c r="AM368" s="26"/>
      <c r="AP368" s="26"/>
      <c r="AS368" s="26"/>
      <c r="AV368" s="26"/>
      <c r="AY368" s="26"/>
      <c r="BB368" s="26"/>
      <c r="BE368" s="26"/>
      <c r="BH368" s="26"/>
      <c r="BK368" s="26"/>
      <c r="BN368" s="26"/>
      <c r="BQ368" s="26"/>
      <c r="BT368" s="26"/>
    </row>
    <row r="369">
      <c r="I369" s="32"/>
      <c r="J369" s="26"/>
      <c r="K369" s="26"/>
      <c r="N369" s="26"/>
      <c r="O369" s="26"/>
      <c r="R369" s="26"/>
      <c r="S369" s="26"/>
      <c r="V369" s="26"/>
      <c r="W369" s="26"/>
      <c r="Z369" s="26"/>
      <c r="AA369" s="26"/>
      <c r="AD369" s="26"/>
      <c r="AG369" s="26"/>
      <c r="AJ369" s="26"/>
      <c r="AM369" s="26"/>
      <c r="AP369" s="26"/>
      <c r="AS369" s="26"/>
      <c r="AV369" s="26"/>
      <c r="AY369" s="26"/>
      <c r="BB369" s="26"/>
      <c r="BE369" s="26"/>
      <c r="BH369" s="26"/>
      <c r="BK369" s="26"/>
      <c r="BN369" s="26"/>
      <c r="BQ369" s="26"/>
      <c r="BT369" s="26"/>
    </row>
    <row r="370">
      <c r="I370" s="32"/>
      <c r="J370" s="26"/>
      <c r="K370" s="26"/>
      <c r="N370" s="26"/>
      <c r="O370" s="26"/>
      <c r="R370" s="26"/>
      <c r="S370" s="26"/>
      <c r="V370" s="26"/>
      <c r="W370" s="26"/>
      <c r="Z370" s="26"/>
      <c r="AA370" s="26"/>
      <c r="AD370" s="26"/>
      <c r="AG370" s="26"/>
      <c r="AJ370" s="26"/>
      <c r="AM370" s="26"/>
      <c r="AP370" s="26"/>
      <c r="AS370" s="26"/>
      <c r="AV370" s="26"/>
      <c r="AY370" s="26"/>
      <c r="BB370" s="26"/>
      <c r="BE370" s="26"/>
      <c r="BH370" s="26"/>
      <c r="BK370" s="26"/>
      <c r="BN370" s="26"/>
      <c r="BQ370" s="26"/>
      <c r="BT370" s="26"/>
    </row>
    <row r="371">
      <c r="I371" s="32"/>
      <c r="J371" s="26"/>
      <c r="K371" s="26"/>
      <c r="N371" s="26"/>
      <c r="O371" s="26"/>
      <c r="R371" s="26"/>
      <c r="S371" s="26"/>
      <c r="V371" s="26"/>
      <c r="W371" s="26"/>
      <c r="Z371" s="26"/>
      <c r="AA371" s="26"/>
      <c r="AD371" s="26"/>
      <c r="AG371" s="26"/>
      <c r="AJ371" s="26"/>
      <c r="AM371" s="26"/>
      <c r="AP371" s="26"/>
      <c r="AS371" s="26"/>
      <c r="AV371" s="26"/>
      <c r="AY371" s="26"/>
      <c r="BB371" s="26"/>
      <c r="BE371" s="26"/>
      <c r="BH371" s="26"/>
      <c r="BK371" s="26"/>
      <c r="BN371" s="26"/>
      <c r="BQ371" s="26"/>
      <c r="BT371" s="26"/>
    </row>
    <row r="372">
      <c r="I372" s="32"/>
      <c r="J372" s="26"/>
      <c r="K372" s="26"/>
      <c r="N372" s="26"/>
      <c r="O372" s="26"/>
      <c r="R372" s="26"/>
      <c r="S372" s="26"/>
      <c r="V372" s="26"/>
      <c r="W372" s="26"/>
      <c r="Z372" s="26"/>
      <c r="AA372" s="26"/>
      <c r="AD372" s="26"/>
      <c r="AG372" s="26"/>
      <c r="AJ372" s="26"/>
      <c r="AM372" s="26"/>
      <c r="AP372" s="26"/>
      <c r="AS372" s="26"/>
      <c r="AV372" s="26"/>
      <c r="AY372" s="26"/>
      <c r="BB372" s="26"/>
      <c r="BE372" s="26"/>
      <c r="BH372" s="26"/>
      <c r="BK372" s="26"/>
      <c r="BN372" s="26"/>
      <c r="BQ372" s="26"/>
      <c r="BT372" s="26"/>
    </row>
    <row r="373">
      <c r="I373" s="32"/>
      <c r="J373" s="26"/>
      <c r="K373" s="26"/>
      <c r="N373" s="26"/>
      <c r="O373" s="26"/>
      <c r="R373" s="26"/>
      <c r="S373" s="26"/>
      <c r="V373" s="26"/>
      <c r="W373" s="26"/>
      <c r="Z373" s="26"/>
      <c r="AA373" s="26"/>
      <c r="AD373" s="26"/>
      <c r="AG373" s="26"/>
      <c r="AJ373" s="26"/>
      <c r="AM373" s="26"/>
      <c r="AP373" s="26"/>
      <c r="AS373" s="26"/>
      <c r="AV373" s="26"/>
      <c r="AY373" s="26"/>
      <c r="BB373" s="26"/>
      <c r="BE373" s="26"/>
      <c r="BH373" s="26"/>
      <c r="BK373" s="26"/>
      <c r="BN373" s="26"/>
      <c r="BQ373" s="26"/>
      <c r="BT373" s="26"/>
    </row>
    <row r="374">
      <c r="I374" s="32"/>
      <c r="J374" s="26"/>
      <c r="K374" s="26"/>
      <c r="N374" s="26"/>
      <c r="O374" s="26"/>
      <c r="R374" s="26"/>
      <c r="S374" s="26"/>
      <c r="V374" s="26"/>
      <c r="W374" s="26"/>
      <c r="Z374" s="26"/>
      <c r="AA374" s="26"/>
      <c r="AD374" s="26"/>
      <c r="AG374" s="26"/>
      <c r="AJ374" s="26"/>
      <c r="AM374" s="26"/>
      <c r="AP374" s="26"/>
      <c r="AS374" s="26"/>
      <c r="AV374" s="26"/>
      <c r="AY374" s="26"/>
      <c r="BB374" s="26"/>
      <c r="BE374" s="26"/>
      <c r="BH374" s="26"/>
      <c r="BK374" s="26"/>
      <c r="BN374" s="26"/>
      <c r="BQ374" s="26"/>
      <c r="BT374" s="26"/>
    </row>
    <row r="375">
      <c r="I375" s="32"/>
      <c r="J375" s="26"/>
      <c r="K375" s="26"/>
      <c r="N375" s="26"/>
      <c r="O375" s="26"/>
      <c r="R375" s="26"/>
      <c r="S375" s="26"/>
      <c r="V375" s="26"/>
      <c r="W375" s="26"/>
      <c r="Z375" s="26"/>
      <c r="AA375" s="26"/>
      <c r="AD375" s="26"/>
      <c r="AG375" s="26"/>
      <c r="AJ375" s="26"/>
      <c r="AM375" s="26"/>
      <c r="AP375" s="26"/>
      <c r="AS375" s="26"/>
      <c r="AV375" s="26"/>
      <c r="AY375" s="26"/>
      <c r="BB375" s="26"/>
      <c r="BE375" s="26"/>
      <c r="BH375" s="26"/>
      <c r="BK375" s="26"/>
      <c r="BN375" s="26"/>
      <c r="BQ375" s="26"/>
      <c r="BT375" s="26"/>
    </row>
    <row r="376">
      <c r="I376" s="32"/>
      <c r="J376" s="26"/>
      <c r="K376" s="26"/>
      <c r="N376" s="26"/>
      <c r="O376" s="26"/>
      <c r="R376" s="26"/>
      <c r="S376" s="26"/>
      <c r="V376" s="26"/>
      <c r="W376" s="26"/>
      <c r="Z376" s="26"/>
      <c r="AA376" s="26"/>
      <c r="AD376" s="26"/>
      <c r="AG376" s="26"/>
      <c r="AJ376" s="26"/>
      <c r="AM376" s="26"/>
      <c r="AP376" s="26"/>
      <c r="AS376" s="26"/>
      <c r="AV376" s="26"/>
      <c r="AY376" s="26"/>
      <c r="BB376" s="26"/>
      <c r="BE376" s="26"/>
      <c r="BH376" s="26"/>
      <c r="BK376" s="26"/>
      <c r="BN376" s="26"/>
      <c r="BQ376" s="26"/>
      <c r="BT376" s="26"/>
    </row>
    <row r="377">
      <c r="I377" s="32"/>
      <c r="J377" s="26"/>
      <c r="K377" s="26"/>
      <c r="N377" s="26"/>
      <c r="O377" s="26"/>
      <c r="R377" s="26"/>
      <c r="S377" s="26"/>
      <c r="V377" s="26"/>
      <c r="W377" s="26"/>
      <c r="Z377" s="26"/>
      <c r="AA377" s="26"/>
      <c r="AD377" s="26"/>
      <c r="AG377" s="26"/>
      <c r="AJ377" s="26"/>
      <c r="AM377" s="26"/>
      <c r="AP377" s="26"/>
      <c r="AS377" s="26"/>
      <c r="AV377" s="26"/>
      <c r="AY377" s="26"/>
      <c r="BB377" s="26"/>
      <c r="BE377" s="26"/>
      <c r="BH377" s="26"/>
      <c r="BK377" s="26"/>
      <c r="BN377" s="26"/>
      <c r="BQ377" s="26"/>
      <c r="BT377" s="26"/>
    </row>
    <row r="378">
      <c r="I378" s="32"/>
      <c r="J378" s="26"/>
      <c r="K378" s="26"/>
      <c r="N378" s="26"/>
      <c r="O378" s="26"/>
      <c r="R378" s="26"/>
      <c r="S378" s="26"/>
      <c r="V378" s="26"/>
      <c r="W378" s="26"/>
      <c r="Z378" s="26"/>
      <c r="AA378" s="26"/>
      <c r="AD378" s="26"/>
      <c r="AG378" s="26"/>
      <c r="AJ378" s="26"/>
      <c r="AM378" s="26"/>
      <c r="AP378" s="26"/>
      <c r="AS378" s="26"/>
      <c r="AV378" s="26"/>
      <c r="AY378" s="26"/>
      <c r="BB378" s="26"/>
      <c r="BE378" s="26"/>
      <c r="BH378" s="26"/>
      <c r="BK378" s="26"/>
      <c r="BN378" s="26"/>
      <c r="BQ378" s="26"/>
      <c r="BT378" s="26"/>
    </row>
    <row r="379">
      <c r="I379" s="32"/>
      <c r="J379" s="26"/>
      <c r="K379" s="26"/>
      <c r="N379" s="26"/>
      <c r="O379" s="26"/>
      <c r="R379" s="26"/>
      <c r="S379" s="26"/>
      <c r="V379" s="26"/>
      <c r="W379" s="26"/>
      <c r="Z379" s="26"/>
      <c r="AA379" s="26"/>
      <c r="AD379" s="26"/>
      <c r="AG379" s="26"/>
      <c r="AJ379" s="26"/>
      <c r="AM379" s="26"/>
      <c r="AP379" s="26"/>
      <c r="AS379" s="26"/>
      <c r="AV379" s="26"/>
      <c r="AY379" s="26"/>
      <c r="BB379" s="26"/>
      <c r="BE379" s="26"/>
      <c r="BH379" s="26"/>
      <c r="BK379" s="26"/>
      <c r="BN379" s="26"/>
      <c r="BQ379" s="26"/>
      <c r="BT379" s="26"/>
    </row>
    <row r="380">
      <c r="I380" s="32"/>
      <c r="J380" s="26"/>
      <c r="K380" s="26"/>
      <c r="N380" s="26"/>
      <c r="O380" s="26"/>
      <c r="R380" s="26"/>
      <c r="S380" s="26"/>
      <c r="V380" s="26"/>
      <c r="W380" s="26"/>
      <c r="Z380" s="26"/>
      <c r="AA380" s="26"/>
      <c r="AD380" s="26"/>
      <c r="AG380" s="26"/>
      <c r="AJ380" s="26"/>
      <c r="AM380" s="26"/>
      <c r="AP380" s="26"/>
      <c r="AS380" s="26"/>
      <c r="AV380" s="26"/>
      <c r="AY380" s="26"/>
      <c r="BB380" s="26"/>
      <c r="BE380" s="26"/>
      <c r="BH380" s="26"/>
      <c r="BK380" s="26"/>
      <c r="BN380" s="26"/>
      <c r="BQ380" s="26"/>
      <c r="BT380" s="26"/>
    </row>
    <row r="381">
      <c r="I381" s="32"/>
      <c r="J381" s="26"/>
      <c r="K381" s="26"/>
      <c r="N381" s="26"/>
      <c r="O381" s="26"/>
      <c r="R381" s="26"/>
      <c r="S381" s="26"/>
      <c r="V381" s="26"/>
      <c r="W381" s="26"/>
      <c r="Z381" s="26"/>
      <c r="AA381" s="26"/>
      <c r="AD381" s="26"/>
      <c r="AG381" s="26"/>
      <c r="AJ381" s="26"/>
      <c r="AM381" s="26"/>
      <c r="AP381" s="26"/>
      <c r="AS381" s="26"/>
      <c r="AV381" s="26"/>
      <c r="AY381" s="26"/>
      <c r="BB381" s="26"/>
      <c r="BE381" s="26"/>
      <c r="BH381" s="26"/>
      <c r="BK381" s="26"/>
      <c r="BN381" s="26"/>
      <c r="BQ381" s="26"/>
      <c r="BT381" s="26"/>
    </row>
    <row r="382">
      <c r="I382" s="32"/>
      <c r="J382" s="26"/>
      <c r="K382" s="26"/>
      <c r="N382" s="26"/>
      <c r="O382" s="26"/>
      <c r="R382" s="26"/>
      <c r="S382" s="26"/>
      <c r="V382" s="26"/>
      <c r="W382" s="26"/>
      <c r="Z382" s="26"/>
      <c r="AA382" s="26"/>
      <c r="AD382" s="26"/>
      <c r="AG382" s="26"/>
      <c r="AJ382" s="26"/>
      <c r="AM382" s="26"/>
      <c r="AP382" s="26"/>
      <c r="AS382" s="26"/>
      <c r="AV382" s="26"/>
      <c r="AY382" s="26"/>
      <c r="BB382" s="26"/>
      <c r="BE382" s="26"/>
      <c r="BH382" s="26"/>
      <c r="BK382" s="26"/>
      <c r="BN382" s="26"/>
      <c r="BQ382" s="26"/>
      <c r="BT382" s="26"/>
    </row>
    <row r="383">
      <c r="I383" s="32"/>
      <c r="J383" s="26"/>
      <c r="K383" s="26"/>
      <c r="N383" s="26"/>
      <c r="O383" s="26"/>
      <c r="R383" s="26"/>
      <c r="S383" s="26"/>
      <c r="V383" s="26"/>
      <c r="W383" s="26"/>
      <c r="Z383" s="26"/>
      <c r="AA383" s="26"/>
      <c r="AD383" s="26"/>
      <c r="AG383" s="26"/>
      <c r="AJ383" s="26"/>
      <c r="AM383" s="26"/>
      <c r="AP383" s="26"/>
      <c r="AS383" s="26"/>
      <c r="AV383" s="26"/>
      <c r="AY383" s="26"/>
      <c r="BB383" s="26"/>
      <c r="BE383" s="26"/>
      <c r="BH383" s="26"/>
      <c r="BK383" s="26"/>
      <c r="BN383" s="26"/>
      <c r="BQ383" s="26"/>
      <c r="BT383" s="26"/>
    </row>
    <row r="384">
      <c r="I384" s="32"/>
      <c r="J384" s="26"/>
      <c r="K384" s="26"/>
      <c r="N384" s="26"/>
      <c r="O384" s="26"/>
      <c r="R384" s="26"/>
      <c r="S384" s="26"/>
      <c r="V384" s="26"/>
      <c r="W384" s="26"/>
      <c r="Z384" s="26"/>
      <c r="AA384" s="26"/>
      <c r="AD384" s="26"/>
      <c r="AG384" s="26"/>
      <c r="AJ384" s="26"/>
      <c r="AM384" s="26"/>
      <c r="AP384" s="26"/>
      <c r="AS384" s="26"/>
      <c r="AV384" s="26"/>
      <c r="AY384" s="26"/>
      <c r="BB384" s="26"/>
      <c r="BE384" s="26"/>
      <c r="BH384" s="26"/>
      <c r="BK384" s="26"/>
      <c r="BN384" s="26"/>
      <c r="BQ384" s="26"/>
      <c r="BT384" s="26"/>
    </row>
    <row r="385">
      <c r="I385" s="32"/>
      <c r="J385" s="26"/>
      <c r="K385" s="26"/>
      <c r="N385" s="26"/>
      <c r="O385" s="26"/>
      <c r="R385" s="26"/>
      <c r="S385" s="26"/>
      <c r="V385" s="26"/>
      <c r="W385" s="26"/>
      <c r="Z385" s="26"/>
      <c r="AA385" s="26"/>
      <c r="AD385" s="26"/>
      <c r="AG385" s="26"/>
      <c r="AJ385" s="26"/>
      <c r="AM385" s="26"/>
      <c r="AP385" s="26"/>
      <c r="AS385" s="26"/>
      <c r="AV385" s="26"/>
      <c r="AY385" s="26"/>
      <c r="BB385" s="26"/>
      <c r="BE385" s="26"/>
      <c r="BH385" s="26"/>
      <c r="BK385" s="26"/>
      <c r="BN385" s="26"/>
      <c r="BQ385" s="26"/>
      <c r="BT385" s="26"/>
    </row>
    <row r="386">
      <c r="I386" s="32"/>
      <c r="J386" s="26"/>
      <c r="K386" s="26"/>
      <c r="N386" s="26"/>
      <c r="O386" s="26"/>
      <c r="R386" s="26"/>
      <c r="S386" s="26"/>
      <c r="V386" s="26"/>
      <c r="W386" s="26"/>
      <c r="Z386" s="26"/>
      <c r="AA386" s="26"/>
      <c r="AD386" s="26"/>
      <c r="AG386" s="26"/>
      <c r="AJ386" s="26"/>
      <c r="AM386" s="26"/>
      <c r="AP386" s="26"/>
      <c r="AS386" s="26"/>
      <c r="AV386" s="26"/>
      <c r="AY386" s="26"/>
      <c r="BB386" s="26"/>
      <c r="BE386" s="26"/>
      <c r="BH386" s="26"/>
      <c r="BK386" s="26"/>
      <c r="BN386" s="26"/>
      <c r="BQ386" s="26"/>
      <c r="BT386" s="26"/>
    </row>
    <row r="387">
      <c r="I387" s="32"/>
      <c r="J387" s="26"/>
      <c r="K387" s="26"/>
      <c r="N387" s="26"/>
      <c r="O387" s="26"/>
      <c r="R387" s="26"/>
      <c r="S387" s="26"/>
      <c r="V387" s="26"/>
      <c r="W387" s="26"/>
      <c r="Z387" s="26"/>
      <c r="AA387" s="26"/>
      <c r="AD387" s="26"/>
      <c r="AG387" s="26"/>
      <c r="AJ387" s="26"/>
      <c r="AM387" s="26"/>
      <c r="AP387" s="26"/>
      <c r="AS387" s="26"/>
      <c r="AV387" s="26"/>
      <c r="AY387" s="26"/>
      <c r="BB387" s="26"/>
      <c r="BE387" s="26"/>
      <c r="BH387" s="26"/>
      <c r="BK387" s="26"/>
      <c r="BN387" s="26"/>
      <c r="BQ387" s="26"/>
      <c r="BT387" s="26"/>
    </row>
    <row r="388">
      <c r="I388" s="32"/>
      <c r="J388" s="26"/>
      <c r="K388" s="26"/>
      <c r="N388" s="26"/>
      <c r="O388" s="26"/>
      <c r="R388" s="26"/>
      <c r="S388" s="26"/>
      <c r="V388" s="26"/>
      <c r="W388" s="26"/>
      <c r="Z388" s="26"/>
      <c r="AA388" s="26"/>
      <c r="AD388" s="26"/>
      <c r="AG388" s="26"/>
      <c r="AJ388" s="26"/>
      <c r="AM388" s="26"/>
      <c r="AP388" s="26"/>
      <c r="AS388" s="26"/>
      <c r="AV388" s="26"/>
      <c r="AY388" s="26"/>
      <c r="BB388" s="26"/>
      <c r="BE388" s="26"/>
      <c r="BH388" s="26"/>
      <c r="BK388" s="26"/>
      <c r="BN388" s="26"/>
      <c r="BQ388" s="26"/>
      <c r="BT388" s="26"/>
    </row>
    <row r="389">
      <c r="I389" s="32"/>
      <c r="J389" s="26"/>
      <c r="K389" s="26"/>
      <c r="N389" s="26"/>
      <c r="O389" s="26"/>
      <c r="R389" s="26"/>
      <c r="S389" s="26"/>
      <c r="V389" s="26"/>
      <c r="W389" s="26"/>
      <c r="Z389" s="26"/>
      <c r="AA389" s="26"/>
      <c r="AD389" s="26"/>
      <c r="AG389" s="26"/>
      <c r="AJ389" s="26"/>
      <c r="AM389" s="26"/>
      <c r="AP389" s="26"/>
      <c r="AS389" s="26"/>
      <c r="AV389" s="26"/>
      <c r="AY389" s="26"/>
      <c r="BB389" s="26"/>
      <c r="BE389" s="26"/>
      <c r="BH389" s="26"/>
      <c r="BK389" s="26"/>
      <c r="BN389" s="26"/>
      <c r="BQ389" s="26"/>
      <c r="BT389" s="26"/>
    </row>
    <row r="390">
      <c r="I390" s="32"/>
      <c r="J390" s="26"/>
      <c r="K390" s="26"/>
      <c r="N390" s="26"/>
      <c r="O390" s="26"/>
      <c r="R390" s="26"/>
      <c r="S390" s="26"/>
      <c r="V390" s="26"/>
      <c r="W390" s="26"/>
      <c r="Z390" s="26"/>
      <c r="AA390" s="26"/>
      <c r="AD390" s="26"/>
      <c r="AG390" s="26"/>
      <c r="AJ390" s="26"/>
      <c r="AM390" s="26"/>
      <c r="AP390" s="26"/>
      <c r="AS390" s="26"/>
      <c r="AV390" s="26"/>
      <c r="AY390" s="26"/>
      <c r="BB390" s="26"/>
      <c r="BE390" s="26"/>
      <c r="BH390" s="26"/>
      <c r="BK390" s="26"/>
      <c r="BN390" s="26"/>
      <c r="BQ390" s="26"/>
      <c r="BT390" s="26"/>
    </row>
    <row r="391">
      <c r="I391" s="32"/>
      <c r="J391" s="26"/>
      <c r="K391" s="26"/>
      <c r="N391" s="26"/>
      <c r="O391" s="26"/>
      <c r="R391" s="26"/>
      <c r="S391" s="26"/>
      <c r="V391" s="26"/>
      <c r="W391" s="26"/>
      <c r="Z391" s="26"/>
      <c r="AA391" s="26"/>
      <c r="AD391" s="26"/>
      <c r="AG391" s="26"/>
      <c r="AJ391" s="26"/>
      <c r="AM391" s="26"/>
      <c r="AP391" s="26"/>
      <c r="AS391" s="26"/>
      <c r="AV391" s="26"/>
      <c r="AY391" s="26"/>
      <c r="BB391" s="26"/>
      <c r="BE391" s="26"/>
      <c r="BH391" s="26"/>
      <c r="BK391" s="26"/>
      <c r="BN391" s="26"/>
      <c r="BQ391" s="26"/>
      <c r="BT391" s="26"/>
    </row>
    <row r="392">
      <c r="I392" s="32"/>
      <c r="J392" s="26"/>
      <c r="K392" s="26"/>
      <c r="N392" s="26"/>
      <c r="O392" s="26"/>
      <c r="R392" s="26"/>
      <c r="S392" s="26"/>
      <c r="V392" s="26"/>
      <c r="W392" s="26"/>
      <c r="Z392" s="26"/>
      <c r="AA392" s="26"/>
      <c r="AD392" s="26"/>
      <c r="AG392" s="26"/>
      <c r="AJ392" s="26"/>
      <c r="AM392" s="26"/>
      <c r="AP392" s="26"/>
      <c r="AS392" s="26"/>
      <c r="AV392" s="26"/>
      <c r="AY392" s="26"/>
      <c r="BB392" s="26"/>
      <c r="BE392" s="26"/>
      <c r="BH392" s="26"/>
      <c r="BK392" s="26"/>
      <c r="BN392" s="26"/>
      <c r="BQ392" s="26"/>
      <c r="BT392" s="26"/>
    </row>
    <row r="393">
      <c r="I393" s="32"/>
      <c r="J393" s="26"/>
      <c r="K393" s="26"/>
      <c r="N393" s="26"/>
      <c r="O393" s="26"/>
      <c r="R393" s="26"/>
      <c r="S393" s="26"/>
      <c r="V393" s="26"/>
      <c r="W393" s="26"/>
      <c r="Z393" s="26"/>
      <c r="AA393" s="26"/>
      <c r="AD393" s="26"/>
      <c r="AG393" s="26"/>
      <c r="AJ393" s="26"/>
      <c r="AM393" s="26"/>
      <c r="AP393" s="26"/>
      <c r="AS393" s="26"/>
      <c r="AV393" s="26"/>
      <c r="AY393" s="26"/>
      <c r="BB393" s="26"/>
      <c r="BE393" s="26"/>
      <c r="BH393" s="26"/>
      <c r="BK393" s="26"/>
      <c r="BN393" s="26"/>
      <c r="BQ393" s="26"/>
      <c r="BT393" s="26"/>
    </row>
    <row r="394">
      <c r="I394" s="32"/>
      <c r="J394" s="26"/>
      <c r="K394" s="26"/>
      <c r="N394" s="26"/>
      <c r="O394" s="26"/>
      <c r="R394" s="26"/>
      <c r="S394" s="26"/>
      <c r="V394" s="26"/>
      <c r="W394" s="26"/>
      <c r="Z394" s="26"/>
      <c r="AA394" s="26"/>
      <c r="AD394" s="26"/>
      <c r="AG394" s="26"/>
      <c r="AJ394" s="26"/>
      <c r="AM394" s="26"/>
      <c r="AP394" s="26"/>
      <c r="AS394" s="26"/>
      <c r="AV394" s="26"/>
      <c r="AY394" s="26"/>
      <c r="BB394" s="26"/>
      <c r="BE394" s="26"/>
      <c r="BH394" s="26"/>
      <c r="BK394" s="26"/>
      <c r="BN394" s="26"/>
      <c r="BQ394" s="26"/>
      <c r="BT394" s="26"/>
    </row>
    <row r="395">
      <c r="I395" s="32"/>
      <c r="J395" s="26"/>
      <c r="K395" s="26"/>
      <c r="N395" s="26"/>
      <c r="O395" s="26"/>
      <c r="R395" s="26"/>
      <c r="S395" s="26"/>
      <c r="V395" s="26"/>
      <c r="W395" s="26"/>
      <c r="Z395" s="26"/>
      <c r="AA395" s="26"/>
      <c r="AD395" s="26"/>
      <c r="AG395" s="26"/>
      <c r="AJ395" s="26"/>
      <c r="AM395" s="26"/>
      <c r="AP395" s="26"/>
      <c r="AS395" s="26"/>
      <c r="AV395" s="26"/>
      <c r="AY395" s="26"/>
      <c r="BB395" s="26"/>
      <c r="BE395" s="26"/>
      <c r="BH395" s="26"/>
      <c r="BK395" s="26"/>
      <c r="BN395" s="26"/>
      <c r="BQ395" s="26"/>
      <c r="BT395" s="26"/>
    </row>
    <row r="396">
      <c r="I396" s="32"/>
      <c r="J396" s="26"/>
      <c r="K396" s="26"/>
      <c r="N396" s="26"/>
      <c r="O396" s="26"/>
      <c r="R396" s="26"/>
      <c r="S396" s="26"/>
      <c r="V396" s="26"/>
      <c r="W396" s="26"/>
      <c r="Z396" s="26"/>
      <c r="AA396" s="26"/>
      <c r="AD396" s="26"/>
      <c r="AG396" s="26"/>
      <c r="AJ396" s="26"/>
      <c r="AM396" s="26"/>
      <c r="AP396" s="26"/>
      <c r="AS396" s="26"/>
      <c r="AV396" s="26"/>
      <c r="AY396" s="26"/>
      <c r="BB396" s="26"/>
      <c r="BE396" s="26"/>
      <c r="BH396" s="26"/>
      <c r="BK396" s="26"/>
      <c r="BN396" s="26"/>
      <c r="BQ396" s="26"/>
      <c r="BT396" s="26"/>
    </row>
    <row r="397">
      <c r="I397" s="32"/>
      <c r="J397" s="26"/>
      <c r="K397" s="26"/>
      <c r="N397" s="26"/>
      <c r="O397" s="26"/>
      <c r="R397" s="26"/>
      <c r="S397" s="26"/>
      <c r="V397" s="26"/>
      <c r="W397" s="26"/>
      <c r="Z397" s="26"/>
      <c r="AA397" s="26"/>
      <c r="AD397" s="26"/>
      <c r="AG397" s="26"/>
      <c r="AJ397" s="26"/>
      <c r="AM397" s="26"/>
      <c r="AP397" s="26"/>
      <c r="AS397" s="26"/>
      <c r="AV397" s="26"/>
      <c r="AY397" s="26"/>
      <c r="BB397" s="26"/>
      <c r="BE397" s="26"/>
      <c r="BH397" s="26"/>
      <c r="BK397" s="26"/>
      <c r="BN397" s="26"/>
      <c r="BQ397" s="26"/>
      <c r="BT397" s="26"/>
    </row>
    <row r="398">
      <c r="I398" s="32"/>
      <c r="J398" s="26"/>
      <c r="K398" s="26"/>
      <c r="N398" s="26"/>
      <c r="O398" s="26"/>
      <c r="R398" s="26"/>
      <c r="S398" s="26"/>
      <c r="V398" s="26"/>
      <c r="W398" s="26"/>
      <c r="Z398" s="26"/>
      <c r="AA398" s="26"/>
      <c r="AD398" s="26"/>
      <c r="AG398" s="26"/>
      <c r="AJ398" s="26"/>
      <c r="AM398" s="26"/>
      <c r="AP398" s="26"/>
      <c r="AS398" s="26"/>
      <c r="AV398" s="26"/>
      <c r="AY398" s="26"/>
      <c r="BB398" s="26"/>
      <c r="BE398" s="26"/>
      <c r="BH398" s="26"/>
      <c r="BK398" s="26"/>
      <c r="BN398" s="26"/>
      <c r="BQ398" s="26"/>
      <c r="BT398" s="26"/>
    </row>
    <row r="399">
      <c r="I399" s="32"/>
      <c r="J399" s="26"/>
      <c r="K399" s="26"/>
      <c r="N399" s="26"/>
      <c r="O399" s="26"/>
      <c r="R399" s="26"/>
      <c r="S399" s="26"/>
      <c r="V399" s="26"/>
      <c r="W399" s="26"/>
      <c r="Z399" s="26"/>
      <c r="AA399" s="26"/>
      <c r="AD399" s="26"/>
      <c r="AG399" s="26"/>
      <c r="AJ399" s="26"/>
      <c r="AM399" s="26"/>
      <c r="AP399" s="26"/>
      <c r="AS399" s="26"/>
      <c r="AV399" s="26"/>
      <c r="AY399" s="26"/>
      <c r="BB399" s="26"/>
      <c r="BE399" s="26"/>
      <c r="BH399" s="26"/>
      <c r="BK399" s="26"/>
      <c r="BN399" s="26"/>
      <c r="BQ399" s="26"/>
      <c r="BT399" s="26"/>
    </row>
    <row r="400">
      <c r="I400" s="32"/>
      <c r="J400" s="26"/>
      <c r="K400" s="26"/>
      <c r="N400" s="26"/>
      <c r="O400" s="26"/>
      <c r="R400" s="26"/>
      <c r="S400" s="26"/>
      <c r="V400" s="26"/>
      <c r="W400" s="26"/>
      <c r="Z400" s="26"/>
      <c r="AA400" s="26"/>
      <c r="AD400" s="26"/>
      <c r="AG400" s="26"/>
      <c r="AJ400" s="26"/>
      <c r="AM400" s="26"/>
      <c r="AP400" s="26"/>
      <c r="AS400" s="26"/>
      <c r="AV400" s="26"/>
      <c r="AY400" s="26"/>
      <c r="BB400" s="26"/>
      <c r="BE400" s="26"/>
      <c r="BH400" s="26"/>
      <c r="BK400" s="26"/>
      <c r="BN400" s="26"/>
      <c r="BQ400" s="26"/>
      <c r="BT400" s="26"/>
    </row>
    <row r="401">
      <c r="I401" s="32"/>
      <c r="J401" s="26"/>
      <c r="K401" s="26"/>
      <c r="N401" s="26"/>
      <c r="O401" s="26"/>
      <c r="R401" s="26"/>
      <c r="S401" s="26"/>
      <c r="V401" s="26"/>
      <c r="W401" s="26"/>
      <c r="Z401" s="26"/>
      <c r="AA401" s="26"/>
      <c r="AD401" s="26"/>
      <c r="AG401" s="26"/>
      <c r="AJ401" s="26"/>
      <c r="AM401" s="26"/>
      <c r="AP401" s="26"/>
      <c r="AS401" s="26"/>
      <c r="AV401" s="26"/>
      <c r="AY401" s="26"/>
      <c r="BB401" s="26"/>
      <c r="BE401" s="26"/>
      <c r="BH401" s="26"/>
      <c r="BK401" s="26"/>
      <c r="BN401" s="26"/>
      <c r="BQ401" s="26"/>
      <c r="BT401" s="26"/>
    </row>
    <row r="402">
      <c r="I402" s="32"/>
      <c r="J402" s="26"/>
      <c r="K402" s="26"/>
      <c r="N402" s="26"/>
      <c r="O402" s="26"/>
      <c r="R402" s="26"/>
      <c r="S402" s="26"/>
      <c r="V402" s="26"/>
      <c r="W402" s="26"/>
      <c r="Z402" s="26"/>
      <c r="AA402" s="26"/>
      <c r="AD402" s="26"/>
      <c r="AG402" s="26"/>
      <c r="AJ402" s="26"/>
      <c r="AM402" s="26"/>
      <c r="AP402" s="26"/>
      <c r="AS402" s="26"/>
      <c r="AV402" s="26"/>
      <c r="AY402" s="26"/>
      <c r="BB402" s="26"/>
      <c r="BE402" s="26"/>
      <c r="BH402" s="26"/>
      <c r="BK402" s="26"/>
      <c r="BN402" s="26"/>
      <c r="BQ402" s="26"/>
      <c r="BT402" s="26"/>
    </row>
    <row r="403">
      <c r="I403" s="32"/>
      <c r="J403" s="26"/>
      <c r="K403" s="26"/>
      <c r="N403" s="26"/>
      <c r="O403" s="26"/>
      <c r="R403" s="26"/>
      <c r="S403" s="26"/>
      <c r="V403" s="26"/>
      <c r="W403" s="26"/>
      <c r="Z403" s="26"/>
      <c r="AA403" s="26"/>
      <c r="AD403" s="26"/>
      <c r="AG403" s="26"/>
      <c r="AJ403" s="26"/>
      <c r="AM403" s="26"/>
      <c r="AP403" s="26"/>
      <c r="AS403" s="26"/>
      <c r="AV403" s="26"/>
      <c r="AY403" s="26"/>
      <c r="BB403" s="26"/>
      <c r="BE403" s="26"/>
      <c r="BH403" s="26"/>
      <c r="BK403" s="26"/>
      <c r="BN403" s="26"/>
      <c r="BQ403" s="26"/>
      <c r="BT403" s="26"/>
    </row>
    <row r="404">
      <c r="I404" s="32"/>
      <c r="J404" s="26"/>
      <c r="K404" s="26"/>
      <c r="N404" s="26"/>
      <c r="O404" s="26"/>
      <c r="R404" s="26"/>
      <c r="S404" s="26"/>
      <c r="V404" s="26"/>
      <c r="W404" s="26"/>
      <c r="Z404" s="26"/>
      <c r="AA404" s="26"/>
      <c r="AD404" s="26"/>
      <c r="AG404" s="26"/>
      <c r="AJ404" s="26"/>
      <c r="AM404" s="26"/>
      <c r="AP404" s="26"/>
      <c r="AS404" s="26"/>
      <c r="AV404" s="26"/>
      <c r="AY404" s="26"/>
      <c r="BB404" s="26"/>
      <c r="BE404" s="26"/>
      <c r="BH404" s="26"/>
      <c r="BK404" s="26"/>
      <c r="BN404" s="26"/>
      <c r="BQ404" s="26"/>
      <c r="BT404" s="26"/>
    </row>
    <row r="405">
      <c r="I405" s="32"/>
      <c r="J405" s="26"/>
      <c r="K405" s="26"/>
      <c r="N405" s="26"/>
      <c r="O405" s="26"/>
      <c r="R405" s="26"/>
      <c r="S405" s="26"/>
      <c r="V405" s="26"/>
      <c r="W405" s="26"/>
      <c r="Z405" s="26"/>
      <c r="AA405" s="26"/>
      <c r="AD405" s="26"/>
      <c r="AG405" s="26"/>
      <c r="AJ405" s="26"/>
      <c r="AM405" s="26"/>
      <c r="AP405" s="26"/>
      <c r="AS405" s="26"/>
      <c r="AV405" s="26"/>
      <c r="AY405" s="26"/>
      <c r="BB405" s="26"/>
      <c r="BE405" s="26"/>
      <c r="BH405" s="26"/>
      <c r="BK405" s="26"/>
      <c r="BN405" s="26"/>
      <c r="BQ405" s="26"/>
      <c r="BT405" s="26"/>
    </row>
    <row r="406">
      <c r="I406" s="32"/>
      <c r="J406" s="26"/>
      <c r="K406" s="26"/>
      <c r="N406" s="26"/>
      <c r="O406" s="26"/>
      <c r="R406" s="26"/>
      <c r="S406" s="26"/>
      <c r="V406" s="26"/>
      <c r="W406" s="26"/>
      <c r="Z406" s="26"/>
      <c r="AA406" s="26"/>
      <c r="AD406" s="26"/>
      <c r="AG406" s="26"/>
      <c r="AJ406" s="26"/>
      <c r="AM406" s="26"/>
      <c r="AP406" s="26"/>
      <c r="AS406" s="26"/>
      <c r="AV406" s="26"/>
      <c r="AY406" s="26"/>
      <c r="BB406" s="26"/>
      <c r="BE406" s="26"/>
      <c r="BH406" s="26"/>
      <c r="BK406" s="26"/>
      <c r="BN406" s="26"/>
      <c r="BQ406" s="26"/>
      <c r="BT406" s="26"/>
    </row>
    <row r="407">
      <c r="I407" s="32"/>
      <c r="J407" s="26"/>
      <c r="K407" s="26"/>
      <c r="N407" s="26"/>
      <c r="O407" s="26"/>
      <c r="R407" s="26"/>
      <c r="S407" s="26"/>
      <c r="V407" s="26"/>
      <c r="W407" s="26"/>
      <c r="Z407" s="26"/>
      <c r="AA407" s="26"/>
      <c r="AD407" s="26"/>
      <c r="AG407" s="26"/>
      <c r="AJ407" s="26"/>
      <c r="AM407" s="26"/>
      <c r="AP407" s="26"/>
      <c r="AS407" s="26"/>
      <c r="AV407" s="26"/>
      <c r="AY407" s="26"/>
      <c r="BB407" s="26"/>
      <c r="BE407" s="26"/>
      <c r="BH407" s="26"/>
      <c r="BK407" s="26"/>
      <c r="BN407" s="26"/>
      <c r="BQ407" s="26"/>
      <c r="BT407" s="26"/>
    </row>
    <row r="408">
      <c r="I408" s="32"/>
      <c r="J408" s="26"/>
      <c r="K408" s="26"/>
      <c r="N408" s="26"/>
      <c r="O408" s="26"/>
      <c r="R408" s="26"/>
      <c r="S408" s="26"/>
      <c r="V408" s="26"/>
      <c r="W408" s="26"/>
      <c r="Z408" s="26"/>
      <c r="AA408" s="26"/>
      <c r="AD408" s="26"/>
      <c r="AG408" s="26"/>
      <c r="AJ408" s="26"/>
      <c r="AM408" s="26"/>
      <c r="AP408" s="26"/>
      <c r="AS408" s="26"/>
      <c r="AV408" s="26"/>
      <c r="AY408" s="26"/>
      <c r="BB408" s="26"/>
      <c r="BE408" s="26"/>
      <c r="BH408" s="26"/>
      <c r="BK408" s="26"/>
      <c r="BN408" s="26"/>
      <c r="BQ408" s="26"/>
      <c r="BT408" s="26"/>
    </row>
    <row r="409">
      <c r="I409" s="32"/>
      <c r="J409" s="26"/>
      <c r="K409" s="26"/>
      <c r="N409" s="26"/>
      <c r="O409" s="26"/>
      <c r="R409" s="26"/>
      <c r="S409" s="26"/>
      <c r="V409" s="26"/>
      <c r="W409" s="26"/>
      <c r="Z409" s="26"/>
      <c r="AA409" s="26"/>
      <c r="AD409" s="26"/>
      <c r="AG409" s="26"/>
      <c r="AJ409" s="26"/>
      <c r="AM409" s="26"/>
      <c r="AP409" s="26"/>
      <c r="AS409" s="26"/>
      <c r="AV409" s="26"/>
      <c r="AY409" s="26"/>
      <c r="BB409" s="26"/>
      <c r="BE409" s="26"/>
      <c r="BH409" s="26"/>
      <c r="BK409" s="26"/>
      <c r="BN409" s="26"/>
      <c r="BQ409" s="26"/>
      <c r="BT409" s="26"/>
    </row>
    <row r="410">
      <c r="I410" s="32"/>
      <c r="J410" s="26"/>
      <c r="K410" s="26"/>
      <c r="N410" s="26"/>
      <c r="O410" s="26"/>
      <c r="R410" s="26"/>
      <c r="S410" s="26"/>
      <c r="V410" s="26"/>
      <c r="W410" s="26"/>
      <c r="Z410" s="26"/>
      <c r="AA410" s="26"/>
      <c r="AD410" s="26"/>
      <c r="AG410" s="26"/>
      <c r="AJ410" s="26"/>
      <c r="AM410" s="26"/>
      <c r="AP410" s="26"/>
      <c r="AS410" s="26"/>
      <c r="AV410" s="26"/>
      <c r="AY410" s="26"/>
      <c r="BB410" s="26"/>
      <c r="BE410" s="26"/>
      <c r="BH410" s="26"/>
      <c r="BK410" s="26"/>
      <c r="BN410" s="26"/>
      <c r="BQ410" s="26"/>
      <c r="BT410" s="26"/>
    </row>
    <row r="411">
      <c r="I411" s="32"/>
      <c r="J411" s="26"/>
      <c r="K411" s="26"/>
      <c r="N411" s="26"/>
      <c r="O411" s="26"/>
      <c r="R411" s="26"/>
      <c r="S411" s="26"/>
      <c r="V411" s="26"/>
      <c r="W411" s="26"/>
      <c r="Z411" s="26"/>
      <c r="AA411" s="26"/>
      <c r="AD411" s="26"/>
      <c r="AG411" s="26"/>
      <c r="AJ411" s="26"/>
      <c r="AM411" s="26"/>
      <c r="AP411" s="26"/>
      <c r="AS411" s="26"/>
      <c r="AV411" s="26"/>
      <c r="AY411" s="26"/>
      <c r="BB411" s="26"/>
      <c r="BE411" s="26"/>
      <c r="BH411" s="26"/>
      <c r="BK411" s="26"/>
      <c r="BN411" s="26"/>
      <c r="BQ411" s="26"/>
      <c r="BT411" s="26"/>
    </row>
    <row r="412">
      <c r="I412" s="32"/>
      <c r="J412" s="26"/>
      <c r="K412" s="26"/>
      <c r="N412" s="26"/>
      <c r="O412" s="26"/>
      <c r="R412" s="26"/>
      <c r="S412" s="26"/>
      <c r="V412" s="26"/>
      <c r="W412" s="26"/>
      <c r="Z412" s="26"/>
      <c r="AA412" s="26"/>
      <c r="AD412" s="26"/>
      <c r="AG412" s="26"/>
      <c r="AJ412" s="26"/>
      <c r="AM412" s="26"/>
      <c r="AP412" s="26"/>
      <c r="AS412" s="26"/>
      <c r="AV412" s="26"/>
      <c r="AY412" s="26"/>
      <c r="BB412" s="26"/>
      <c r="BE412" s="26"/>
      <c r="BH412" s="26"/>
      <c r="BK412" s="26"/>
      <c r="BN412" s="26"/>
      <c r="BQ412" s="26"/>
      <c r="BT412" s="26"/>
    </row>
    <row r="413">
      <c r="I413" s="32"/>
      <c r="J413" s="26"/>
      <c r="K413" s="26"/>
      <c r="N413" s="26"/>
      <c r="O413" s="26"/>
      <c r="R413" s="26"/>
      <c r="S413" s="26"/>
      <c r="V413" s="26"/>
      <c r="W413" s="26"/>
      <c r="Z413" s="26"/>
      <c r="AA413" s="26"/>
      <c r="AD413" s="26"/>
      <c r="AG413" s="26"/>
      <c r="AJ413" s="26"/>
      <c r="AM413" s="26"/>
      <c r="AP413" s="26"/>
      <c r="AS413" s="26"/>
      <c r="AV413" s="26"/>
      <c r="AY413" s="26"/>
      <c r="BB413" s="26"/>
      <c r="BE413" s="26"/>
      <c r="BH413" s="26"/>
      <c r="BK413" s="26"/>
      <c r="BN413" s="26"/>
      <c r="BQ413" s="26"/>
      <c r="BT413" s="26"/>
    </row>
    <row r="414">
      <c r="I414" s="32"/>
      <c r="J414" s="26"/>
      <c r="K414" s="26"/>
      <c r="N414" s="26"/>
      <c r="O414" s="26"/>
      <c r="R414" s="26"/>
      <c r="S414" s="26"/>
      <c r="V414" s="26"/>
      <c r="W414" s="26"/>
      <c r="Z414" s="26"/>
      <c r="AA414" s="26"/>
      <c r="AD414" s="26"/>
      <c r="AG414" s="26"/>
      <c r="AJ414" s="26"/>
      <c r="AM414" s="26"/>
      <c r="AP414" s="26"/>
      <c r="AS414" s="26"/>
      <c r="AV414" s="26"/>
      <c r="AY414" s="26"/>
      <c r="BB414" s="26"/>
      <c r="BE414" s="26"/>
      <c r="BH414" s="26"/>
      <c r="BK414" s="26"/>
      <c r="BN414" s="26"/>
      <c r="BQ414" s="26"/>
      <c r="BT414" s="26"/>
    </row>
    <row r="415">
      <c r="I415" s="32"/>
      <c r="J415" s="26"/>
      <c r="K415" s="26"/>
      <c r="N415" s="26"/>
      <c r="O415" s="26"/>
      <c r="R415" s="26"/>
      <c r="S415" s="26"/>
      <c r="V415" s="26"/>
      <c r="W415" s="26"/>
      <c r="Z415" s="26"/>
      <c r="AA415" s="26"/>
      <c r="AD415" s="26"/>
      <c r="AG415" s="26"/>
      <c r="AJ415" s="26"/>
      <c r="AM415" s="26"/>
      <c r="AP415" s="26"/>
      <c r="AS415" s="26"/>
      <c r="AV415" s="26"/>
      <c r="AY415" s="26"/>
      <c r="BB415" s="26"/>
      <c r="BE415" s="26"/>
      <c r="BH415" s="26"/>
      <c r="BK415" s="26"/>
      <c r="BN415" s="26"/>
      <c r="BQ415" s="26"/>
      <c r="BT415" s="26"/>
    </row>
    <row r="416">
      <c r="I416" s="32"/>
      <c r="J416" s="26"/>
      <c r="K416" s="26"/>
      <c r="N416" s="26"/>
      <c r="O416" s="26"/>
      <c r="R416" s="26"/>
      <c r="S416" s="26"/>
      <c r="V416" s="26"/>
      <c r="W416" s="26"/>
      <c r="Z416" s="26"/>
      <c r="AA416" s="26"/>
      <c r="AD416" s="26"/>
      <c r="AG416" s="26"/>
      <c r="AJ416" s="26"/>
      <c r="AM416" s="26"/>
      <c r="AP416" s="26"/>
      <c r="AS416" s="26"/>
      <c r="AV416" s="26"/>
      <c r="AY416" s="26"/>
      <c r="BB416" s="26"/>
      <c r="BE416" s="26"/>
      <c r="BH416" s="26"/>
      <c r="BK416" s="26"/>
      <c r="BN416" s="26"/>
      <c r="BQ416" s="26"/>
      <c r="BT416" s="26"/>
    </row>
    <row r="417">
      <c r="I417" s="32"/>
      <c r="J417" s="26"/>
      <c r="K417" s="26"/>
      <c r="N417" s="26"/>
      <c r="O417" s="26"/>
      <c r="R417" s="26"/>
      <c r="S417" s="26"/>
      <c r="V417" s="26"/>
      <c r="W417" s="26"/>
      <c r="Z417" s="26"/>
      <c r="AA417" s="26"/>
      <c r="AD417" s="26"/>
      <c r="AG417" s="26"/>
      <c r="AJ417" s="26"/>
      <c r="AM417" s="26"/>
      <c r="AP417" s="26"/>
      <c r="AS417" s="26"/>
      <c r="AV417" s="26"/>
      <c r="AY417" s="26"/>
      <c r="BB417" s="26"/>
      <c r="BE417" s="26"/>
      <c r="BH417" s="26"/>
      <c r="BK417" s="26"/>
      <c r="BN417" s="26"/>
      <c r="BQ417" s="26"/>
      <c r="BT417" s="26"/>
    </row>
    <row r="418">
      <c r="I418" s="32"/>
      <c r="J418" s="26"/>
      <c r="K418" s="26"/>
      <c r="N418" s="26"/>
      <c r="O418" s="26"/>
      <c r="R418" s="26"/>
      <c r="S418" s="26"/>
      <c r="V418" s="26"/>
      <c r="W418" s="26"/>
      <c r="Z418" s="26"/>
      <c r="AA418" s="26"/>
      <c r="AD418" s="26"/>
      <c r="AG418" s="26"/>
      <c r="AJ418" s="26"/>
      <c r="AM418" s="26"/>
      <c r="AP418" s="26"/>
      <c r="AS418" s="26"/>
      <c r="AV418" s="26"/>
      <c r="AY418" s="26"/>
      <c r="BB418" s="26"/>
      <c r="BE418" s="26"/>
      <c r="BH418" s="26"/>
      <c r="BK418" s="26"/>
      <c r="BN418" s="26"/>
      <c r="BQ418" s="26"/>
      <c r="BT418" s="26"/>
    </row>
    <row r="419">
      <c r="I419" s="32"/>
      <c r="J419" s="26"/>
      <c r="K419" s="26"/>
      <c r="N419" s="26"/>
      <c r="O419" s="26"/>
      <c r="R419" s="26"/>
      <c r="S419" s="26"/>
      <c r="V419" s="26"/>
      <c r="W419" s="26"/>
      <c r="Z419" s="26"/>
      <c r="AA419" s="26"/>
      <c r="AD419" s="26"/>
      <c r="AG419" s="26"/>
      <c r="AJ419" s="26"/>
      <c r="AM419" s="26"/>
      <c r="AP419" s="26"/>
      <c r="AS419" s="26"/>
      <c r="AV419" s="26"/>
      <c r="AY419" s="26"/>
      <c r="BB419" s="26"/>
      <c r="BE419" s="26"/>
      <c r="BH419" s="26"/>
      <c r="BK419" s="26"/>
      <c r="BN419" s="26"/>
      <c r="BQ419" s="26"/>
      <c r="BT419" s="26"/>
    </row>
    <row r="420">
      <c r="I420" s="32"/>
      <c r="J420" s="26"/>
      <c r="K420" s="26"/>
      <c r="N420" s="26"/>
      <c r="O420" s="26"/>
      <c r="R420" s="26"/>
      <c r="S420" s="26"/>
      <c r="V420" s="26"/>
      <c r="W420" s="26"/>
      <c r="Z420" s="26"/>
      <c r="AA420" s="26"/>
      <c r="AD420" s="26"/>
      <c r="AG420" s="26"/>
      <c r="AJ420" s="26"/>
      <c r="AM420" s="26"/>
      <c r="AP420" s="26"/>
      <c r="AS420" s="26"/>
      <c r="AV420" s="26"/>
      <c r="AY420" s="26"/>
      <c r="BB420" s="26"/>
      <c r="BE420" s="26"/>
      <c r="BH420" s="26"/>
      <c r="BK420" s="26"/>
      <c r="BN420" s="26"/>
      <c r="BQ420" s="26"/>
      <c r="BT420" s="26"/>
    </row>
    <row r="421">
      <c r="I421" s="32"/>
      <c r="J421" s="26"/>
      <c r="K421" s="26"/>
      <c r="N421" s="26"/>
      <c r="O421" s="26"/>
      <c r="R421" s="26"/>
      <c r="S421" s="26"/>
      <c r="V421" s="26"/>
      <c r="W421" s="26"/>
      <c r="Z421" s="26"/>
      <c r="AA421" s="26"/>
      <c r="AD421" s="26"/>
      <c r="AG421" s="26"/>
      <c r="AJ421" s="26"/>
      <c r="AM421" s="26"/>
      <c r="AP421" s="26"/>
      <c r="AS421" s="26"/>
      <c r="AV421" s="26"/>
      <c r="AY421" s="26"/>
      <c r="BB421" s="26"/>
      <c r="BE421" s="26"/>
      <c r="BH421" s="26"/>
      <c r="BK421" s="26"/>
      <c r="BN421" s="26"/>
      <c r="BQ421" s="26"/>
      <c r="BT421" s="26"/>
    </row>
    <row r="422">
      <c r="I422" s="32"/>
      <c r="J422" s="26"/>
      <c r="K422" s="26"/>
      <c r="N422" s="26"/>
      <c r="O422" s="26"/>
      <c r="R422" s="26"/>
      <c r="S422" s="26"/>
      <c r="V422" s="26"/>
      <c r="W422" s="26"/>
      <c r="Z422" s="26"/>
      <c r="AA422" s="26"/>
      <c r="AD422" s="26"/>
      <c r="AG422" s="26"/>
      <c r="AJ422" s="26"/>
      <c r="AM422" s="26"/>
      <c r="AP422" s="26"/>
      <c r="AS422" s="26"/>
      <c r="AV422" s="26"/>
      <c r="AY422" s="26"/>
      <c r="BB422" s="26"/>
      <c r="BE422" s="26"/>
      <c r="BH422" s="26"/>
      <c r="BK422" s="26"/>
      <c r="BN422" s="26"/>
      <c r="BQ422" s="26"/>
      <c r="BT422" s="26"/>
    </row>
    <row r="423">
      <c r="I423" s="32"/>
      <c r="J423" s="26"/>
      <c r="K423" s="26"/>
      <c r="N423" s="26"/>
      <c r="O423" s="26"/>
      <c r="R423" s="26"/>
      <c r="S423" s="26"/>
      <c r="V423" s="26"/>
      <c r="W423" s="26"/>
      <c r="Z423" s="26"/>
      <c r="AA423" s="26"/>
      <c r="AD423" s="26"/>
      <c r="AG423" s="26"/>
      <c r="AJ423" s="26"/>
      <c r="AM423" s="26"/>
      <c r="AP423" s="26"/>
      <c r="AS423" s="26"/>
      <c r="AV423" s="26"/>
      <c r="AY423" s="26"/>
      <c r="BB423" s="26"/>
      <c r="BE423" s="26"/>
      <c r="BH423" s="26"/>
      <c r="BK423" s="26"/>
      <c r="BN423" s="26"/>
      <c r="BQ423" s="26"/>
      <c r="BT423" s="26"/>
    </row>
    <row r="424">
      <c r="I424" s="32"/>
      <c r="J424" s="26"/>
      <c r="K424" s="26"/>
      <c r="N424" s="26"/>
      <c r="O424" s="26"/>
      <c r="R424" s="26"/>
      <c r="S424" s="26"/>
      <c r="V424" s="26"/>
      <c r="W424" s="26"/>
      <c r="Z424" s="26"/>
      <c r="AA424" s="26"/>
      <c r="AD424" s="26"/>
      <c r="AG424" s="26"/>
      <c r="AJ424" s="26"/>
      <c r="AM424" s="26"/>
      <c r="AP424" s="26"/>
      <c r="AS424" s="26"/>
      <c r="AV424" s="26"/>
      <c r="AY424" s="26"/>
      <c r="BB424" s="26"/>
      <c r="BE424" s="26"/>
      <c r="BH424" s="26"/>
      <c r="BK424" s="26"/>
      <c r="BN424" s="26"/>
      <c r="BQ424" s="26"/>
      <c r="BT424" s="26"/>
    </row>
    <row r="425">
      <c r="I425" s="32"/>
      <c r="J425" s="26"/>
      <c r="K425" s="26"/>
      <c r="N425" s="26"/>
      <c r="O425" s="26"/>
      <c r="R425" s="26"/>
      <c r="S425" s="26"/>
      <c r="V425" s="26"/>
      <c r="W425" s="26"/>
      <c r="Z425" s="26"/>
      <c r="AA425" s="26"/>
      <c r="AD425" s="26"/>
      <c r="AG425" s="26"/>
      <c r="AJ425" s="26"/>
      <c r="AM425" s="26"/>
      <c r="AP425" s="26"/>
      <c r="AS425" s="26"/>
      <c r="AV425" s="26"/>
      <c r="AY425" s="26"/>
      <c r="BB425" s="26"/>
      <c r="BE425" s="26"/>
      <c r="BH425" s="26"/>
      <c r="BK425" s="26"/>
      <c r="BN425" s="26"/>
      <c r="BQ425" s="26"/>
      <c r="BT425" s="26"/>
    </row>
    <row r="426">
      <c r="I426" s="32"/>
      <c r="J426" s="26"/>
      <c r="K426" s="26"/>
      <c r="N426" s="26"/>
      <c r="O426" s="26"/>
      <c r="R426" s="26"/>
      <c r="S426" s="26"/>
      <c r="V426" s="26"/>
      <c r="W426" s="26"/>
      <c r="Z426" s="26"/>
      <c r="AA426" s="26"/>
      <c r="AD426" s="26"/>
      <c r="AG426" s="26"/>
      <c r="AJ426" s="26"/>
      <c r="AM426" s="26"/>
      <c r="AP426" s="26"/>
      <c r="AS426" s="26"/>
      <c r="AV426" s="26"/>
      <c r="AY426" s="26"/>
      <c r="BB426" s="26"/>
      <c r="BE426" s="26"/>
      <c r="BH426" s="26"/>
      <c r="BK426" s="26"/>
      <c r="BN426" s="26"/>
      <c r="BQ426" s="26"/>
      <c r="BT426" s="26"/>
    </row>
    <row r="427">
      <c r="I427" s="32"/>
      <c r="J427" s="26"/>
      <c r="K427" s="26"/>
      <c r="N427" s="26"/>
      <c r="O427" s="26"/>
      <c r="R427" s="26"/>
      <c r="S427" s="26"/>
      <c r="V427" s="26"/>
      <c r="W427" s="26"/>
      <c r="Z427" s="26"/>
      <c r="AA427" s="26"/>
      <c r="AD427" s="26"/>
      <c r="AG427" s="26"/>
      <c r="AJ427" s="26"/>
      <c r="AM427" s="26"/>
      <c r="AP427" s="26"/>
      <c r="AS427" s="26"/>
      <c r="AV427" s="26"/>
      <c r="AY427" s="26"/>
      <c r="BB427" s="26"/>
      <c r="BE427" s="26"/>
      <c r="BH427" s="26"/>
      <c r="BK427" s="26"/>
      <c r="BN427" s="26"/>
      <c r="BQ427" s="26"/>
      <c r="BT427" s="26"/>
    </row>
    <row r="428">
      <c r="I428" s="32"/>
      <c r="J428" s="26"/>
      <c r="K428" s="26"/>
      <c r="N428" s="26"/>
      <c r="O428" s="26"/>
      <c r="R428" s="26"/>
      <c r="S428" s="26"/>
      <c r="V428" s="26"/>
      <c r="W428" s="26"/>
      <c r="Z428" s="26"/>
      <c r="AA428" s="26"/>
      <c r="AD428" s="26"/>
      <c r="AG428" s="26"/>
      <c r="AJ428" s="26"/>
      <c r="AM428" s="26"/>
      <c r="AP428" s="26"/>
      <c r="AS428" s="26"/>
      <c r="AV428" s="26"/>
      <c r="AY428" s="26"/>
      <c r="BB428" s="26"/>
      <c r="BE428" s="26"/>
      <c r="BH428" s="26"/>
      <c r="BK428" s="26"/>
      <c r="BN428" s="26"/>
      <c r="BQ428" s="26"/>
      <c r="BT428" s="26"/>
    </row>
    <row r="429">
      <c r="I429" s="32"/>
      <c r="J429" s="26"/>
      <c r="K429" s="26"/>
      <c r="N429" s="26"/>
      <c r="O429" s="26"/>
      <c r="R429" s="26"/>
      <c r="S429" s="26"/>
      <c r="V429" s="26"/>
      <c r="W429" s="26"/>
      <c r="Z429" s="26"/>
      <c r="AA429" s="26"/>
      <c r="AD429" s="26"/>
      <c r="AG429" s="26"/>
      <c r="AJ429" s="26"/>
      <c r="AM429" s="26"/>
      <c r="AP429" s="26"/>
      <c r="AS429" s="26"/>
      <c r="AV429" s="26"/>
      <c r="AY429" s="26"/>
      <c r="BB429" s="26"/>
      <c r="BE429" s="26"/>
      <c r="BH429" s="26"/>
      <c r="BK429" s="26"/>
      <c r="BN429" s="26"/>
      <c r="BQ429" s="26"/>
      <c r="BT429" s="26"/>
    </row>
    <row r="430">
      <c r="I430" s="32"/>
      <c r="J430" s="26"/>
      <c r="K430" s="26"/>
      <c r="N430" s="26"/>
      <c r="O430" s="26"/>
      <c r="R430" s="26"/>
      <c r="S430" s="26"/>
      <c r="V430" s="26"/>
      <c r="W430" s="26"/>
      <c r="Z430" s="26"/>
      <c r="AA430" s="26"/>
      <c r="AD430" s="26"/>
      <c r="AG430" s="26"/>
      <c r="AJ430" s="26"/>
      <c r="AM430" s="26"/>
      <c r="AP430" s="26"/>
      <c r="AS430" s="26"/>
      <c r="AV430" s="26"/>
      <c r="AY430" s="26"/>
      <c r="BB430" s="26"/>
      <c r="BE430" s="26"/>
      <c r="BH430" s="26"/>
      <c r="BK430" s="26"/>
      <c r="BN430" s="26"/>
      <c r="BQ430" s="26"/>
      <c r="BT430" s="26"/>
    </row>
    <row r="431">
      <c r="I431" s="32"/>
      <c r="J431" s="26"/>
      <c r="K431" s="26"/>
      <c r="N431" s="26"/>
      <c r="O431" s="26"/>
      <c r="R431" s="26"/>
      <c r="S431" s="26"/>
      <c r="V431" s="26"/>
      <c r="W431" s="26"/>
      <c r="Z431" s="26"/>
      <c r="AA431" s="26"/>
      <c r="AD431" s="26"/>
      <c r="AG431" s="26"/>
      <c r="AJ431" s="26"/>
      <c r="AM431" s="26"/>
      <c r="AP431" s="26"/>
      <c r="AS431" s="26"/>
      <c r="AV431" s="26"/>
      <c r="AY431" s="26"/>
      <c r="BB431" s="26"/>
      <c r="BE431" s="26"/>
      <c r="BH431" s="26"/>
      <c r="BK431" s="26"/>
      <c r="BN431" s="26"/>
      <c r="BQ431" s="26"/>
      <c r="BT431" s="26"/>
    </row>
    <row r="432">
      <c r="I432" s="32"/>
      <c r="J432" s="26"/>
      <c r="K432" s="26"/>
      <c r="N432" s="26"/>
      <c r="O432" s="26"/>
      <c r="R432" s="26"/>
      <c r="S432" s="26"/>
      <c r="V432" s="26"/>
      <c r="W432" s="26"/>
      <c r="Z432" s="26"/>
      <c r="AA432" s="26"/>
      <c r="AD432" s="26"/>
      <c r="AG432" s="26"/>
      <c r="AJ432" s="26"/>
      <c r="AM432" s="26"/>
      <c r="AP432" s="26"/>
      <c r="AS432" s="26"/>
      <c r="AV432" s="26"/>
      <c r="AY432" s="26"/>
      <c r="BB432" s="26"/>
      <c r="BE432" s="26"/>
      <c r="BH432" s="26"/>
      <c r="BK432" s="26"/>
      <c r="BN432" s="26"/>
      <c r="BQ432" s="26"/>
      <c r="BT432" s="26"/>
    </row>
    <row r="433">
      <c r="I433" s="32"/>
      <c r="J433" s="26"/>
      <c r="K433" s="26"/>
      <c r="N433" s="26"/>
      <c r="O433" s="26"/>
      <c r="R433" s="26"/>
      <c r="S433" s="26"/>
      <c r="V433" s="26"/>
      <c r="W433" s="26"/>
      <c r="Z433" s="26"/>
      <c r="AA433" s="26"/>
      <c r="AD433" s="26"/>
      <c r="AG433" s="26"/>
      <c r="AJ433" s="26"/>
      <c r="AM433" s="26"/>
      <c r="AP433" s="26"/>
      <c r="AS433" s="26"/>
      <c r="AV433" s="26"/>
      <c r="AY433" s="26"/>
      <c r="BB433" s="26"/>
      <c r="BE433" s="26"/>
      <c r="BH433" s="26"/>
      <c r="BK433" s="26"/>
      <c r="BN433" s="26"/>
      <c r="BQ433" s="26"/>
      <c r="BT433" s="26"/>
    </row>
    <row r="434">
      <c r="I434" s="32"/>
      <c r="J434" s="26"/>
      <c r="K434" s="26"/>
      <c r="N434" s="26"/>
      <c r="O434" s="26"/>
      <c r="R434" s="26"/>
      <c r="S434" s="26"/>
      <c r="V434" s="26"/>
      <c r="W434" s="26"/>
      <c r="Z434" s="26"/>
      <c r="AA434" s="26"/>
      <c r="AD434" s="26"/>
      <c r="AG434" s="26"/>
      <c r="AJ434" s="26"/>
      <c r="AM434" s="26"/>
      <c r="AP434" s="26"/>
      <c r="AS434" s="26"/>
      <c r="AV434" s="26"/>
      <c r="AY434" s="26"/>
      <c r="BB434" s="26"/>
      <c r="BE434" s="26"/>
      <c r="BH434" s="26"/>
      <c r="BK434" s="26"/>
      <c r="BN434" s="26"/>
      <c r="BQ434" s="26"/>
      <c r="BT434" s="26"/>
    </row>
    <row r="435">
      <c r="I435" s="32"/>
      <c r="J435" s="26"/>
      <c r="K435" s="26"/>
      <c r="N435" s="26"/>
      <c r="O435" s="26"/>
      <c r="R435" s="26"/>
      <c r="S435" s="26"/>
      <c r="V435" s="26"/>
      <c r="W435" s="26"/>
      <c r="Z435" s="26"/>
      <c r="AA435" s="26"/>
      <c r="AD435" s="26"/>
      <c r="AG435" s="26"/>
      <c r="AJ435" s="26"/>
      <c r="AM435" s="26"/>
      <c r="AP435" s="26"/>
      <c r="AS435" s="26"/>
      <c r="AV435" s="26"/>
      <c r="AY435" s="26"/>
      <c r="BB435" s="26"/>
      <c r="BE435" s="26"/>
      <c r="BH435" s="26"/>
      <c r="BK435" s="26"/>
      <c r="BN435" s="26"/>
      <c r="BQ435" s="26"/>
      <c r="BT435" s="26"/>
    </row>
    <row r="436">
      <c r="I436" s="32"/>
      <c r="J436" s="26"/>
      <c r="K436" s="26"/>
      <c r="N436" s="26"/>
      <c r="O436" s="26"/>
      <c r="R436" s="26"/>
      <c r="S436" s="26"/>
      <c r="V436" s="26"/>
      <c r="W436" s="26"/>
      <c r="Z436" s="26"/>
      <c r="AA436" s="26"/>
      <c r="AD436" s="26"/>
      <c r="AG436" s="26"/>
      <c r="AJ436" s="26"/>
      <c r="AM436" s="26"/>
      <c r="AP436" s="26"/>
      <c r="AS436" s="26"/>
      <c r="AV436" s="26"/>
      <c r="AY436" s="26"/>
      <c r="BB436" s="26"/>
      <c r="BE436" s="26"/>
      <c r="BH436" s="26"/>
      <c r="BK436" s="26"/>
      <c r="BN436" s="26"/>
      <c r="BQ436" s="26"/>
      <c r="BT436" s="26"/>
    </row>
    <row r="437">
      <c r="I437" s="32"/>
      <c r="J437" s="26"/>
      <c r="K437" s="26"/>
      <c r="N437" s="26"/>
      <c r="O437" s="26"/>
      <c r="R437" s="26"/>
      <c r="S437" s="26"/>
      <c r="V437" s="26"/>
      <c r="W437" s="26"/>
      <c r="Z437" s="26"/>
      <c r="AA437" s="26"/>
      <c r="AD437" s="26"/>
      <c r="AG437" s="26"/>
      <c r="AJ437" s="26"/>
      <c r="AM437" s="26"/>
      <c r="AP437" s="26"/>
      <c r="AS437" s="26"/>
      <c r="AV437" s="26"/>
      <c r="AY437" s="26"/>
      <c r="BB437" s="26"/>
      <c r="BE437" s="26"/>
      <c r="BH437" s="26"/>
      <c r="BK437" s="26"/>
      <c r="BN437" s="26"/>
      <c r="BQ437" s="26"/>
      <c r="BT437" s="26"/>
    </row>
    <row r="438">
      <c r="I438" s="32"/>
      <c r="J438" s="26"/>
      <c r="K438" s="26"/>
      <c r="N438" s="26"/>
      <c r="O438" s="26"/>
      <c r="R438" s="26"/>
      <c r="S438" s="26"/>
      <c r="V438" s="26"/>
      <c r="W438" s="26"/>
      <c r="Z438" s="26"/>
      <c r="AA438" s="26"/>
      <c r="AD438" s="26"/>
      <c r="AG438" s="26"/>
      <c r="AJ438" s="26"/>
      <c r="AM438" s="26"/>
      <c r="AP438" s="26"/>
      <c r="AS438" s="26"/>
      <c r="AV438" s="26"/>
      <c r="AY438" s="26"/>
      <c r="BB438" s="26"/>
      <c r="BE438" s="26"/>
      <c r="BH438" s="26"/>
      <c r="BK438" s="26"/>
      <c r="BN438" s="26"/>
      <c r="BQ438" s="26"/>
      <c r="BT438" s="26"/>
    </row>
    <row r="439">
      <c r="I439" s="32"/>
      <c r="J439" s="26"/>
      <c r="K439" s="26"/>
      <c r="N439" s="26"/>
      <c r="O439" s="26"/>
      <c r="R439" s="26"/>
      <c r="S439" s="26"/>
      <c r="V439" s="26"/>
      <c r="W439" s="26"/>
      <c r="Z439" s="26"/>
      <c r="AA439" s="26"/>
      <c r="AD439" s="26"/>
      <c r="AG439" s="26"/>
      <c r="AJ439" s="26"/>
      <c r="AM439" s="26"/>
      <c r="AP439" s="26"/>
      <c r="AS439" s="26"/>
      <c r="AV439" s="26"/>
      <c r="AY439" s="26"/>
      <c r="BB439" s="26"/>
      <c r="BE439" s="26"/>
      <c r="BH439" s="26"/>
      <c r="BK439" s="26"/>
      <c r="BN439" s="26"/>
      <c r="BQ439" s="26"/>
      <c r="BT439" s="26"/>
    </row>
    <row r="440">
      <c r="I440" s="32"/>
      <c r="J440" s="26"/>
      <c r="K440" s="26"/>
      <c r="N440" s="26"/>
      <c r="O440" s="26"/>
      <c r="R440" s="26"/>
      <c r="S440" s="26"/>
      <c r="V440" s="26"/>
      <c r="W440" s="26"/>
      <c r="Z440" s="26"/>
      <c r="AA440" s="26"/>
      <c r="AD440" s="26"/>
      <c r="AG440" s="26"/>
      <c r="AJ440" s="26"/>
      <c r="AM440" s="26"/>
      <c r="AP440" s="26"/>
      <c r="AS440" s="26"/>
      <c r="AV440" s="26"/>
      <c r="AY440" s="26"/>
      <c r="BB440" s="26"/>
      <c r="BE440" s="26"/>
      <c r="BH440" s="26"/>
      <c r="BK440" s="26"/>
      <c r="BN440" s="26"/>
      <c r="BQ440" s="26"/>
      <c r="BT440" s="26"/>
    </row>
    <row r="441">
      <c r="I441" s="32"/>
      <c r="J441" s="26"/>
      <c r="K441" s="26"/>
      <c r="N441" s="26"/>
      <c r="O441" s="26"/>
      <c r="R441" s="26"/>
      <c r="S441" s="26"/>
      <c r="V441" s="26"/>
      <c r="W441" s="26"/>
      <c r="Z441" s="26"/>
      <c r="AA441" s="26"/>
      <c r="AD441" s="26"/>
      <c r="AG441" s="26"/>
      <c r="AJ441" s="26"/>
      <c r="AM441" s="26"/>
      <c r="AP441" s="26"/>
      <c r="AS441" s="26"/>
      <c r="AV441" s="26"/>
      <c r="AY441" s="26"/>
      <c r="BB441" s="26"/>
      <c r="BE441" s="26"/>
      <c r="BH441" s="26"/>
      <c r="BK441" s="26"/>
      <c r="BN441" s="26"/>
      <c r="BQ441" s="26"/>
      <c r="BT441" s="26"/>
    </row>
    <row r="442">
      <c r="I442" s="32"/>
      <c r="J442" s="26"/>
      <c r="K442" s="26"/>
      <c r="N442" s="26"/>
      <c r="O442" s="26"/>
      <c r="R442" s="26"/>
      <c r="S442" s="26"/>
      <c r="V442" s="26"/>
      <c r="W442" s="26"/>
      <c r="Z442" s="26"/>
      <c r="AA442" s="26"/>
      <c r="AD442" s="26"/>
      <c r="AG442" s="26"/>
      <c r="AJ442" s="26"/>
      <c r="AM442" s="26"/>
      <c r="AP442" s="26"/>
      <c r="AS442" s="26"/>
      <c r="AV442" s="26"/>
      <c r="AY442" s="26"/>
      <c r="BB442" s="26"/>
      <c r="BE442" s="26"/>
      <c r="BH442" s="26"/>
      <c r="BK442" s="26"/>
      <c r="BN442" s="26"/>
      <c r="BQ442" s="26"/>
      <c r="BT442" s="26"/>
    </row>
    <row r="443">
      <c r="I443" s="32"/>
      <c r="J443" s="26"/>
      <c r="K443" s="26"/>
      <c r="N443" s="26"/>
      <c r="O443" s="26"/>
      <c r="R443" s="26"/>
      <c r="S443" s="26"/>
      <c r="V443" s="26"/>
      <c r="W443" s="26"/>
      <c r="Z443" s="26"/>
      <c r="AA443" s="26"/>
      <c r="AD443" s="26"/>
      <c r="AG443" s="26"/>
      <c r="AJ443" s="26"/>
      <c r="AM443" s="26"/>
      <c r="AP443" s="26"/>
      <c r="AS443" s="26"/>
      <c r="AV443" s="26"/>
      <c r="AY443" s="26"/>
      <c r="BB443" s="26"/>
      <c r="BE443" s="26"/>
      <c r="BH443" s="26"/>
      <c r="BK443" s="26"/>
      <c r="BN443" s="26"/>
      <c r="BQ443" s="26"/>
      <c r="BT443" s="26"/>
    </row>
    <row r="444">
      <c r="I444" s="32"/>
      <c r="J444" s="26"/>
      <c r="K444" s="26"/>
      <c r="N444" s="26"/>
      <c r="O444" s="26"/>
      <c r="R444" s="26"/>
      <c r="S444" s="26"/>
      <c r="V444" s="26"/>
      <c r="W444" s="26"/>
      <c r="Z444" s="26"/>
      <c r="AA444" s="26"/>
      <c r="AD444" s="26"/>
      <c r="AG444" s="26"/>
      <c r="AJ444" s="26"/>
      <c r="AM444" s="26"/>
      <c r="AP444" s="26"/>
      <c r="AS444" s="26"/>
      <c r="AV444" s="26"/>
      <c r="AY444" s="26"/>
      <c r="BB444" s="26"/>
      <c r="BE444" s="26"/>
      <c r="BH444" s="26"/>
      <c r="BK444" s="26"/>
      <c r="BN444" s="26"/>
      <c r="BQ444" s="26"/>
      <c r="BT444" s="26"/>
    </row>
    <row r="445">
      <c r="I445" s="32"/>
      <c r="J445" s="26"/>
      <c r="K445" s="26"/>
      <c r="N445" s="26"/>
      <c r="O445" s="26"/>
      <c r="R445" s="26"/>
      <c r="S445" s="26"/>
      <c r="V445" s="26"/>
      <c r="W445" s="26"/>
      <c r="Z445" s="26"/>
      <c r="AA445" s="26"/>
      <c r="AD445" s="26"/>
      <c r="AG445" s="26"/>
      <c r="AJ445" s="26"/>
      <c r="AM445" s="26"/>
      <c r="AP445" s="26"/>
      <c r="AS445" s="26"/>
      <c r="AV445" s="26"/>
      <c r="AY445" s="26"/>
      <c r="BB445" s="26"/>
      <c r="BE445" s="26"/>
      <c r="BH445" s="26"/>
      <c r="BK445" s="26"/>
      <c r="BN445" s="26"/>
      <c r="BQ445" s="26"/>
      <c r="BT445" s="26"/>
    </row>
    <row r="446">
      <c r="I446" s="32"/>
      <c r="J446" s="26"/>
      <c r="K446" s="26"/>
      <c r="N446" s="26"/>
      <c r="O446" s="26"/>
      <c r="R446" s="26"/>
      <c r="S446" s="26"/>
      <c r="V446" s="26"/>
      <c r="W446" s="26"/>
      <c r="Z446" s="26"/>
      <c r="AA446" s="26"/>
      <c r="AD446" s="26"/>
      <c r="AG446" s="26"/>
      <c r="AJ446" s="26"/>
      <c r="AM446" s="26"/>
      <c r="AP446" s="26"/>
      <c r="AS446" s="26"/>
      <c r="AV446" s="26"/>
      <c r="AY446" s="26"/>
      <c r="BB446" s="26"/>
      <c r="BE446" s="26"/>
      <c r="BH446" s="26"/>
      <c r="BK446" s="26"/>
      <c r="BN446" s="26"/>
      <c r="BQ446" s="26"/>
      <c r="BT446" s="26"/>
    </row>
    <row r="447">
      <c r="I447" s="32"/>
      <c r="J447" s="26"/>
      <c r="K447" s="26"/>
      <c r="N447" s="26"/>
      <c r="O447" s="26"/>
      <c r="R447" s="26"/>
      <c r="S447" s="26"/>
      <c r="V447" s="26"/>
      <c r="W447" s="26"/>
      <c r="Z447" s="26"/>
      <c r="AA447" s="26"/>
      <c r="AD447" s="26"/>
      <c r="AG447" s="26"/>
      <c r="AJ447" s="26"/>
      <c r="AM447" s="26"/>
      <c r="AP447" s="26"/>
      <c r="AS447" s="26"/>
      <c r="AV447" s="26"/>
      <c r="AY447" s="26"/>
      <c r="BB447" s="26"/>
      <c r="BE447" s="26"/>
      <c r="BH447" s="26"/>
      <c r="BK447" s="26"/>
      <c r="BN447" s="26"/>
      <c r="BQ447" s="26"/>
      <c r="BT447" s="26"/>
    </row>
    <row r="448">
      <c r="I448" s="32"/>
      <c r="J448" s="26"/>
      <c r="K448" s="26"/>
      <c r="N448" s="26"/>
      <c r="O448" s="26"/>
      <c r="R448" s="26"/>
      <c r="S448" s="26"/>
      <c r="V448" s="26"/>
      <c r="W448" s="26"/>
      <c r="Z448" s="26"/>
      <c r="AA448" s="26"/>
      <c r="AD448" s="26"/>
      <c r="AG448" s="26"/>
      <c r="AJ448" s="26"/>
      <c r="AM448" s="26"/>
      <c r="AP448" s="26"/>
      <c r="AS448" s="26"/>
      <c r="AV448" s="26"/>
      <c r="AY448" s="26"/>
      <c r="BB448" s="26"/>
      <c r="BE448" s="26"/>
      <c r="BH448" s="26"/>
      <c r="BK448" s="26"/>
      <c r="BN448" s="26"/>
      <c r="BQ448" s="26"/>
      <c r="BT448" s="26"/>
    </row>
    <row r="449">
      <c r="I449" s="32"/>
      <c r="J449" s="26"/>
      <c r="K449" s="26"/>
      <c r="N449" s="26"/>
      <c r="O449" s="26"/>
      <c r="R449" s="26"/>
      <c r="S449" s="26"/>
      <c r="V449" s="26"/>
      <c r="W449" s="26"/>
      <c r="Z449" s="26"/>
      <c r="AA449" s="26"/>
      <c r="AD449" s="26"/>
      <c r="AG449" s="26"/>
      <c r="AJ449" s="26"/>
      <c r="AM449" s="26"/>
      <c r="AP449" s="26"/>
      <c r="AS449" s="26"/>
      <c r="AV449" s="26"/>
      <c r="AY449" s="26"/>
      <c r="BB449" s="26"/>
      <c r="BE449" s="26"/>
      <c r="BH449" s="26"/>
      <c r="BK449" s="26"/>
      <c r="BN449" s="26"/>
      <c r="BQ449" s="26"/>
      <c r="BT449" s="26"/>
    </row>
    <row r="450">
      <c r="I450" s="32"/>
      <c r="J450" s="26"/>
      <c r="K450" s="26"/>
      <c r="N450" s="26"/>
      <c r="O450" s="26"/>
      <c r="R450" s="26"/>
      <c r="S450" s="26"/>
      <c r="V450" s="26"/>
      <c r="W450" s="26"/>
      <c r="Z450" s="26"/>
      <c r="AA450" s="26"/>
      <c r="AD450" s="26"/>
      <c r="AG450" s="26"/>
      <c r="AJ450" s="26"/>
      <c r="AM450" s="26"/>
      <c r="AP450" s="26"/>
      <c r="AS450" s="26"/>
      <c r="AV450" s="26"/>
      <c r="AY450" s="26"/>
      <c r="BB450" s="26"/>
      <c r="BE450" s="26"/>
      <c r="BH450" s="26"/>
      <c r="BK450" s="26"/>
      <c r="BN450" s="26"/>
      <c r="BQ450" s="26"/>
      <c r="BT450" s="26"/>
    </row>
    <row r="451">
      <c r="I451" s="32"/>
      <c r="J451" s="26"/>
      <c r="K451" s="26"/>
      <c r="N451" s="26"/>
      <c r="O451" s="26"/>
      <c r="R451" s="26"/>
      <c r="S451" s="26"/>
      <c r="V451" s="26"/>
      <c r="W451" s="26"/>
      <c r="Z451" s="26"/>
      <c r="AA451" s="26"/>
      <c r="AD451" s="26"/>
      <c r="AG451" s="26"/>
      <c r="AJ451" s="26"/>
      <c r="AM451" s="26"/>
      <c r="AP451" s="26"/>
      <c r="AS451" s="26"/>
      <c r="AV451" s="26"/>
      <c r="AY451" s="26"/>
      <c r="BB451" s="26"/>
      <c r="BE451" s="26"/>
      <c r="BH451" s="26"/>
      <c r="BK451" s="26"/>
      <c r="BN451" s="26"/>
      <c r="BQ451" s="26"/>
      <c r="BT451" s="26"/>
    </row>
    <row r="452">
      <c r="I452" s="32"/>
      <c r="J452" s="26"/>
      <c r="K452" s="26"/>
      <c r="N452" s="26"/>
      <c r="O452" s="26"/>
      <c r="R452" s="26"/>
      <c r="S452" s="26"/>
      <c r="V452" s="26"/>
      <c r="W452" s="26"/>
      <c r="Z452" s="26"/>
      <c r="AA452" s="26"/>
      <c r="AD452" s="26"/>
      <c r="AG452" s="26"/>
      <c r="AJ452" s="26"/>
      <c r="AM452" s="26"/>
      <c r="AP452" s="26"/>
      <c r="AS452" s="26"/>
      <c r="AV452" s="26"/>
      <c r="AY452" s="26"/>
      <c r="BB452" s="26"/>
      <c r="BE452" s="26"/>
      <c r="BH452" s="26"/>
      <c r="BK452" s="26"/>
      <c r="BN452" s="26"/>
      <c r="BQ452" s="26"/>
      <c r="BT452" s="26"/>
    </row>
    <row r="453">
      <c r="I453" s="32"/>
      <c r="J453" s="26"/>
      <c r="K453" s="26"/>
      <c r="N453" s="26"/>
      <c r="O453" s="26"/>
      <c r="R453" s="26"/>
      <c r="S453" s="26"/>
      <c r="V453" s="26"/>
      <c r="W453" s="26"/>
      <c r="Z453" s="26"/>
      <c r="AA453" s="26"/>
      <c r="AD453" s="26"/>
      <c r="AG453" s="26"/>
      <c r="AJ453" s="26"/>
      <c r="AM453" s="26"/>
      <c r="AP453" s="26"/>
      <c r="AS453" s="26"/>
      <c r="AV453" s="26"/>
      <c r="AY453" s="26"/>
      <c r="BB453" s="26"/>
      <c r="BE453" s="26"/>
      <c r="BH453" s="26"/>
      <c r="BK453" s="26"/>
      <c r="BN453" s="26"/>
      <c r="BQ453" s="26"/>
      <c r="BT453" s="26"/>
    </row>
    <row r="454">
      <c r="I454" s="32"/>
      <c r="J454" s="26"/>
      <c r="K454" s="26"/>
      <c r="N454" s="26"/>
      <c r="O454" s="26"/>
      <c r="R454" s="26"/>
      <c r="S454" s="26"/>
      <c r="V454" s="26"/>
      <c r="W454" s="26"/>
      <c r="Z454" s="26"/>
      <c r="AA454" s="26"/>
      <c r="AD454" s="26"/>
      <c r="AG454" s="26"/>
      <c r="AJ454" s="26"/>
      <c r="AM454" s="26"/>
      <c r="AP454" s="26"/>
      <c r="AS454" s="26"/>
      <c r="AV454" s="26"/>
      <c r="AY454" s="26"/>
      <c r="BB454" s="26"/>
      <c r="BE454" s="26"/>
      <c r="BH454" s="26"/>
      <c r="BK454" s="26"/>
      <c r="BN454" s="26"/>
      <c r="BQ454" s="26"/>
      <c r="BT454" s="26"/>
    </row>
    <row r="455">
      <c r="I455" s="32"/>
      <c r="J455" s="26"/>
      <c r="K455" s="26"/>
      <c r="N455" s="26"/>
      <c r="O455" s="26"/>
      <c r="R455" s="26"/>
      <c r="S455" s="26"/>
      <c r="V455" s="26"/>
      <c r="W455" s="26"/>
      <c r="Z455" s="26"/>
      <c r="AA455" s="26"/>
      <c r="AD455" s="26"/>
      <c r="AG455" s="26"/>
      <c r="AJ455" s="26"/>
      <c r="AM455" s="26"/>
      <c r="AP455" s="26"/>
      <c r="AS455" s="26"/>
      <c r="AV455" s="26"/>
      <c r="AY455" s="26"/>
      <c r="BB455" s="26"/>
      <c r="BE455" s="26"/>
      <c r="BH455" s="26"/>
      <c r="BK455" s="26"/>
      <c r="BN455" s="26"/>
      <c r="BQ455" s="26"/>
      <c r="BT455" s="26"/>
    </row>
    <row r="456">
      <c r="I456" s="32"/>
      <c r="J456" s="26"/>
      <c r="K456" s="26"/>
      <c r="N456" s="26"/>
      <c r="O456" s="26"/>
      <c r="R456" s="26"/>
      <c r="S456" s="26"/>
      <c r="V456" s="26"/>
      <c r="W456" s="26"/>
      <c r="Z456" s="26"/>
      <c r="AA456" s="26"/>
      <c r="AD456" s="26"/>
      <c r="AG456" s="26"/>
      <c r="AJ456" s="26"/>
      <c r="AM456" s="26"/>
      <c r="AP456" s="26"/>
      <c r="AS456" s="26"/>
      <c r="AV456" s="26"/>
      <c r="AY456" s="26"/>
      <c r="BB456" s="26"/>
      <c r="BE456" s="26"/>
      <c r="BH456" s="26"/>
      <c r="BK456" s="26"/>
      <c r="BN456" s="26"/>
      <c r="BQ456" s="26"/>
      <c r="BT456" s="26"/>
    </row>
    <row r="457">
      <c r="I457" s="32"/>
      <c r="J457" s="26"/>
      <c r="K457" s="26"/>
      <c r="N457" s="26"/>
      <c r="O457" s="26"/>
      <c r="R457" s="26"/>
      <c r="S457" s="26"/>
      <c r="V457" s="26"/>
      <c r="W457" s="26"/>
      <c r="Z457" s="26"/>
      <c r="AA457" s="26"/>
      <c r="AD457" s="26"/>
      <c r="AG457" s="26"/>
      <c r="AJ457" s="26"/>
      <c r="AM457" s="26"/>
      <c r="AP457" s="26"/>
      <c r="AS457" s="26"/>
      <c r="AV457" s="26"/>
      <c r="AY457" s="26"/>
      <c r="BB457" s="26"/>
      <c r="BE457" s="26"/>
      <c r="BH457" s="26"/>
      <c r="BK457" s="26"/>
      <c r="BN457" s="26"/>
      <c r="BQ457" s="26"/>
      <c r="BT457" s="26"/>
    </row>
    <row r="458">
      <c r="I458" s="32"/>
      <c r="J458" s="26"/>
      <c r="K458" s="26"/>
      <c r="N458" s="26"/>
      <c r="O458" s="26"/>
      <c r="R458" s="26"/>
      <c r="S458" s="26"/>
      <c r="V458" s="26"/>
      <c r="W458" s="26"/>
      <c r="Z458" s="26"/>
      <c r="AA458" s="26"/>
      <c r="AD458" s="26"/>
      <c r="AG458" s="26"/>
      <c r="AJ458" s="26"/>
      <c r="AM458" s="26"/>
      <c r="AP458" s="26"/>
      <c r="AS458" s="26"/>
      <c r="AV458" s="26"/>
      <c r="AY458" s="26"/>
      <c r="BB458" s="26"/>
      <c r="BE458" s="26"/>
      <c r="BH458" s="26"/>
      <c r="BK458" s="26"/>
      <c r="BN458" s="26"/>
      <c r="BQ458" s="26"/>
      <c r="BT458" s="26"/>
    </row>
    <row r="459">
      <c r="I459" s="32"/>
      <c r="J459" s="26"/>
      <c r="K459" s="26"/>
      <c r="N459" s="26"/>
      <c r="O459" s="26"/>
      <c r="R459" s="26"/>
      <c r="S459" s="26"/>
      <c r="V459" s="26"/>
      <c r="W459" s="26"/>
      <c r="Z459" s="26"/>
      <c r="AA459" s="26"/>
      <c r="AD459" s="26"/>
      <c r="AG459" s="26"/>
      <c r="AJ459" s="26"/>
      <c r="AM459" s="26"/>
      <c r="AP459" s="26"/>
      <c r="AS459" s="26"/>
      <c r="AV459" s="26"/>
      <c r="AY459" s="26"/>
      <c r="BB459" s="26"/>
      <c r="BE459" s="26"/>
      <c r="BH459" s="26"/>
      <c r="BK459" s="26"/>
      <c r="BN459" s="26"/>
      <c r="BQ459" s="26"/>
      <c r="BT459" s="26"/>
    </row>
    <row r="460">
      <c r="I460" s="32"/>
      <c r="J460" s="26"/>
      <c r="K460" s="26"/>
      <c r="N460" s="26"/>
      <c r="O460" s="26"/>
      <c r="R460" s="26"/>
      <c r="S460" s="26"/>
      <c r="V460" s="26"/>
      <c r="W460" s="26"/>
      <c r="Z460" s="26"/>
      <c r="AA460" s="26"/>
      <c r="AD460" s="26"/>
      <c r="AG460" s="26"/>
      <c r="AJ460" s="26"/>
      <c r="AM460" s="26"/>
      <c r="AP460" s="26"/>
      <c r="AS460" s="26"/>
      <c r="AV460" s="26"/>
      <c r="AY460" s="26"/>
      <c r="BB460" s="26"/>
      <c r="BE460" s="26"/>
      <c r="BH460" s="26"/>
      <c r="BK460" s="26"/>
      <c r="BN460" s="26"/>
      <c r="BQ460" s="26"/>
      <c r="BT460" s="26"/>
    </row>
    <row r="461">
      <c r="I461" s="32"/>
      <c r="J461" s="26"/>
      <c r="K461" s="26"/>
      <c r="N461" s="26"/>
      <c r="O461" s="26"/>
      <c r="R461" s="26"/>
      <c r="S461" s="26"/>
      <c r="V461" s="26"/>
      <c r="W461" s="26"/>
      <c r="Z461" s="26"/>
      <c r="AA461" s="26"/>
      <c r="AD461" s="26"/>
      <c r="AG461" s="26"/>
      <c r="AJ461" s="26"/>
      <c r="AM461" s="26"/>
      <c r="AP461" s="26"/>
      <c r="AS461" s="26"/>
      <c r="AV461" s="26"/>
      <c r="AY461" s="26"/>
      <c r="BB461" s="26"/>
      <c r="BE461" s="26"/>
      <c r="BH461" s="26"/>
      <c r="BK461" s="26"/>
      <c r="BN461" s="26"/>
      <c r="BQ461" s="26"/>
      <c r="BT461" s="26"/>
    </row>
    <row r="462">
      <c r="I462" s="32"/>
      <c r="J462" s="26"/>
      <c r="K462" s="26"/>
      <c r="N462" s="26"/>
      <c r="O462" s="26"/>
      <c r="R462" s="26"/>
      <c r="S462" s="26"/>
      <c r="V462" s="26"/>
      <c r="W462" s="26"/>
      <c r="Z462" s="26"/>
      <c r="AA462" s="26"/>
      <c r="AD462" s="26"/>
      <c r="AG462" s="26"/>
      <c r="AJ462" s="26"/>
      <c r="AM462" s="26"/>
      <c r="AP462" s="26"/>
      <c r="AS462" s="26"/>
      <c r="AV462" s="26"/>
      <c r="AY462" s="26"/>
      <c r="BB462" s="26"/>
      <c r="BE462" s="26"/>
      <c r="BH462" s="26"/>
      <c r="BK462" s="26"/>
      <c r="BN462" s="26"/>
      <c r="BQ462" s="26"/>
      <c r="BT462" s="26"/>
    </row>
    <row r="463">
      <c r="I463" s="32"/>
      <c r="J463" s="26"/>
      <c r="K463" s="26"/>
      <c r="N463" s="26"/>
      <c r="O463" s="26"/>
      <c r="R463" s="26"/>
      <c r="S463" s="26"/>
      <c r="V463" s="26"/>
      <c r="W463" s="26"/>
      <c r="Z463" s="26"/>
      <c r="AA463" s="26"/>
      <c r="AD463" s="26"/>
      <c r="AG463" s="26"/>
      <c r="AJ463" s="26"/>
      <c r="AM463" s="26"/>
      <c r="AP463" s="26"/>
      <c r="AS463" s="26"/>
      <c r="AV463" s="26"/>
      <c r="AY463" s="26"/>
      <c r="BB463" s="26"/>
      <c r="BE463" s="26"/>
      <c r="BH463" s="26"/>
      <c r="BK463" s="26"/>
      <c r="BN463" s="26"/>
      <c r="BQ463" s="26"/>
      <c r="BT463" s="26"/>
    </row>
    <row r="464">
      <c r="I464" s="32"/>
      <c r="J464" s="26"/>
      <c r="K464" s="26"/>
      <c r="N464" s="26"/>
      <c r="O464" s="26"/>
      <c r="R464" s="26"/>
      <c r="S464" s="26"/>
      <c r="V464" s="26"/>
      <c r="W464" s="26"/>
      <c r="Z464" s="26"/>
      <c r="AA464" s="26"/>
      <c r="AD464" s="26"/>
      <c r="AG464" s="26"/>
      <c r="AJ464" s="26"/>
      <c r="AM464" s="26"/>
      <c r="AP464" s="26"/>
      <c r="AS464" s="26"/>
      <c r="AV464" s="26"/>
      <c r="AY464" s="26"/>
      <c r="BB464" s="26"/>
      <c r="BE464" s="26"/>
      <c r="BH464" s="26"/>
      <c r="BK464" s="26"/>
      <c r="BN464" s="26"/>
      <c r="BQ464" s="26"/>
      <c r="BT464" s="26"/>
    </row>
    <row r="465">
      <c r="I465" s="32"/>
      <c r="J465" s="26"/>
      <c r="K465" s="26"/>
      <c r="N465" s="26"/>
      <c r="O465" s="26"/>
      <c r="R465" s="26"/>
      <c r="S465" s="26"/>
      <c r="V465" s="26"/>
      <c r="W465" s="26"/>
      <c r="Z465" s="26"/>
      <c r="AA465" s="26"/>
      <c r="AD465" s="26"/>
      <c r="AG465" s="26"/>
      <c r="AJ465" s="26"/>
      <c r="AM465" s="26"/>
      <c r="AP465" s="26"/>
      <c r="AS465" s="26"/>
      <c r="AV465" s="26"/>
      <c r="AY465" s="26"/>
      <c r="BB465" s="26"/>
      <c r="BE465" s="26"/>
      <c r="BH465" s="26"/>
      <c r="BK465" s="26"/>
      <c r="BN465" s="26"/>
      <c r="BQ465" s="26"/>
      <c r="BT465" s="26"/>
    </row>
    <row r="466">
      <c r="I466" s="32"/>
      <c r="J466" s="26"/>
      <c r="K466" s="26"/>
      <c r="N466" s="26"/>
      <c r="O466" s="26"/>
      <c r="R466" s="26"/>
      <c r="S466" s="26"/>
      <c r="V466" s="26"/>
      <c r="W466" s="26"/>
      <c r="Z466" s="26"/>
      <c r="AA466" s="26"/>
      <c r="AD466" s="26"/>
      <c r="AG466" s="26"/>
      <c r="AJ466" s="26"/>
      <c r="AM466" s="26"/>
      <c r="AP466" s="26"/>
      <c r="AS466" s="26"/>
      <c r="AV466" s="26"/>
      <c r="AY466" s="26"/>
      <c r="BB466" s="26"/>
      <c r="BE466" s="26"/>
      <c r="BH466" s="26"/>
      <c r="BK466" s="26"/>
      <c r="BN466" s="26"/>
      <c r="BQ466" s="26"/>
      <c r="BT466" s="26"/>
    </row>
    <row r="467">
      <c r="I467" s="32"/>
      <c r="J467" s="26"/>
      <c r="K467" s="26"/>
      <c r="N467" s="26"/>
      <c r="O467" s="26"/>
      <c r="R467" s="26"/>
      <c r="S467" s="26"/>
      <c r="V467" s="26"/>
      <c r="W467" s="26"/>
      <c r="Z467" s="26"/>
      <c r="AA467" s="26"/>
      <c r="AD467" s="26"/>
      <c r="AG467" s="26"/>
      <c r="AJ467" s="26"/>
      <c r="AM467" s="26"/>
      <c r="AP467" s="26"/>
      <c r="AS467" s="26"/>
      <c r="AV467" s="26"/>
      <c r="AY467" s="26"/>
      <c r="BB467" s="26"/>
      <c r="BE467" s="26"/>
      <c r="BH467" s="26"/>
      <c r="BK467" s="26"/>
      <c r="BN467" s="26"/>
      <c r="BQ467" s="26"/>
      <c r="BT467" s="26"/>
    </row>
    <row r="468">
      <c r="I468" s="32"/>
      <c r="J468" s="26"/>
      <c r="K468" s="26"/>
      <c r="N468" s="26"/>
      <c r="O468" s="26"/>
      <c r="R468" s="26"/>
      <c r="S468" s="26"/>
      <c r="V468" s="26"/>
      <c r="W468" s="26"/>
      <c r="Z468" s="26"/>
      <c r="AA468" s="26"/>
      <c r="AD468" s="26"/>
      <c r="AG468" s="26"/>
      <c r="AJ468" s="26"/>
      <c r="AM468" s="26"/>
      <c r="AP468" s="26"/>
      <c r="AS468" s="26"/>
      <c r="AV468" s="26"/>
      <c r="AY468" s="26"/>
      <c r="BB468" s="26"/>
      <c r="BE468" s="26"/>
      <c r="BH468" s="26"/>
      <c r="BK468" s="26"/>
      <c r="BN468" s="26"/>
      <c r="BQ468" s="26"/>
      <c r="BT468" s="26"/>
    </row>
    <row r="469">
      <c r="I469" s="32"/>
      <c r="J469" s="26"/>
      <c r="K469" s="26"/>
      <c r="N469" s="26"/>
      <c r="O469" s="26"/>
      <c r="R469" s="26"/>
      <c r="S469" s="26"/>
      <c r="V469" s="26"/>
      <c r="W469" s="26"/>
      <c r="Z469" s="26"/>
      <c r="AA469" s="26"/>
      <c r="AD469" s="26"/>
      <c r="AG469" s="26"/>
      <c r="AJ469" s="26"/>
      <c r="AM469" s="26"/>
      <c r="AP469" s="26"/>
      <c r="AS469" s="26"/>
      <c r="AV469" s="26"/>
      <c r="AY469" s="26"/>
      <c r="BB469" s="26"/>
      <c r="BE469" s="26"/>
      <c r="BH469" s="26"/>
      <c r="BK469" s="26"/>
      <c r="BN469" s="26"/>
      <c r="BQ469" s="26"/>
      <c r="BT469" s="26"/>
    </row>
    <row r="470">
      <c r="I470" s="32"/>
      <c r="J470" s="26"/>
      <c r="K470" s="26"/>
      <c r="N470" s="26"/>
      <c r="O470" s="26"/>
      <c r="R470" s="26"/>
      <c r="S470" s="26"/>
      <c r="V470" s="26"/>
      <c r="W470" s="26"/>
      <c r="Z470" s="26"/>
      <c r="AA470" s="26"/>
      <c r="AD470" s="26"/>
      <c r="AG470" s="26"/>
      <c r="AJ470" s="26"/>
      <c r="AM470" s="26"/>
      <c r="AP470" s="26"/>
      <c r="AS470" s="26"/>
      <c r="AV470" s="26"/>
      <c r="AY470" s="26"/>
      <c r="BB470" s="26"/>
      <c r="BE470" s="26"/>
      <c r="BH470" s="26"/>
      <c r="BK470" s="26"/>
      <c r="BN470" s="26"/>
      <c r="BQ470" s="26"/>
      <c r="BT470" s="26"/>
    </row>
    <row r="471">
      <c r="I471" s="32"/>
      <c r="J471" s="26"/>
      <c r="K471" s="26"/>
      <c r="N471" s="26"/>
      <c r="O471" s="26"/>
      <c r="R471" s="26"/>
      <c r="S471" s="26"/>
      <c r="V471" s="26"/>
      <c r="W471" s="26"/>
      <c r="Z471" s="26"/>
      <c r="AA471" s="26"/>
      <c r="AD471" s="26"/>
      <c r="AG471" s="26"/>
      <c r="AJ471" s="26"/>
      <c r="AM471" s="26"/>
      <c r="AP471" s="26"/>
      <c r="AS471" s="26"/>
      <c r="AV471" s="26"/>
      <c r="AY471" s="26"/>
      <c r="BB471" s="26"/>
      <c r="BE471" s="26"/>
      <c r="BH471" s="26"/>
      <c r="BK471" s="26"/>
      <c r="BN471" s="26"/>
      <c r="BQ471" s="26"/>
      <c r="BT471" s="26"/>
    </row>
    <row r="472">
      <c r="I472" s="32"/>
      <c r="J472" s="26"/>
      <c r="K472" s="26"/>
      <c r="N472" s="26"/>
      <c r="O472" s="26"/>
      <c r="R472" s="26"/>
      <c r="S472" s="26"/>
      <c r="V472" s="26"/>
      <c r="W472" s="26"/>
      <c r="Z472" s="26"/>
      <c r="AA472" s="26"/>
      <c r="AD472" s="26"/>
      <c r="AG472" s="26"/>
      <c r="AJ472" s="26"/>
      <c r="AM472" s="26"/>
      <c r="AP472" s="26"/>
      <c r="AS472" s="26"/>
      <c r="AV472" s="26"/>
      <c r="AY472" s="26"/>
      <c r="BB472" s="26"/>
      <c r="BE472" s="26"/>
      <c r="BH472" s="26"/>
      <c r="BK472" s="26"/>
      <c r="BN472" s="26"/>
      <c r="BQ472" s="26"/>
      <c r="BT472" s="26"/>
    </row>
    <row r="473">
      <c r="I473" s="32"/>
      <c r="J473" s="26"/>
      <c r="K473" s="26"/>
      <c r="N473" s="26"/>
      <c r="O473" s="26"/>
      <c r="R473" s="26"/>
      <c r="S473" s="26"/>
      <c r="V473" s="26"/>
      <c r="W473" s="26"/>
      <c r="Z473" s="26"/>
      <c r="AA473" s="26"/>
      <c r="AD473" s="26"/>
      <c r="AG473" s="26"/>
      <c r="AJ473" s="26"/>
      <c r="AM473" s="26"/>
      <c r="AP473" s="26"/>
      <c r="AS473" s="26"/>
      <c r="AV473" s="26"/>
      <c r="AY473" s="26"/>
      <c r="BB473" s="26"/>
      <c r="BE473" s="26"/>
      <c r="BH473" s="26"/>
      <c r="BK473" s="26"/>
      <c r="BN473" s="26"/>
      <c r="BQ473" s="26"/>
      <c r="BT473" s="26"/>
    </row>
    <row r="474">
      <c r="I474" s="32"/>
      <c r="J474" s="26"/>
      <c r="K474" s="26"/>
      <c r="N474" s="26"/>
      <c r="O474" s="26"/>
      <c r="R474" s="26"/>
      <c r="S474" s="26"/>
      <c r="V474" s="26"/>
      <c r="W474" s="26"/>
      <c r="Z474" s="26"/>
      <c r="AA474" s="26"/>
      <c r="AD474" s="26"/>
      <c r="AG474" s="26"/>
      <c r="AJ474" s="26"/>
      <c r="AM474" s="26"/>
      <c r="AP474" s="26"/>
      <c r="AS474" s="26"/>
      <c r="AV474" s="26"/>
      <c r="AY474" s="26"/>
      <c r="BB474" s="26"/>
      <c r="BE474" s="26"/>
      <c r="BH474" s="26"/>
      <c r="BK474" s="26"/>
      <c r="BN474" s="26"/>
      <c r="BQ474" s="26"/>
      <c r="BT474" s="26"/>
    </row>
    <row r="475">
      <c r="I475" s="32"/>
      <c r="J475" s="26"/>
      <c r="K475" s="26"/>
      <c r="N475" s="26"/>
      <c r="O475" s="26"/>
      <c r="R475" s="26"/>
      <c r="S475" s="26"/>
      <c r="V475" s="26"/>
      <c r="W475" s="26"/>
      <c r="Z475" s="26"/>
      <c r="AA475" s="26"/>
      <c r="AD475" s="26"/>
      <c r="AG475" s="26"/>
      <c r="AJ475" s="26"/>
      <c r="AM475" s="26"/>
      <c r="AP475" s="26"/>
      <c r="AS475" s="26"/>
      <c r="AV475" s="26"/>
      <c r="AY475" s="26"/>
      <c r="BB475" s="26"/>
      <c r="BE475" s="26"/>
      <c r="BH475" s="26"/>
      <c r="BK475" s="26"/>
      <c r="BN475" s="26"/>
      <c r="BQ475" s="26"/>
      <c r="BT475" s="26"/>
    </row>
    <row r="476">
      <c r="I476" s="32"/>
      <c r="J476" s="26"/>
      <c r="K476" s="26"/>
      <c r="N476" s="26"/>
      <c r="O476" s="26"/>
      <c r="R476" s="26"/>
      <c r="S476" s="26"/>
      <c r="V476" s="26"/>
      <c r="W476" s="26"/>
      <c r="Z476" s="26"/>
      <c r="AA476" s="26"/>
      <c r="AD476" s="26"/>
      <c r="AG476" s="26"/>
      <c r="AJ476" s="26"/>
      <c r="AM476" s="26"/>
      <c r="AP476" s="26"/>
      <c r="AS476" s="26"/>
      <c r="AV476" s="26"/>
      <c r="AY476" s="26"/>
      <c r="BB476" s="26"/>
      <c r="BE476" s="26"/>
      <c r="BH476" s="26"/>
      <c r="BK476" s="26"/>
      <c r="BN476" s="26"/>
      <c r="BQ476" s="26"/>
      <c r="BT476" s="26"/>
    </row>
    <row r="477">
      <c r="I477" s="32"/>
      <c r="J477" s="26"/>
      <c r="K477" s="26"/>
      <c r="N477" s="26"/>
      <c r="O477" s="26"/>
      <c r="R477" s="26"/>
      <c r="S477" s="26"/>
      <c r="V477" s="26"/>
      <c r="W477" s="26"/>
      <c r="Z477" s="26"/>
      <c r="AA477" s="26"/>
      <c r="AD477" s="26"/>
      <c r="AG477" s="26"/>
      <c r="AJ477" s="26"/>
      <c r="AM477" s="26"/>
      <c r="AP477" s="26"/>
      <c r="AS477" s="26"/>
      <c r="AV477" s="26"/>
      <c r="AY477" s="26"/>
      <c r="BB477" s="26"/>
      <c r="BE477" s="26"/>
      <c r="BH477" s="26"/>
      <c r="BK477" s="26"/>
      <c r="BN477" s="26"/>
      <c r="BQ477" s="26"/>
      <c r="BT477" s="26"/>
    </row>
    <row r="478">
      <c r="I478" s="32"/>
      <c r="J478" s="26"/>
      <c r="K478" s="26"/>
      <c r="N478" s="26"/>
      <c r="O478" s="26"/>
      <c r="R478" s="26"/>
      <c r="S478" s="26"/>
      <c r="V478" s="26"/>
      <c r="W478" s="26"/>
      <c r="Z478" s="26"/>
      <c r="AA478" s="26"/>
      <c r="AD478" s="26"/>
      <c r="AG478" s="26"/>
      <c r="AJ478" s="26"/>
      <c r="AM478" s="26"/>
      <c r="AP478" s="26"/>
      <c r="AS478" s="26"/>
      <c r="AV478" s="26"/>
      <c r="AY478" s="26"/>
      <c r="BB478" s="26"/>
      <c r="BE478" s="26"/>
      <c r="BH478" s="26"/>
      <c r="BK478" s="26"/>
      <c r="BN478" s="26"/>
      <c r="BQ478" s="26"/>
      <c r="BT478" s="26"/>
    </row>
    <row r="479">
      <c r="I479" s="32"/>
      <c r="J479" s="26"/>
      <c r="K479" s="26"/>
      <c r="N479" s="26"/>
      <c r="O479" s="26"/>
      <c r="R479" s="26"/>
      <c r="S479" s="26"/>
      <c r="V479" s="26"/>
      <c r="W479" s="26"/>
      <c r="Z479" s="26"/>
      <c r="AA479" s="26"/>
      <c r="AD479" s="26"/>
      <c r="AG479" s="26"/>
      <c r="AJ479" s="26"/>
      <c r="AM479" s="26"/>
      <c r="AP479" s="26"/>
      <c r="AS479" s="26"/>
      <c r="AV479" s="26"/>
      <c r="AY479" s="26"/>
      <c r="BB479" s="26"/>
      <c r="BE479" s="26"/>
      <c r="BH479" s="26"/>
      <c r="BK479" s="26"/>
      <c r="BN479" s="26"/>
      <c r="BQ479" s="26"/>
      <c r="BT479" s="26"/>
    </row>
    <row r="480">
      <c r="I480" s="32"/>
      <c r="J480" s="26"/>
      <c r="K480" s="26"/>
      <c r="N480" s="26"/>
      <c r="O480" s="26"/>
      <c r="R480" s="26"/>
      <c r="S480" s="26"/>
      <c r="V480" s="26"/>
      <c r="W480" s="26"/>
      <c r="Z480" s="26"/>
      <c r="AA480" s="26"/>
      <c r="AD480" s="26"/>
      <c r="AG480" s="26"/>
      <c r="AJ480" s="26"/>
      <c r="AM480" s="26"/>
      <c r="AP480" s="26"/>
      <c r="AS480" s="26"/>
      <c r="AV480" s="26"/>
      <c r="AY480" s="26"/>
      <c r="BB480" s="26"/>
      <c r="BE480" s="26"/>
      <c r="BH480" s="26"/>
      <c r="BK480" s="26"/>
      <c r="BN480" s="26"/>
      <c r="BQ480" s="26"/>
      <c r="BT480" s="26"/>
    </row>
    <row r="481">
      <c r="I481" s="32"/>
      <c r="J481" s="26"/>
      <c r="K481" s="26"/>
      <c r="N481" s="26"/>
      <c r="O481" s="26"/>
      <c r="R481" s="26"/>
      <c r="S481" s="26"/>
      <c r="V481" s="26"/>
      <c r="W481" s="26"/>
      <c r="Z481" s="26"/>
      <c r="AA481" s="26"/>
      <c r="AD481" s="26"/>
      <c r="AG481" s="26"/>
      <c r="AJ481" s="26"/>
      <c r="AM481" s="26"/>
      <c r="AP481" s="26"/>
      <c r="AS481" s="26"/>
      <c r="AV481" s="26"/>
      <c r="AY481" s="26"/>
      <c r="BB481" s="26"/>
      <c r="BE481" s="26"/>
      <c r="BH481" s="26"/>
      <c r="BK481" s="26"/>
      <c r="BN481" s="26"/>
      <c r="BQ481" s="26"/>
      <c r="BT481" s="26"/>
    </row>
    <row r="482">
      <c r="I482" s="32"/>
      <c r="J482" s="26"/>
      <c r="K482" s="26"/>
      <c r="N482" s="26"/>
      <c r="O482" s="26"/>
      <c r="R482" s="26"/>
      <c r="S482" s="26"/>
      <c r="V482" s="26"/>
      <c r="W482" s="26"/>
      <c r="Z482" s="26"/>
      <c r="AA482" s="26"/>
      <c r="AD482" s="26"/>
      <c r="AG482" s="26"/>
      <c r="AJ482" s="26"/>
      <c r="AM482" s="26"/>
      <c r="AP482" s="26"/>
      <c r="AS482" s="26"/>
      <c r="AV482" s="26"/>
      <c r="AY482" s="26"/>
      <c r="BB482" s="26"/>
      <c r="BE482" s="26"/>
      <c r="BH482" s="26"/>
      <c r="BK482" s="26"/>
      <c r="BN482" s="26"/>
      <c r="BQ482" s="26"/>
      <c r="BT482" s="26"/>
    </row>
    <row r="483">
      <c r="I483" s="32"/>
      <c r="J483" s="26"/>
      <c r="K483" s="26"/>
      <c r="N483" s="26"/>
      <c r="O483" s="26"/>
      <c r="R483" s="26"/>
      <c r="S483" s="26"/>
      <c r="V483" s="26"/>
      <c r="W483" s="26"/>
      <c r="Z483" s="26"/>
      <c r="AA483" s="26"/>
      <c r="AD483" s="26"/>
      <c r="AG483" s="26"/>
      <c r="AJ483" s="26"/>
      <c r="AM483" s="26"/>
      <c r="AP483" s="26"/>
      <c r="AS483" s="26"/>
      <c r="AV483" s="26"/>
      <c r="AY483" s="26"/>
      <c r="BB483" s="26"/>
      <c r="BE483" s="26"/>
      <c r="BH483" s="26"/>
      <c r="BK483" s="26"/>
      <c r="BN483" s="26"/>
      <c r="BQ483" s="26"/>
      <c r="BT483" s="26"/>
    </row>
    <row r="484">
      <c r="I484" s="32"/>
      <c r="J484" s="26"/>
      <c r="K484" s="26"/>
      <c r="N484" s="26"/>
      <c r="O484" s="26"/>
      <c r="R484" s="26"/>
      <c r="S484" s="26"/>
      <c r="V484" s="26"/>
      <c r="W484" s="26"/>
      <c r="Z484" s="26"/>
      <c r="AA484" s="26"/>
      <c r="AD484" s="26"/>
      <c r="AG484" s="26"/>
      <c r="AJ484" s="26"/>
      <c r="AM484" s="26"/>
      <c r="AP484" s="26"/>
      <c r="AS484" s="26"/>
      <c r="AV484" s="26"/>
      <c r="AY484" s="26"/>
      <c r="BB484" s="26"/>
      <c r="BE484" s="26"/>
      <c r="BH484" s="26"/>
      <c r="BK484" s="26"/>
      <c r="BN484" s="26"/>
      <c r="BQ484" s="26"/>
      <c r="BT484" s="26"/>
    </row>
    <row r="485">
      <c r="I485" s="32"/>
      <c r="J485" s="26"/>
      <c r="K485" s="26"/>
      <c r="N485" s="26"/>
      <c r="O485" s="26"/>
      <c r="R485" s="26"/>
      <c r="S485" s="26"/>
      <c r="V485" s="26"/>
      <c r="W485" s="26"/>
      <c r="Z485" s="26"/>
      <c r="AA485" s="26"/>
      <c r="AD485" s="26"/>
      <c r="AG485" s="26"/>
      <c r="AJ485" s="26"/>
      <c r="AM485" s="26"/>
      <c r="AP485" s="26"/>
      <c r="AS485" s="26"/>
      <c r="AV485" s="26"/>
      <c r="AY485" s="26"/>
      <c r="BB485" s="26"/>
      <c r="BE485" s="26"/>
      <c r="BH485" s="26"/>
      <c r="BK485" s="26"/>
      <c r="BN485" s="26"/>
      <c r="BQ485" s="26"/>
      <c r="BT485" s="26"/>
    </row>
    <row r="486">
      <c r="I486" s="32"/>
      <c r="J486" s="26"/>
      <c r="K486" s="26"/>
      <c r="N486" s="26"/>
      <c r="O486" s="26"/>
      <c r="R486" s="26"/>
      <c r="S486" s="26"/>
      <c r="V486" s="26"/>
      <c r="W486" s="26"/>
      <c r="Z486" s="26"/>
      <c r="AA486" s="26"/>
      <c r="AD486" s="26"/>
      <c r="AG486" s="26"/>
      <c r="AJ486" s="26"/>
      <c r="AM486" s="26"/>
      <c r="AP486" s="26"/>
      <c r="AS486" s="26"/>
      <c r="AV486" s="26"/>
      <c r="AY486" s="26"/>
      <c r="BB486" s="26"/>
      <c r="BE486" s="26"/>
      <c r="BH486" s="26"/>
      <c r="BK486" s="26"/>
      <c r="BN486" s="26"/>
      <c r="BQ486" s="26"/>
      <c r="BT486" s="26"/>
    </row>
    <row r="487">
      <c r="I487" s="32"/>
      <c r="J487" s="26"/>
      <c r="K487" s="26"/>
      <c r="N487" s="26"/>
      <c r="O487" s="26"/>
      <c r="R487" s="26"/>
      <c r="S487" s="26"/>
      <c r="V487" s="26"/>
      <c r="W487" s="26"/>
      <c r="Z487" s="26"/>
      <c r="AA487" s="26"/>
      <c r="AD487" s="26"/>
      <c r="AG487" s="26"/>
      <c r="AJ487" s="26"/>
      <c r="AM487" s="26"/>
      <c r="AP487" s="26"/>
      <c r="AS487" s="26"/>
      <c r="AV487" s="26"/>
      <c r="AY487" s="26"/>
      <c r="BB487" s="26"/>
      <c r="BE487" s="26"/>
      <c r="BH487" s="26"/>
      <c r="BK487" s="26"/>
      <c r="BN487" s="26"/>
      <c r="BQ487" s="26"/>
      <c r="BT487" s="26"/>
    </row>
    <row r="488">
      <c r="I488" s="32"/>
      <c r="J488" s="26"/>
      <c r="K488" s="26"/>
      <c r="N488" s="26"/>
      <c r="O488" s="26"/>
      <c r="R488" s="26"/>
      <c r="S488" s="26"/>
      <c r="V488" s="26"/>
      <c r="W488" s="26"/>
      <c r="Z488" s="26"/>
      <c r="AA488" s="26"/>
      <c r="AD488" s="26"/>
      <c r="AG488" s="26"/>
      <c r="AJ488" s="26"/>
      <c r="AM488" s="26"/>
      <c r="AP488" s="26"/>
      <c r="AS488" s="26"/>
      <c r="AV488" s="26"/>
      <c r="AY488" s="26"/>
      <c r="BB488" s="26"/>
      <c r="BE488" s="26"/>
      <c r="BH488" s="26"/>
      <c r="BK488" s="26"/>
      <c r="BN488" s="26"/>
      <c r="BQ488" s="26"/>
      <c r="BT488" s="26"/>
    </row>
    <row r="489">
      <c r="I489" s="32"/>
      <c r="J489" s="26"/>
      <c r="K489" s="26"/>
      <c r="N489" s="26"/>
      <c r="O489" s="26"/>
      <c r="R489" s="26"/>
      <c r="S489" s="26"/>
      <c r="V489" s="26"/>
      <c r="W489" s="26"/>
      <c r="Z489" s="26"/>
      <c r="AA489" s="26"/>
      <c r="AD489" s="26"/>
      <c r="AG489" s="26"/>
      <c r="AJ489" s="26"/>
      <c r="AM489" s="26"/>
      <c r="AP489" s="26"/>
      <c r="AS489" s="26"/>
      <c r="AV489" s="26"/>
      <c r="AY489" s="26"/>
      <c r="BB489" s="26"/>
      <c r="BE489" s="26"/>
      <c r="BH489" s="26"/>
      <c r="BK489" s="26"/>
      <c r="BN489" s="26"/>
      <c r="BQ489" s="26"/>
      <c r="BT489" s="26"/>
    </row>
    <row r="490">
      <c r="I490" s="32"/>
      <c r="J490" s="26"/>
      <c r="K490" s="26"/>
      <c r="N490" s="26"/>
      <c r="O490" s="26"/>
      <c r="R490" s="26"/>
      <c r="S490" s="26"/>
      <c r="V490" s="26"/>
      <c r="W490" s="26"/>
      <c r="Z490" s="26"/>
      <c r="AA490" s="26"/>
      <c r="AD490" s="26"/>
      <c r="AG490" s="26"/>
      <c r="AJ490" s="26"/>
      <c r="AM490" s="26"/>
      <c r="AP490" s="26"/>
      <c r="AS490" s="26"/>
      <c r="AV490" s="26"/>
      <c r="AY490" s="26"/>
      <c r="BB490" s="26"/>
      <c r="BE490" s="26"/>
      <c r="BH490" s="26"/>
      <c r="BK490" s="26"/>
      <c r="BN490" s="26"/>
      <c r="BQ490" s="26"/>
      <c r="BT490" s="26"/>
    </row>
    <row r="491">
      <c r="I491" s="32"/>
      <c r="J491" s="26"/>
      <c r="K491" s="26"/>
      <c r="N491" s="26"/>
      <c r="O491" s="26"/>
      <c r="R491" s="26"/>
      <c r="S491" s="26"/>
      <c r="V491" s="26"/>
      <c r="W491" s="26"/>
      <c r="Z491" s="26"/>
      <c r="AA491" s="26"/>
      <c r="AD491" s="26"/>
      <c r="AG491" s="26"/>
      <c r="AJ491" s="26"/>
      <c r="AM491" s="26"/>
      <c r="AP491" s="26"/>
      <c r="AS491" s="26"/>
      <c r="AV491" s="26"/>
      <c r="AY491" s="26"/>
      <c r="BB491" s="26"/>
      <c r="BE491" s="26"/>
      <c r="BH491" s="26"/>
      <c r="BK491" s="26"/>
      <c r="BN491" s="26"/>
      <c r="BQ491" s="26"/>
      <c r="BT491" s="26"/>
    </row>
    <row r="492">
      <c r="I492" s="32"/>
      <c r="J492" s="26"/>
      <c r="K492" s="26"/>
      <c r="N492" s="26"/>
      <c r="O492" s="26"/>
      <c r="R492" s="26"/>
      <c r="S492" s="26"/>
      <c r="V492" s="26"/>
      <c r="W492" s="26"/>
      <c r="Z492" s="26"/>
      <c r="AA492" s="26"/>
      <c r="AD492" s="26"/>
      <c r="AG492" s="26"/>
      <c r="AJ492" s="26"/>
      <c r="AM492" s="26"/>
      <c r="AP492" s="26"/>
      <c r="AS492" s="26"/>
      <c r="AV492" s="26"/>
      <c r="AY492" s="26"/>
      <c r="BB492" s="26"/>
      <c r="BE492" s="26"/>
      <c r="BH492" s="26"/>
      <c r="BK492" s="26"/>
      <c r="BN492" s="26"/>
      <c r="BQ492" s="26"/>
      <c r="BT492" s="26"/>
    </row>
    <row r="493">
      <c r="I493" s="32"/>
      <c r="J493" s="26"/>
      <c r="K493" s="26"/>
      <c r="N493" s="26"/>
      <c r="O493" s="26"/>
      <c r="R493" s="26"/>
      <c r="S493" s="26"/>
      <c r="V493" s="26"/>
      <c r="W493" s="26"/>
      <c r="Z493" s="26"/>
      <c r="AA493" s="26"/>
      <c r="AD493" s="26"/>
      <c r="AG493" s="26"/>
      <c r="AJ493" s="26"/>
      <c r="AM493" s="26"/>
      <c r="AP493" s="26"/>
      <c r="AS493" s="26"/>
      <c r="AV493" s="26"/>
      <c r="AY493" s="26"/>
      <c r="BB493" s="26"/>
      <c r="BE493" s="26"/>
      <c r="BH493" s="26"/>
      <c r="BK493" s="26"/>
      <c r="BN493" s="26"/>
      <c r="BQ493" s="26"/>
      <c r="BT493" s="26"/>
    </row>
    <row r="494">
      <c r="I494" s="32"/>
      <c r="J494" s="26"/>
      <c r="K494" s="26"/>
      <c r="N494" s="26"/>
      <c r="O494" s="26"/>
      <c r="R494" s="26"/>
      <c r="S494" s="26"/>
      <c r="V494" s="26"/>
      <c r="W494" s="26"/>
      <c r="Z494" s="26"/>
      <c r="AA494" s="26"/>
      <c r="AD494" s="26"/>
      <c r="AG494" s="26"/>
      <c r="AJ494" s="26"/>
      <c r="AM494" s="26"/>
      <c r="AP494" s="26"/>
      <c r="AS494" s="26"/>
      <c r="AV494" s="26"/>
      <c r="AY494" s="26"/>
      <c r="BB494" s="26"/>
      <c r="BE494" s="26"/>
      <c r="BH494" s="26"/>
      <c r="BK494" s="26"/>
      <c r="BN494" s="26"/>
      <c r="BQ494" s="26"/>
      <c r="BT494" s="26"/>
    </row>
    <row r="495">
      <c r="I495" s="32"/>
      <c r="J495" s="26"/>
      <c r="K495" s="26"/>
      <c r="N495" s="26"/>
      <c r="O495" s="26"/>
      <c r="R495" s="26"/>
      <c r="S495" s="26"/>
      <c r="V495" s="26"/>
      <c r="W495" s="26"/>
      <c r="Z495" s="26"/>
      <c r="AA495" s="26"/>
      <c r="AD495" s="26"/>
      <c r="AG495" s="26"/>
      <c r="AJ495" s="26"/>
      <c r="AM495" s="26"/>
      <c r="AP495" s="26"/>
      <c r="AS495" s="26"/>
      <c r="AV495" s="26"/>
      <c r="AY495" s="26"/>
      <c r="BB495" s="26"/>
      <c r="BE495" s="26"/>
      <c r="BH495" s="26"/>
      <c r="BK495" s="26"/>
      <c r="BN495" s="26"/>
      <c r="BQ495" s="26"/>
      <c r="BT495" s="26"/>
    </row>
    <row r="496">
      <c r="I496" s="32"/>
      <c r="J496" s="26"/>
      <c r="K496" s="26"/>
      <c r="N496" s="26"/>
      <c r="O496" s="26"/>
      <c r="R496" s="26"/>
      <c r="S496" s="26"/>
      <c r="V496" s="26"/>
      <c r="W496" s="26"/>
      <c r="Z496" s="26"/>
      <c r="AA496" s="26"/>
      <c r="AD496" s="26"/>
      <c r="AG496" s="26"/>
      <c r="AJ496" s="26"/>
      <c r="AM496" s="26"/>
      <c r="AP496" s="26"/>
      <c r="AS496" s="26"/>
      <c r="AV496" s="26"/>
      <c r="AY496" s="26"/>
      <c r="BB496" s="26"/>
      <c r="BE496" s="26"/>
      <c r="BH496" s="26"/>
      <c r="BK496" s="26"/>
      <c r="BN496" s="26"/>
      <c r="BQ496" s="26"/>
      <c r="BT496" s="26"/>
    </row>
    <row r="497">
      <c r="I497" s="32"/>
      <c r="J497" s="26"/>
      <c r="K497" s="26"/>
      <c r="N497" s="26"/>
      <c r="O497" s="26"/>
      <c r="R497" s="26"/>
      <c r="S497" s="26"/>
      <c r="V497" s="26"/>
      <c r="W497" s="26"/>
      <c r="Z497" s="26"/>
      <c r="AA497" s="26"/>
      <c r="AD497" s="26"/>
      <c r="AG497" s="26"/>
      <c r="AJ497" s="26"/>
      <c r="AM497" s="26"/>
      <c r="AP497" s="26"/>
      <c r="AS497" s="26"/>
      <c r="AV497" s="26"/>
      <c r="AY497" s="26"/>
      <c r="BB497" s="26"/>
      <c r="BE497" s="26"/>
      <c r="BH497" s="26"/>
      <c r="BK497" s="26"/>
      <c r="BN497" s="26"/>
      <c r="BQ497" s="26"/>
      <c r="BT497" s="26"/>
    </row>
    <row r="498">
      <c r="I498" s="32"/>
      <c r="J498" s="26"/>
      <c r="K498" s="26"/>
      <c r="N498" s="26"/>
      <c r="O498" s="26"/>
      <c r="R498" s="26"/>
      <c r="S498" s="26"/>
      <c r="V498" s="26"/>
      <c r="W498" s="26"/>
      <c r="Z498" s="26"/>
      <c r="AA498" s="26"/>
      <c r="AD498" s="26"/>
      <c r="AG498" s="26"/>
      <c r="AJ498" s="26"/>
      <c r="AM498" s="26"/>
      <c r="AP498" s="26"/>
      <c r="AS498" s="26"/>
      <c r="AV498" s="26"/>
      <c r="AY498" s="26"/>
      <c r="BB498" s="26"/>
      <c r="BE498" s="26"/>
      <c r="BH498" s="26"/>
      <c r="BK498" s="26"/>
      <c r="BN498" s="26"/>
      <c r="BQ498" s="26"/>
      <c r="BT498" s="26"/>
    </row>
    <row r="499">
      <c r="I499" s="32"/>
      <c r="J499" s="26"/>
      <c r="K499" s="26"/>
      <c r="N499" s="26"/>
      <c r="O499" s="26"/>
      <c r="R499" s="26"/>
      <c r="S499" s="26"/>
      <c r="V499" s="26"/>
      <c r="W499" s="26"/>
      <c r="Z499" s="26"/>
      <c r="AA499" s="26"/>
      <c r="AD499" s="26"/>
      <c r="AG499" s="26"/>
      <c r="AJ499" s="26"/>
      <c r="AM499" s="26"/>
      <c r="AP499" s="26"/>
      <c r="AS499" s="26"/>
      <c r="AV499" s="26"/>
      <c r="AY499" s="26"/>
      <c r="BB499" s="26"/>
      <c r="BE499" s="26"/>
      <c r="BH499" s="26"/>
      <c r="BK499" s="26"/>
      <c r="BN499" s="26"/>
      <c r="BQ499" s="26"/>
      <c r="BT499" s="26"/>
    </row>
    <row r="500">
      <c r="I500" s="32"/>
      <c r="J500" s="26"/>
      <c r="K500" s="26"/>
      <c r="N500" s="26"/>
      <c r="O500" s="26"/>
      <c r="R500" s="26"/>
      <c r="S500" s="26"/>
      <c r="V500" s="26"/>
      <c r="W500" s="26"/>
      <c r="Z500" s="26"/>
      <c r="AA500" s="26"/>
      <c r="AD500" s="26"/>
      <c r="AG500" s="26"/>
      <c r="AJ500" s="26"/>
      <c r="AM500" s="26"/>
      <c r="AP500" s="26"/>
      <c r="AS500" s="26"/>
      <c r="AV500" s="26"/>
      <c r="AY500" s="26"/>
      <c r="BB500" s="26"/>
      <c r="BE500" s="26"/>
      <c r="BH500" s="26"/>
      <c r="BK500" s="26"/>
      <c r="BN500" s="26"/>
      <c r="BQ500" s="26"/>
      <c r="BT500" s="26"/>
    </row>
    <row r="501">
      <c r="I501" s="32"/>
      <c r="J501" s="26"/>
      <c r="K501" s="26"/>
      <c r="N501" s="26"/>
      <c r="O501" s="26"/>
      <c r="R501" s="26"/>
      <c r="S501" s="26"/>
      <c r="V501" s="26"/>
      <c r="W501" s="26"/>
      <c r="Z501" s="26"/>
      <c r="AA501" s="26"/>
      <c r="AD501" s="26"/>
      <c r="AG501" s="26"/>
      <c r="AJ501" s="26"/>
      <c r="AM501" s="26"/>
      <c r="AP501" s="26"/>
      <c r="AS501" s="26"/>
      <c r="AV501" s="26"/>
      <c r="AY501" s="26"/>
      <c r="BB501" s="26"/>
      <c r="BE501" s="26"/>
      <c r="BH501" s="26"/>
      <c r="BK501" s="26"/>
      <c r="BN501" s="26"/>
      <c r="BQ501" s="26"/>
      <c r="BT501" s="26"/>
    </row>
    <row r="502">
      <c r="I502" s="32"/>
      <c r="J502" s="26"/>
      <c r="K502" s="26"/>
      <c r="N502" s="26"/>
      <c r="O502" s="26"/>
      <c r="R502" s="26"/>
      <c r="S502" s="26"/>
      <c r="V502" s="26"/>
      <c r="W502" s="26"/>
      <c r="Z502" s="26"/>
      <c r="AA502" s="26"/>
      <c r="AD502" s="26"/>
      <c r="AG502" s="26"/>
      <c r="AJ502" s="26"/>
      <c r="AM502" s="26"/>
      <c r="AP502" s="26"/>
      <c r="AS502" s="26"/>
      <c r="AV502" s="26"/>
      <c r="AY502" s="26"/>
      <c r="BB502" s="26"/>
      <c r="BE502" s="26"/>
      <c r="BH502" s="26"/>
      <c r="BK502" s="26"/>
      <c r="BN502" s="26"/>
      <c r="BQ502" s="26"/>
      <c r="BT502" s="26"/>
    </row>
    <row r="503">
      <c r="I503" s="32"/>
      <c r="J503" s="26"/>
      <c r="K503" s="26"/>
      <c r="N503" s="26"/>
      <c r="O503" s="26"/>
      <c r="R503" s="26"/>
      <c r="S503" s="26"/>
      <c r="V503" s="26"/>
      <c r="W503" s="26"/>
      <c r="Z503" s="26"/>
      <c r="AA503" s="26"/>
      <c r="AD503" s="26"/>
      <c r="AG503" s="26"/>
      <c r="AJ503" s="26"/>
      <c r="AM503" s="26"/>
      <c r="AP503" s="26"/>
      <c r="AS503" s="26"/>
      <c r="AV503" s="26"/>
      <c r="AY503" s="26"/>
      <c r="BB503" s="26"/>
      <c r="BE503" s="26"/>
      <c r="BH503" s="26"/>
      <c r="BK503" s="26"/>
      <c r="BN503" s="26"/>
      <c r="BQ503" s="26"/>
      <c r="BT503" s="26"/>
    </row>
    <row r="504">
      <c r="I504" s="32"/>
      <c r="J504" s="26"/>
      <c r="K504" s="26"/>
      <c r="N504" s="26"/>
      <c r="O504" s="26"/>
      <c r="R504" s="26"/>
      <c r="S504" s="26"/>
      <c r="V504" s="26"/>
      <c r="W504" s="26"/>
      <c r="Z504" s="26"/>
      <c r="AA504" s="26"/>
      <c r="AD504" s="26"/>
      <c r="AG504" s="26"/>
      <c r="AJ504" s="26"/>
      <c r="AM504" s="26"/>
      <c r="AP504" s="26"/>
      <c r="AS504" s="26"/>
      <c r="AV504" s="26"/>
      <c r="AY504" s="26"/>
      <c r="BB504" s="26"/>
      <c r="BE504" s="26"/>
      <c r="BH504" s="26"/>
      <c r="BK504" s="26"/>
      <c r="BN504" s="26"/>
      <c r="BQ504" s="26"/>
      <c r="BT504" s="26"/>
    </row>
    <row r="505">
      <c r="I505" s="32"/>
      <c r="J505" s="26"/>
      <c r="K505" s="26"/>
      <c r="N505" s="26"/>
      <c r="O505" s="26"/>
      <c r="R505" s="26"/>
      <c r="S505" s="26"/>
      <c r="V505" s="26"/>
      <c r="W505" s="26"/>
      <c r="Z505" s="26"/>
      <c r="AA505" s="26"/>
      <c r="AD505" s="26"/>
      <c r="AG505" s="26"/>
      <c r="AJ505" s="26"/>
      <c r="AM505" s="26"/>
      <c r="AP505" s="26"/>
      <c r="AS505" s="26"/>
      <c r="AV505" s="26"/>
      <c r="AY505" s="26"/>
      <c r="BB505" s="26"/>
      <c r="BE505" s="26"/>
      <c r="BH505" s="26"/>
      <c r="BK505" s="26"/>
      <c r="BN505" s="26"/>
      <c r="BQ505" s="26"/>
      <c r="BT505" s="26"/>
    </row>
    <row r="506">
      <c r="I506" s="32"/>
      <c r="J506" s="26"/>
      <c r="K506" s="26"/>
      <c r="N506" s="26"/>
      <c r="O506" s="26"/>
      <c r="R506" s="26"/>
      <c r="S506" s="26"/>
      <c r="V506" s="26"/>
      <c r="W506" s="26"/>
      <c r="Z506" s="26"/>
      <c r="AA506" s="26"/>
      <c r="AD506" s="26"/>
      <c r="AG506" s="26"/>
      <c r="AJ506" s="26"/>
      <c r="AM506" s="26"/>
      <c r="AP506" s="26"/>
      <c r="AS506" s="26"/>
      <c r="AV506" s="26"/>
      <c r="AY506" s="26"/>
      <c r="BB506" s="26"/>
      <c r="BE506" s="26"/>
      <c r="BH506" s="26"/>
      <c r="BK506" s="26"/>
      <c r="BN506" s="26"/>
      <c r="BQ506" s="26"/>
      <c r="BT506" s="26"/>
    </row>
    <row r="507">
      <c r="I507" s="32"/>
      <c r="J507" s="26"/>
      <c r="K507" s="26"/>
      <c r="N507" s="26"/>
      <c r="O507" s="26"/>
      <c r="R507" s="26"/>
      <c r="S507" s="26"/>
      <c r="V507" s="26"/>
      <c r="W507" s="26"/>
      <c r="Z507" s="26"/>
      <c r="AA507" s="26"/>
      <c r="AD507" s="26"/>
      <c r="AG507" s="26"/>
      <c r="AJ507" s="26"/>
      <c r="AM507" s="26"/>
      <c r="AP507" s="26"/>
      <c r="AS507" s="26"/>
      <c r="AV507" s="26"/>
      <c r="AY507" s="26"/>
      <c r="BB507" s="26"/>
      <c r="BE507" s="26"/>
      <c r="BH507" s="26"/>
      <c r="BK507" s="26"/>
      <c r="BN507" s="26"/>
      <c r="BQ507" s="26"/>
      <c r="BT507" s="26"/>
    </row>
    <row r="508">
      <c r="I508" s="32"/>
      <c r="J508" s="26"/>
      <c r="K508" s="26"/>
      <c r="N508" s="26"/>
      <c r="O508" s="26"/>
      <c r="R508" s="26"/>
      <c r="S508" s="26"/>
      <c r="V508" s="26"/>
      <c r="W508" s="26"/>
      <c r="Z508" s="26"/>
      <c r="AA508" s="26"/>
      <c r="AD508" s="26"/>
      <c r="AG508" s="26"/>
      <c r="AJ508" s="26"/>
      <c r="AM508" s="26"/>
      <c r="AP508" s="26"/>
      <c r="AS508" s="26"/>
      <c r="AV508" s="26"/>
      <c r="AY508" s="26"/>
      <c r="BB508" s="26"/>
      <c r="BE508" s="26"/>
      <c r="BH508" s="26"/>
      <c r="BK508" s="26"/>
      <c r="BN508" s="26"/>
      <c r="BQ508" s="26"/>
      <c r="BT508" s="26"/>
    </row>
    <row r="509">
      <c r="I509" s="32"/>
      <c r="J509" s="26"/>
      <c r="K509" s="26"/>
      <c r="N509" s="26"/>
      <c r="O509" s="26"/>
      <c r="R509" s="26"/>
      <c r="S509" s="26"/>
      <c r="V509" s="26"/>
      <c r="W509" s="26"/>
      <c r="Z509" s="26"/>
      <c r="AA509" s="26"/>
      <c r="AD509" s="26"/>
      <c r="AG509" s="26"/>
      <c r="AJ509" s="26"/>
      <c r="AM509" s="26"/>
      <c r="AP509" s="26"/>
      <c r="AS509" s="26"/>
      <c r="AV509" s="26"/>
      <c r="AY509" s="26"/>
      <c r="BB509" s="26"/>
      <c r="BE509" s="26"/>
      <c r="BH509" s="26"/>
      <c r="BK509" s="26"/>
      <c r="BN509" s="26"/>
      <c r="BQ509" s="26"/>
      <c r="BT509" s="26"/>
    </row>
    <row r="510">
      <c r="I510" s="32"/>
      <c r="J510" s="26"/>
      <c r="K510" s="26"/>
      <c r="N510" s="26"/>
      <c r="O510" s="26"/>
      <c r="R510" s="26"/>
      <c r="S510" s="26"/>
      <c r="V510" s="26"/>
      <c r="W510" s="26"/>
      <c r="Z510" s="26"/>
      <c r="AA510" s="26"/>
      <c r="AD510" s="26"/>
      <c r="AG510" s="26"/>
      <c r="AJ510" s="26"/>
      <c r="AM510" s="26"/>
      <c r="AP510" s="26"/>
      <c r="AS510" s="26"/>
      <c r="AV510" s="26"/>
      <c r="AY510" s="26"/>
      <c r="BB510" s="26"/>
      <c r="BE510" s="26"/>
      <c r="BH510" s="26"/>
      <c r="BK510" s="26"/>
      <c r="BN510" s="26"/>
      <c r="BQ510" s="26"/>
      <c r="BT510" s="26"/>
    </row>
    <row r="511">
      <c r="I511" s="32"/>
      <c r="J511" s="26"/>
      <c r="K511" s="26"/>
      <c r="N511" s="26"/>
      <c r="O511" s="26"/>
      <c r="R511" s="26"/>
      <c r="S511" s="26"/>
      <c r="V511" s="26"/>
      <c r="W511" s="26"/>
      <c r="Z511" s="26"/>
      <c r="AA511" s="26"/>
      <c r="AD511" s="26"/>
      <c r="AG511" s="26"/>
      <c r="AJ511" s="26"/>
      <c r="AM511" s="26"/>
      <c r="AP511" s="26"/>
      <c r="AS511" s="26"/>
      <c r="AV511" s="26"/>
      <c r="AY511" s="26"/>
      <c r="BB511" s="26"/>
      <c r="BE511" s="26"/>
      <c r="BH511" s="26"/>
      <c r="BK511" s="26"/>
      <c r="BN511" s="26"/>
      <c r="BQ511" s="26"/>
      <c r="BT511" s="26"/>
    </row>
    <row r="512">
      <c r="I512" s="32"/>
      <c r="J512" s="26"/>
      <c r="K512" s="26"/>
      <c r="N512" s="26"/>
      <c r="O512" s="26"/>
      <c r="R512" s="26"/>
      <c r="S512" s="26"/>
      <c r="V512" s="26"/>
      <c r="W512" s="26"/>
      <c r="Z512" s="26"/>
      <c r="AA512" s="26"/>
      <c r="AD512" s="26"/>
      <c r="AG512" s="26"/>
      <c r="AJ512" s="26"/>
      <c r="AM512" s="26"/>
      <c r="AP512" s="26"/>
      <c r="AS512" s="26"/>
      <c r="AV512" s="26"/>
      <c r="AY512" s="26"/>
      <c r="BB512" s="26"/>
      <c r="BE512" s="26"/>
      <c r="BH512" s="26"/>
      <c r="BK512" s="26"/>
      <c r="BN512" s="26"/>
      <c r="BQ512" s="26"/>
      <c r="BT512" s="26"/>
    </row>
    <row r="513">
      <c r="I513" s="32"/>
      <c r="J513" s="26"/>
      <c r="K513" s="26"/>
      <c r="N513" s="26"/>
      <c r="O513" s="26"/>
      <c r="R513" s="26"/>
      <c r="S513" s="26"/>
      <c r="V513" s="26"/>
      <c r="W513" s="26"/>
      <c r="Z513" s="26"/>
      <c r="AA513" s="26"/>
      <c r="AD513" s="26"/>
      <c r="AG513" s="26"/>
      <c r="AJ513" s="26"/>
      <c r="AM513" s="26"/>
      <c r="AP513" s="26"/>
      <c r="AS513" s="26"/>
      <c r="AV513" s="26"/>
      <c r="AY513" s="26"/>
      <c r="BB513" s="26"/>
      <c r="BE513" s="26"/>
      <c r="BH513" s="26"/>
      <c r="BK513" s="26"/>
      <c r="BN513" s="26"/>
      <c r="BQ513" s="26"/>
      <c r="BT513" s="26"/>
    </row>
    <row r="514">
      <c r="I514" s="32"/>
      <c r="J514" s="26"/>
      <c r="K514" s="26"/>
      <c r="N514" s="26"/>
      <c r="O514" s="26"/>
      <c r="R514" s="26"/>
      <c r="S514" s="26"/>
      <c r="V514" s="26"/>
      <c r="W514" s="26"/>
      <c r="Z514" s="26"/>
      <c r="AA514" s="26"/>
      <c r="AD514" s="26"/>
      <c r="AG514" s="26"/>
      <c r="AJ514" s="26"/>
      <c r="AM514" s="26"/>
      <c r="AP514" s="26"/>
      <c r="AS514" s="26"/>
      <c r="AV514" s="26"/>
      <c r="AY514" s="26"/>
      <c r="BB514" s="26"/>
      <c r="BE514" s="26"/>
      <c r="BH514" s="26"/>
      <c r="BK514" s="26"/>
      <c r="BN514" s="26"/>
      <c r="BQ514" s="26"/>
      <c r="BT514" s="26"/>
    </row>
    <row r="515">
      <c r="I515" s="32"/>
      <c r="J515" s="26"/>
      <c r="K515" s="26"/>
      <c r="N515" s="26"/>
      <c r="O515" s="26"/>
      <c r="R515" s="26"/>
      <c r="S515" s="26"/>
      <c r="V515" s="26"/>
      <c r="W515" s="26"/>
      <c r="Z515" s="26"/>
      <c r="AA515" s="26"/>
      <c r="AD515" s="26"/>
      <c r="AG515" s="26"/>
      <c r="AJ515" s="26"/>
      <c r="AM515" s="26"/>
      <c r="AP515" s="26"/>
      <c r="AS515" s="26"/>
      <c r="AV515" s="26"/>
      <c r="AY515" s="26"/>
      <c r="BB515" s="26"/>
      <c r="BE515" s="26"/>
      <c r="BH515" s="26"/>
      <c r="BK515" s="26"/>
      <c r="BN515" s="26"/>
      <c r="BQ515" s="26"/>
      <c r="BT515" s="26"/>
    </row>
    <row r="516">
      <c r="I516" s="32"/>
      <c r="J516" s="26"/>
      <c r="K516" s="26"/>
      <c r="N516" s="26"/>
      <c r="O516" s="26"/>
      <c r="R516" s="26"/>
      <c r="S516" s="26"/>
      <c r="V516" s="26"/>
      <c r="W516" s="26"/>
      <c r="Z516" s="26"/>
      <c r="AA516" s="26"/>
      <c r="AD516" s="26"/>
      <c r="AG516" s="26"/>
      <c r="AJ516" s="26"/>
      <c r="AM516" s="26"/>
      <c r="AP516" s="26"/>
      <c r="AS516" s="26"/>
      <c r="AV516" s="26"/>
      <c r="AY516" s="26"/>
      <c r="BB516" s="26"/>
      <c r="BE516" s="26"/>
      <c r="BH516" s="26"/>
      <c r="BK516" s="26"/>
      <c r="BN516" s="26"/>
      <c r="BQ516" s="26"/>
      <c r="BT516" s="26"/>
    </row>
    <row r="517">
      <c r="I517" s="32"/>
      <c r="J517" s="26"/>
      <c r="K517" s="26"/>
      <c r="N517" s="26"/>
      <c r="O517" s="26"/>
      <c r="R517" s="26"/>
      <c r="S517" s="26"/>
      <c r="V517" s="26"/>
      <c r="W517" s="26"/>
      <c r="Z517" s="26"/>
      <c r="AA517" s="26"/>
      <c r="AD517" s="26"/>
      <c r="AG517" s="26"/>
      <c r="AJ517" s="26"/>
      <c r="AM517" s="26"/>
      <c r="AP517" s="26"/>
      <c r="AS517" s="26"/>
      <c r="AV517" s="26"/>
      <c r="AY517" s="26"/>
      <c r="BB517" s="26"/>
      <c r="BE517" s="26"/>
      <c r="BH517" s="26"/>
      <c r="BK517" s="26"/>
      <c r="BN517" s="26"/>
      <c r="BQ517" s="26"/>
      <c r="BT517" s="26"/>
    </row>
    <row r="518">
      <c r="I518" s="32"/>
      <c r="J518" s="26"/>
      <c r="K518" s="26"/>
      <c r="N518" s="26"/>
      <c r="O518" s="26"/>
      <c r="R518" s="26"/>
      <c r="S518" s="26"/>
      <c r="V518" s="26"/>
      <c r="W518" s="26"/>
      <c r="Z518" s="26"/>
      <c r="AA518" s="26"/>
      <c r="AD518" s="26"/>
      <c r="AG518" s="26"/>
      <c r="AJ518" s="26"/>
      <c r="AM518" s="26"/>
      <c r="AP518" s="26"/>
      <c r="AS518" s="26"/>
      <c r="AV518" s="26"/>
      <c r="AY518" s="26"/>
      <c r="BB518" s="26"/>
      <c r="BE518" s="26"/>
      <c r="BH518" s="26"/>
      <c r="BK518" s="26"/>
      <c r="BN518" s="26"/>
      <c r="BQ518" s="26"/>
      <c r="BT518" s="26"/>
    </row>
    <row r="519">
      <c r="I519" s="32"/>
      <c r="J519" s="26"/>
      <c r="K519" s="26"/>
      <c r="N519" s="26"/>
      <c r="O519" s="26"/>
      <c r="R519" s="26"/>
      <c r="S519" s="26"/>
      <c r="V519" s="26"/>
      <c r="W519" s="26"/>
      <c r="Z519" s="26"/>
      <c r="AA519" s="26"/>
      <c r="AD519" s="26"/>
      <c r="AG519" s="26"/>
      <c r="AJ519" s="26"/>
      <c r="AM519" s="26"/>
      <c r="AP519" s="26"/>
      <c r="AS519" s="26"/>
      <c r="AV519" s="26"/>
      <c r="AY519" s="26"/>
      <c r="BB519" s="26"/>
      <c r="BE519" s="26"/>
      <c r="BH519" s="26"/>
      <c r="BK519" s="26"/>
      <c r="BN519" s="26"/>
      <c r="BQ519" s="26"/>
      <c r="BT519" s="26"/>
    </row>
    <row r="520">
      <c r="I520" s="32"/>
      <c r="J520" s="26"/>
      <c r="K520" s="26"/>
      <c r="N520" s="26"/>
      <c r="O520" s="26"/>
      <c r="R520" s="26"/>
      <c r="S520" s="26"/>
      <c r="V520" s="26"/>
      <c r="W520" s="26"/>
      <c r="Z520" s="26"/>
      <c r="AA520" s="26"/>
      <c r="AD520" s="26"/>
      <c r="AG520" s="26"/>
      <c r="AJ520" s="26"/>
      <c r="AM520" s="26"/>
      <c r="AP520" s="26"/>
      <c r="AS520" s="26"/>
      <c r="AV520" s="26"/>
      <c r="AY520" s="26"/>
      <c r="BB520" s="26"/>
      <c r="BE520" s="26"/>
      <c r="BH520" s="26"/>
      <c r="BK520" s="26"/>
      <c r="BN520" s="26"/>
      <c r="BQ520" s="26"/>
      <c r="BT520" s="26"/>
    </row>
    <row r="521">
      <c r="I521" s="32"/>
      <c r="J521" s="26"/>
      <c r="K521" s="26"/>
      <c r="N521" s="26"/>
      <c r="O521" s="26"/>
      <c r="R521" s="26"/>
      <c r="S521" s="26"/>
      <c r="V521" s="26"/>
      <c r="W521" s="26"/>
      <c r="Z521" s="26"/>
      <c r="AA521" s="26"/>
      <c r="AD521" s="26"/>
      <c r="AG521" s="26"/>
      <c r="AJ521" s="26"/>
      <c r="AM521" s="26"/>
      <c r="AP521" s="26"/>
      <c r="AS521" s="26"/>
      <c r="AV521" s="26"/>
      <c r="AY521" s="26"/>
      <c r="BB521" s="26"/>
      <c r="BE521" s="26"/>
      <c r="BH521" s="26"/>
      <c r="BK521" s="26"/>
      <c r="BN521" s="26"/>
      <c r="BQ521" s="26"/>
      <c r="BT521" s="26"/>
    </row>
    <row r="522">
      <c r="I522" s="32"/>
      <c r="J522" s="26"/>
      <c r="K522" s="26"/>
      <c r="N522" s="26"/>
      <c r="O522" s="26"/>
      <c r="R522" s="26"/>
      <c r="S522" s="26"/>
      <c r="V522" s="26"/>
      <c r="W522" s="26"/>
      <c r="Z522" s="26"/>
      <c r="AA522" s="26"/>
      <c r="AD522" s="26"/>
      <c r="AG522" s="26"/>
      <c r="AJ522" s="26"/>
      <c r="AM522" s="26"/>
      <c r="AP522" s="26"/>
      <c r="AS522" s="26"/>
      <c r="AV522" s="26"/>
      <c r="AY522" s="26"/>
      <c r="BB522" s="26"/>
      <c r="BE522" s="26"/>
      <c r="BH522" s="26"/>
      <c r="BK522" s="26"/>
      <c r="BN522" s="26"/>
      <c r="BQ522" s="26"/>
      <c r="BT522" s="26"/>
    </row>
    <row r="523">
      <c r="I523" s="32"/>
      <c r="J523" s="26"/>
      <c r="K523" s="26"/>
      <c r="N523" s="26"/>
      <c r="O523" s="26"/>
      <c r="R523" s="26"/>
      <c r="S523" s="26"/>
      <c r="V523" s="26"/>
      <c r="W523" s="26"/>
      <c r="Z523" s="26"/>
      <c r="AA523" s="26"/>
      <c r="AD523" s="26"/>
      <c r="AG523" s="26"/>
      <c r="AJ523" s="26"/>
      <c r="AM523" s="26"/>
      <c r="AP523" s="26"/>
      <c r="AS523" s="26"/>
      <c r="AV523" s="26"/>
      <c r="AY523" s="26"/>
      <c r="BB523" s="26"/>
      <c r="BE523" s="26"/>
      <c r="BH523" s="26"/>
      <c r="BK523" s="26"/>
      <c r="BN523" s="26"/>
      <c r="BQ523" s="26"/>
      <c r="BT523" s="26"/>
    </row>
    <row r="524">
      <c r="I524" s="32"/>
      <c r="J524" s="26"/>
      <c r="K524" s="26"/>
      <c r="N524" s="26"/>
      <c r="O524" s="26"/>
      <c r="R524" s="26"/>
      <c r="S524" s="26"/>
      <c r="V524" s="26"/>
      <c r="W524" s="26"/>
      <c r="Z524" s="26"/>
      <c r="AA524" s="26"/>
      <c r="AD524" s="26"/>
      <c r="AG524" s="26"/>
      <c r="AJ524" s="26"/>
      <c r="AM524" s="26"/>
      <c r="AP524" s="26"/>
      <c r="AS524" s="26"/>
      <c r="AV524" s="26"/>
      <c r="AY524" s="26"/>
      <c r="BB524" s="26"/>
      <c r="BE524" s="26"/>
      <c r="BH524" s="26"/>
      <c r="BK524" s="26"/>
      <c r="BN524" s="26"/>
      <c r="BQ524" s="26"/>
      <c r="BT524" s="26"/>
    </row>
    <row r="525">
      <c r="I525" s="32"/>
      <c r="J525" s="26"/>
      <c r="K525" s="26"/>
      <c r="N525" s="26"/>
      <c r="O525" s="26"/>
      <c r="R525" s="26"/>
      <c r="S525" s="26"/>
      <c r="V525" s="26"/>
      <c r="W525" s="26"/>
      <c r="Z525" s="26"/>
      <c r="AA525" s="26"/>
      <c r="AD525" s="26"/>
      <c r="AG525" s="26"/>
      <c r="AJ525" s="26"/>
      <c r="AM525" s="26"/>
      <c r="AP525" s="26"/>
      <c r="AS525" s="26"/>
      <c r="AV525" s="26"/>
      <c r="AY525" s="26"/>
      <c r="BB525" s="26"/>
      <c r="BE525" s="26"/>
      <c r="BH525" s="26"/>
      <c r="BK525" s="26"/>
      <c r="BN525" s="26"/>
      <c r="BQ525" s="26"/>
      <c r="BT525" s="26"/>
    </row>
    <row r="526">
      <c r="I526" s="32"/>
      <c r="J526" s="26"/>
      <c r="K526" s="26"/>
      <c r="N526" s="26"/>
      <c r="O526" s="26"/>
      <c r="R526" s="26"/>
      <c r="S526" s="26"/>
      <c r="V526" s="26"/>
      <c r="W526" s="26"/>
      <c r="Z526" s="26"/>
      <c r="AA526" s="26"/>
      <c r="AD526" s="26"/>
      <c r="AG526" s="26"/>
      <c r="AJ526" s="26"/>
      <c r="AM526" s="26"/>
      <c r="AP526" s="26"/>
      <c r="AS526" s="26"/>
      <c r="AV526" s="26"/>
      <c r="AY526" s="26"/>
      <c r="BB526" s="26"/>
      <c r="BE526" s="26"/>
      <c r="BH526" s="26"/>
      <c r="BK526" s="26"/>
      <c r="BN526" s="26"/>
      <c r="BQ526" s="26"/>
      <c r="BT526" s="26"/>
    </row>
    <row r="527">
      <c r="I527" s="32"/>
      <c r="J527" s="26"/>
      <c r="K527" s="26"/>
      <c r="N527" s="26"/>
      <c r="O527" s="26"/>
      <c r="R527" s="26"/>
      <c r="S527" s="26"/>
      <c r="V527" s="26"/>
      <c r="W527" s="26"/>
      <c r="Z527" s="26"/>
      <c r="AA527" s="26"/>
      <c r="AD527" s="26"/>
      <c r="AG527" s="26"/>
      <c r="AJ527" s="26"/>
      <c r="AM527" s="26"/>
      <c r="AP527" s="26"/>
      <c r="AS527" s="26"/>
      <c r="AV527" s="26"/>
      <c r="AY527" s="26"/>
      <c r="BB527" s="26"/>
      <c r="BE527" s="26"/>
      <c r="BH527" s="26"/>
      <c r="BK527" s="26"/>
      <c r="BN527" s="26"/>
      <c r="BQ527" s="26"/>
      <c r="BT527" s="26"/>
    </row>
    <row r="528">
      <c r="I528" s="32"/>
      <c r="J528" s="26"/>
      <c r="K528" s="26"/>
      <c r="N528" s="26"/>
      <c r="O528" s="26"/>
      <c r="R528" s="26"/>
      <c r="S528" s="26"/>
      <c r="V528" s="26"/>
      <c r="W528" s="26"/>
      <c r="Z528" s="26"/>
      <c r="AA528" s="26"/>
      <c r="AD528" s="26"/>
      <c r="AG528" s="26"/>
      <c r="AJ528" s="26"/>
      <c r="AM528" s="26"/>
      <c r="AP528" s="26"/>
      <c r="AS528" s="26"/>
      <c r="AV528" s="26"/>
      <c r="AY528" s="26"/>
      <c r="BB528" s="26"/>
      <c r="BE528" s="26"/>
      <c r="BH528" s="26"/>
      <c r="BK528" s="26"/>
      <c r="BN528" s="26"/>
      <c r="BQ528" s="26"/>
      <c r="BT528" s="26"/>
    </row>
    <row r="529">
      <c r="I529" s="32"/>
      <c r="J529" s="26"/>
      <c r="K529" s="26"/>
      <c r="N529" s="26"/>
      <c r="O529" s="26"/>
      <c r="R529" s="26"/>
      <c r="S529" s="26"/>
      <c r="V529" s="26"/>
      <c r="W529" s="26"/>
      <c r="Z529" s="26"/>
      <c r="AA529" s="26"/>
      <c r="AD529" s="26"/>
      <c r="AG529" s="26"/>
      <c r="AJ529" s="26"/>
      <c r="AM529" s="26"/>
      <c r="AP529" s="26"/>
      <c r="AS529" s="26"/>
      <c r="AV529" s="26"/>
      <c r="AY529" s="26"/>
      <c r="BB529" s="26"/>
      <c r="BE529" s="26"/>
      <c r="BH529" s="26"/>
      <c r="BK529" s="26"/>
      <c r="BN529" s="26"/>
      <c r="BQ529" s="26"/>
      <c r="BT529" s="26"/>
    </row>
    <row r="530">
      <c r="I530" s="32"/>
      <c r="J530" s="26"/>
      <c r="K530" s="26"/>
      <c r="N530" s="26"/>
      <c r="O530" s="26"/>
      <c r="R530" s="26"/>
      <c r="S530" s="26"/>
      <c r="V530" s="26"/>
      <c r="W530" s="26"/>
      <c r="Z530" s="26"/>
      <c r="AA530" s="26"/>
      <c r="AD530" s="26"/>
      <c r="AG530" s="26"/>
      <c r="AJ530" s="26"/>
      <c r="AM530" s="26"/>
      <c r="AP530" s="26"/>
      <c r="AS530" s="26"/>
      <c r="AV530" s="26"/>
      <c r="AY530" s="26"/>
      <c r="BB530" s="26"/>
      <c r="BE530" s="26"/>
      <c r="BH530" s="26"/>
      <c r="BK530" s="26"/>
      <c r="BN530" s="26"/>
      <c r="BQ530" s="26"/>
      <c r="BT530" s="26"/>
    </row>
    <row r="531">
      <c r="I531" s="32"/>
      <c r="J531" s="26"/>
      <c r="K531" s="26"/>
      <c r="N531" s="26"/>
      <c r="O531" s="26"/>
      <c r="R531" s="26"/>
      <c r="S531" s="26"/>
      <c r="V531" s="26"/>
      <c r="W531" s="26"/>
      <c r="Z531" s="26"/>
      <c r="AA531" s="26"/>
      <c r="AD531" s="26"/>
      <c r="AG531" s="26"/>
      <c r="AJ531" s="26"/>
      <c r="AM531" s="26"/>
      <c r="AP531" s="26"/>
      <c r="AS531" s="26"/>
      <c r="AV531" s="26"/>
      <c r="AY531" s="26"/>
      <c r="BB531" s="26"/>
      <c r="BE531" s="26"/>
      <c r="BH531" s="26"/>
      <c r="BK531" s="26"/>
      <c r="BN531" s="26"/>
      <c r="BQ531" s="26"/>
      <c r="BT531" s="26"/>
    </row>
    <row r="532">
      <c r="I532" s="32"/>
      <c r="J532" s="26"/>
      <c r="K532" s="26"/>
      <c r="N532" s="26"/>
      <c r="O532" s="26"/>
      <c r="R532" s="26"/>
      <c r="S532" s="26"/>
      <c r="V532" s="26"/>
      <c r="W532" s="26"/>
      <c r="Z532" s="26"/>
      <c r="AA532" s="26"/>
      <c r="AD532" s="26"/>
      <c r="AG532" s="26"/>
      <c r="AJ532" s="26"/>
      <c r="AM532" s="26"/>
      <c r="AP532" s="26"/>
      <c r="AS532" s="26"/>
      <c r="AV532" s="26"/>
      <c r="AY532" s="26"/>
      <c r="BB532" s="26"/>
      <c r="BE532" s="26"/>
      <c r="BH532" s="26"/>
      <c r="BK532" s="26"/>
      <c r="BN532" s="26"/>
      <c r="BQ532" s="26"/>
      <c r="BT532" s="26"/>
    </row>
    <row r="533">
      <c r="I533" s="32"/>
      <c r="J533" s="26"/>
      <c r="K533" s="26"/>
      <c r="N533" s="26"/>
      <c r="O533" s="26"/>
      <c r="R533" s="26"/>
      <c r="S533" s="26"/>
      <c r="V533" s="26"/>
      <c r="W533" s="26"/>
      <c r="Z533" s="26"/>
      <c r="AA533" s="26"/>
      <c r="AD533" s="26"/>
      <c r="AG533" s="26"/>
      <c r="AJ533" s="26"/>
      <c r="AM533" s="26"/>
      <c r="AP533" s="26"/>
      <c r="AS533" s="26"/>
      <c r="AV533" s="26"/>
      <c r="AY533" s="26"/>
      <c r="BB533" s="26"/>
      <c r="BE533" s="26"/>
      <c r="BH533" s="26"/>
      <c r="BK533" s="26"/>
      <c r="BN533" s="26"/>
      <c r="BQ533" s="26"/>
      <c r="BT533" s="26"/>
    </row>
    <row r="534">
      <c r="I534" s="32"/>
      <c r="J534" s="26"/>
      <c r="K534" s="26"/>
      <c r="N534" s="26"/>
      <c r="O534" s="26"/>
      <c r="R534" s="26"/>
      <c r="S534" s="26"/>
      <c r="V534" s="26"/>
      <c r="W534" s="26"/>
      <c r="Z534" s="26"/>
      <c r="AA534" s="26"/>
      <c r="AD534" s="26"/>
      <c r="AG534" s="26"/>
      <c r="AJ534" s="26"/>
      <c r="AM534" s="26"/>
      <c r="AP534" s="26"/>
      <c r="AS534" s="26"/>
      <c r="AV534" s="26"/>
      <c r="AY534" s="26"/>
      <c r="BB534" s="26"/>
      <c r="BE534" s="26"/>
      <c r="BH534" s="26"/>
      <c r="BK534" s="26"/>
      <c r="BN534" s="26"/>
      <c r="BQ534" s="26"/>
      <c r="BT534" s="26"/>
    </row>
    <row r="535">
      <c r="I535" s="32"/>
      <c r="J535" s="26"/>
      <c r="K535" s="26"/>
      <c r="N535" s="26"/>
      <c r="O535" s="26"/>
      <c r="R535" s="26"/>
      <c r="S535" s="26"/>
      <c r="V535" s="26"/>
      <c r="W535" s="26"/>
      <c r="Z535" s="26"/>
      <c r="AA535" s="26"/>
      <c r="AD535" s="26"/>
      <c r="AG535" s="26"/>
      <c r="AJ535" s="26"/>
      <c r="AM535" s="26"/>
      <c r="AP535" s="26"/>
      <c r="AS535" s="26"/>
      <c r="AV535" s="26"/>
      <c r="AY535" s="26"/>
      <c r="BB535" s="26"/>
      <c r="BE535" s="26"/>
      <c r="BH535" s="26"/>
      <c r="BK535" s="26"/>
      <c r="BN535" s="26"/>
      <c r="BQ535" s="26"/>
      <c r="BT535" s="26"/>
    </row>
    <row r="536">
      <c r="I536" s="32"/>
      <c r="J536" s="26"/>
      <c r="K536" s="26"/>
      <c r="N536" s="26"/>
      <c r="O536" s="26"/>
      <c r="R536" s="26"/>
      <c r="S536" s="26"/>
      <c r="V536" s="26"/>
      <c r="W536" s="26"/>
      <c r="Z536" s="26"/>
      <c r="AA536" s="26"/>
      <c r="AD536" s="26"/>
      <c r="AG536" s="26"/>
      <c r="AJ536" s="26"/>
      <c r="AM536" s="26"/>
      <c r="AP536" s="26"/>
      <c r="AS536" s="26"/>
      <c r="AV536" s="26"/>
      <c r="AY536" s="26"/>
      <c r="BB536" s="26"/>
      <c r="BE536" s="26"/>
      <c r="BH536" s="26"/>
      <c r="BK536" s="26"/>
      <c r="BN536" s="26"/>
      <c r="BQ536" s="26"/>
      <c r="BT536" s="26"/>
    </row>
    <row r="537">
      <c r="I537" s="32"/>
      <c r="J537" s="26"/>
      <c r="K537" s="26"/>
      <c r="N537" s="26"/>
      <c r="O537" s="26"/>
      <c r="R537" s="26"/>
      <c r="S537" s="26"/>
      <c r="V537" s="26"/>
      <c r="W537" s="26"/>
      <c r="Z537" s="26"/>
      <c r="AA537" s="26"/>
      <c r="AD537" s="26"/>
      <c r="AG537" s="26"/>
      <c r="AJ537" s="26"/>
      <c r="AM537" s="26"/>
      <c r="AP537" s="26"/>
      <c r="AS537" s="26"/>
      <c r="AV537" s="26"/>
      <c r="AY537" s="26"/>
      <c r="BB537" s="26"/>
      <c r="BE537" s="26"/>
      <c r="BH537" s="26"/>
      <c r="BK537" s="26"/>
      <c r="BN537" s="26"/>
      <c r="BQ537" s="26"/>
      <c r="BT537" s="26"/>
    </row>
    <row r="538">
      <c r="I538" s="32"/>
      <c r="J538" s="26"/>
      <c r="K538" s="26"/>
      <c r="N538" s="26"/>
      <c r="O538" s="26"/>
      <c r="R538" s="26"/>
      <c r="S538" s="26"/>
      <c r="V538" s="26"/>
      <c r="W538" s="26"/>
      <c r="Z538" s="26"/>
      <c r="AA538" s="26"/>
      <c r="AD538" s="26"/>
      <c r="AG538" s="26"/>
      <c r="AJ538" s="26"/>
      <c r="AM538" s="26"/>
      <c r="AP538" s="26"/>
      <c r="AS538" s="26"/>
      <c r="AV538" s="26"/>
      <c r="AY538" s="26"/>
      <c r="BB538" s="26"/>
      <c r="BE538" s="26"/>
      <c r="BH538" s="26"/>
      <c r="BK538" s="26"/>
      <c r="BN538" s="26"/>
      <c r="BQ538" s="26"/>
      <c r="BT538" s="26"/>
    </row>
    <row r="539">
      <c r="I539" s="32"/>
      <c r="J539" s="26"/>
      <c r="K539" s="26"/>
      <c r="N539" s="26"/>
      <c r="O539" s="26"/>
      <c r="R539" s="26"/>
      <c r="S539" s="26"/>
      <c r="V539" s="26"/>
      <c r="W539" s="26"/>
      <c r="Z539" s="26"/>
      <c r="AA539" s="26"/>
      <c r="AD539" s="26"/>
      <c r="AG539" s="26"/>
      <c r="AJ539" s="26"/>
      <c r="AM539" s="26"/>
      <c r="AP539" s="26"/>
      <c r="AS539" s="26"/>
      <c r="AV539" s="26"/>
      <c r="AY539" s="26"/>
      <c r="BB539" s="26"/>
      <c r="BE539" s="26"/>
      <c r="BH539" s="26"/>
      <c r="BK539" s="26"/>
      <c r="BN539" s="26"/>
      <c r="BQ539" s="26"/>
      <c r="BT539" s="26"/>
    </row>
    <row r="540">
      <c r="I540" s="32"/>
      <c r="J540" s="26"/>
      <c r="K540" s="26"/>
      <c r="N540" s="26"/>
      <c r="O540" s="26"/>
      <c r="R540" s="26"/>
      <c r="S540" s="26"/>
      <c r="V540" s="26"/>
      <c r="W540" s="26"/>
      <c r="Z540" s="26"/>
      <c r="AA540" s="26"/>
      <c r="AD540" s="26"/>
      <c r="AG540" s="26"/>
      <c r="AJ540" s="26"/>
      <c r="AM540" s="26"/>
      <c r="AP540" s="26"/>
      <c r="AS540" s="26"/>
      <c r="AV540" s="26"/>
      <c r="AY540" s="26"/>
      <c r="BB540" s="26"/>
      <c r="BE540" s="26"/>
      <c r="BH540" s="26"/>
      <c r="BK540" s="26"/>
      <c r="BN540" s="26"/>
      <c r="BQ540" s="26"/>
      <c r="BT540" s="26"/>
    </row>
    <row r="541">
      <c r="I541" s="32"/>
      <c r="J541" s="26"/>
      <c r="K541" s="26"/>
      <c r="N541" s="26"/>
      <c r="O541" s="26"/>
      <c r="R541" s="26"/>
      <c r="S541" s="26"/>
      <c r="V541" s="26"/>
      <c r="W541" s="26"/>
      <c r="Z541" s="26"/>
      <c r="AA541" s="26"/>
      <c r="AD541" s="26"/>
      <c r="AG541" s="26"/>
      <c r="AJ541" s="26"/>
      <c r="AM541" s="26"/>
      <c r="AP541" s="26"/>
      <c r="AS541" s="26"/>
      <c r="AV541" s="26"/>
      <c r="AY541" s="26"/>
      <c r="BB541" s="26"/>
      <c r="BE541" s="26"/>
      <c r="BH541" s="26"/>
      <c r="BK541" s="26"/>
      <c r="BN541" s="26"/>
      <c r="BQ541" s="26"/>
      <c r="BT541" s="26"/>
    </row>
    <row r="542">
      <c r="I542" s="32"/>
      <c r="J542" s="26"/>
      <c r="K542" s="26"/>
      <c r="N542" s="26"/>
      <c r="O542" s="26"/>
      <c r="R542" s="26"/>
      <c r="S542" s="26"/>
      <c r="V542" s="26"/>
      <c r="W542" s="26"/>
      <c r="Z542" s="26"/>
      <c r="AA542" s="26"/>
      <c r="AD542" s="26"/>
      <c r="AG542" s="26"/>
      <c r="AJ542" s="26"/>
      <c r="AM542" s="26"/>
      <c r="AP542" s="26"/>
      <c r="AS542" s="26"/>
      <c r="AV542" s="26"/>
      <c r="AY542" s="26"/>
      <c r="BB542" s="26"/>
      <c r="BE542" s="26"/>
      <c r="BH542" s="26"/>
      <c r="BK542" s="26"/>
      <c r="BN542" s="26"/>
      <c r="BQ542" s="26"/>
      <c r="BT542" s="26"/>
    </row>
    <row r="543">
      <c r="I543" s="32"/>
      <c r="J543" s="26"/>
      <c r="K543" s="26"/>
      <c r="N543" s="26"/>
      <c r="O543" s="26"/>
      <c r="R543" s="26"/>
      <c r="S543" s="26"/>
      <c r="V543" s="26"/>
      <c r="W543" s="26"/>
      <c r="Z543" s="26"/>
      <c r="AA543" s="26"/>
      <c r="AD543" s="26"/>
      <c r="AG543" s="26"/>
      <c r="AJ543" s="26"/>
      <c r="AM543" s="26"/>
      <c r="AP543" s="26"/>
      <c r="AS543" s="26"/>
      <c r="AV543" s="26"/>
      <c r="AY543" s="26"/>
      <c r="BB543" s="26"/>
      <c r="BE543" s="26"/>
      <c r="BH543" s="26"/>
      <c r="BK543" s="26"/>
      <c r="BN543" s="26"/>
      <c r="BQ543" s="26"/>
      <c r="BT543" s="26"/>
    </row>
    <row r="544">
      <c r="I544" s="32"/>
      <c r="J544" s="26"/>
      <c r="K544" s="26"/>
      <c r="N544" s="26"/>
      <c r="O544" s="26"/>
      <c r="R544" s="26"/>
      <c r="S544" s="26"/>
      <c r="V544" s="26"/>
      <c r="W544" s="26"/>
      <c r="Z544" s="26"/>
      <c r="AA544" s="26"/>
      <c r="AD544" s="26"/>
      <c r="AG544" s="26"/>
      <c r="AJ544" s="26"/>
      <c r="AM544" s="26"/>
      <c r="AP544" s="26"/>
      <c r="AS544" s="26"/>
      <c r="AV544" s="26"/>
      <c r="AY544" s="26"/>
      <c r="BB544" s="26"/>
      <c r="BE544" s="26"/>
      <c r="BH544" s="26"/>
      <c r="BK544" s="26"/>
      <c r="BN544" s="26"/>
      <c r="BQ544" s="26"/>
      <c r="BT544" s="26"/>
    </row>
    <row r="545">
      <c r="I545" s="32"/>
      <c r="J545" s="26"/>
      <c r="K545" s="26"/>
      <c r="N545" s="26"/>
      <c r="O545" s="26"/>
      <c r="R545" s="26"/>
      <c r="S545" s="26"/>
      <c r="V545" s="26"/>
      <c r="W545" s="26"/>
      <c r="Z545" s="26"/>
      <c r="AA545" s="26"/>
      <c r="AD545" s="26"/>
      <c r="AG545" s="26"/>
      <c r="AJ545" s="26"/>
      <c r="AM545" s="26"/>
      <c r="AP545" s="26"/>
      <c r="AS545" s="26"/>
      <c r="AV545" s="26"/>
      <c r="AY545" s="26"/>
      <c r="BB545" s="26"/>
      <c r="BE545" s="26"/>
      <c r="BH545" s="26"/>
      <c r="BK545" s="26"/>
      <c r="BN545" s="26"/>
      <c r="BQ545" s="26"/>
      <c r="BT545" s="26"/>
    </row>
    <row r="546">
      <c r="I546" s="32"/>
      <c r="J546" s="26"/>
      <c r="K546" s="26"/>
      <c r="N546" s="26"/>
      <c r="O546" s="26"/>
      <c r="R546" s="26"/>
      <c r="S546" s="26"/>
      <c r="V546" s="26"/>
      <c r="W546" s="26"/>
      <c r="Z546" s="26"/>
      <c r="AA546" s="26"/>
      <c r="AD546" s="26"/>
      <c r="AG546" s="26"/>
      <c r="AJ546" s="26"/>
      <c r="AM546" s="26"/>
      <c r="AP546" s="26"/>
      <c r="AS546" s="26"/>
      <c r="AV546" s="26"/>
      <c r="AY546" s="26"/>
      <c r="BB546" s="26"/>
      <c r="BE546" s="26"/>
      <c r="BH546" s="26"/>
      <c r="BK546" s="26"/>
      <c r="BN546" s="26"/>
      <c r="BQ546" s="26"/>
      <c r="BT546" s="26"/>
    </row>
    <row r="547">
      <c r="I547" s="32"/>
      <c r="J547" s="26"/>
      <c r="K547" s="26"/>
      <c r="N547" s="26"/>
      <c r="O547" s="26"/>
      <c r="R547" s="26"/>
      <c r="S547" s="26"/>
      <c r="V547" s="26"/>
      <c r="W547" s="26"/>
      <c r="Z547" s="26"/>
      <c r="AA547" s="26"/>
      <c r="AD547" s="26"/>
      <c r="AG547" s="26"/>
      <c r="AJ547" s="26"/>
      <c r="AM547" s="26"/>
      <c r="AP547" s="26"/>
      <c r="AS547" s="26"/>
      <c r="AV547" s="26"/>
      <c r="AY547" s="26"/>
      <c r="BB547" s="26"/>
      <c r="BE547" s="26"/>
      <c r="BH547" s="26"/>
      <c r="BK547" s="26"/>
      <c r="BN547" s="26"/>
      <c r="BQ547" s="26"/>
      <c r="BT547" s="26"/>
    </row>
    <row r="548">
      <c r="I548" s="32"/>
      <c r="J548" s="26"/>
      <c r="K548" s="26"/>
      <c r="N548" s="26"/>
      <c r="O548" s="26"/>
      <c r="R548" s="26"/>
      <c r="S548" s="26"/>
      <c r="V548" s="26"/>
      <c r="W548" s="26"/>
      <c r="Z548" s="26"/>
      <c r="AA548" s="26"/>
      <c r="AD548" s="26"/>
      <c r="AG548" s="26"/>
      <c r="AJ548" s="26"/>
      <c r="AM548" s="26"/>
      <c r="AP548" s="26"/>
      <c r="AS548" s="26"/>
      <c r="AV548" s="26"/>
      <c r="AY548" s="26"/>
      <c r="BB548" s="26"/>
      <c r="BE548" s="26"/>
      <c r="BH548" s="26"/>
      <c r="BK548" s="26"/>
      <c r="BN548" s="26"/>
      <c r="BQ548" s="26"/>
      <c r="BT548" s="26"/>
    </row>
    <row r="549">
      <c r="I549" s="32"/>
      <c r="J549" s="26"/>
      <c r="K549" s="26"/>
      <c r="N549" s="26"/>
      <c r="O549" s="26"/>
      <c r="R549" s="26"/>
      <c r="S549" s="26"/>
      <c r="V549" s="26"/>
      <c r="W549" s="26"/>
      <c r="Z549" s="26"/>
      <c r="AA549" s="26"/>
      <c r="AD549" s="26"/>
      <c r="AG549" s="26"/>
      <c r="AJ549" s="26"/>
      <c r="AM549" s="26"/>
      <c r="AP549" s="26"/>
      <c r="AS549" s="26"/>
      <c r="AV549" s="26"/>
      <c r="AY549" s="26"/>
      <c r="BB549" s="26"/>
      <c r="BE549" s="26"/>
      <c r="BH549" s="26"/>
      <c r="BK549" s="26"/>
      <c r="BN549" s="26"/>
      <c r="BQ549" s="26"/>
      <c r="BT549" s="26"/>
    </row>
    <row r="550">
      <c r="I550" s="32"/>
      <c r="J550" s="26"/>
      <c r="K550" s="26"/>
      <c r="N550" s="26"/>
      <c r="O550" s="26"/>
      <c r="R550" s="26"/>
      <c r="S550" s="26"/>
      <c r="V550" s="26"/>
      <c r="W550" s="26"/>
      <c r="Z550" s="26"/>
      <c r="AA550" s="26"/>
      <c r="AD550" s="26"/>
      <c r="AG550" s="26"/>
      <c r="AJ550" s="26"/>
      <c r="AM550" s="26"/>
      <c r="AP550" s="26"/>
      <c r="AS550" s="26"/>
      <c r="AV550" s="26"/>
      <c r="AY550" s="26"/>
      <c r="BB550" s="26"/>
      <c r="BE550" s="26"/>
      <c r="BH550" s="26"/>
      <c r="BK550" s="26"/>
      <c r="BN550" s="26"/>
      <c r="BQ550" s="26"/>
      <c r="BT550" s="26"/>
    </row>
    <row r="551">
      <c r="I551" s="32"/>
      <c r="J551" s="26"/>
      <c r="K551" s="26"/>
      <c r="N551" s="26"/>
      <c r="O551" s="26"/>
      <c r="R551" s="26"/>
      <c r="S551" s="26"/>
      <c r="V551" s="26"/>
      <c r="W551" s="26"/>
      <c r="Z551" s="26"/>
      <c r="AA551" s="26"/>
      <c r="AD551" s="26"/>
      <c r="AG551" s="26"/>
      <c r="AJ551" s="26"/>
      <c r="AM551" s="26"/>
      <c r="AP551" s="26"/>
      <c r="AS551" s="26"/>
      <c r="AV551" s="26"/>
      <c r="AY551" s="26"/>
      <c r="BB551" s="26"/>
      <c r="BE551" s="26"/>
      <c r="BH551" s="26"/>
      <c r="BK551" s="26"/>
      <c r="BN551" s="26"/>
      <c r="BQ551" s="26"/>
      <c r="BT551" s="26"/>
    </row>
    <row r="552">
      <c r="I552" s="32"/>
      <c r="J552" s="26"/>
      <c r="K552" s="26"/>
      <c r="N552" s="26"/>
      <c r="O552" s="26"/>
      <c r="R552" s="26"/>
      <c r="S552" s="26"/>
      <c r="V552" s="26"/>
      <c r="W552" s="26"/>
      <c r="Z552" s="26"/>
      <c r="AA552" s="26"/>
      <c r="AD552" s="26"/>
      <c r="AG552" s="26"/>
      <c r="AJ552" s="26"/>
      <c r="AM552" s="26"/>
      <c r="AP552" s="26"/>
      <c r="AS552" s="26"/>
      <c r="AV552" s="26"/>
      <c r="AY552" s="26"/>
      <c r="BB552" s="26"/>
      <c r="BE552" s="26"/>
      <c r="BH552" s="26"/>
      <c r="BK552" s="26"/>
      <c r="BN552" s="26"/>
      <c r="BQ552" s="26"/>
      <c r="BT552" s="26"/>
    </row>
    <row r="553">
      <c r="I553" s="32"/>
      <c r="J553" s="26"/>
      <c r="K553" s="26"/>
      <c r="N553" s="26"/>
      <c r="O553" s="26"/>
      <c r="R553" s="26"/>
      <c r="S553" s="26"/>
      <c r="V553" s="26"/>
      <c r="W553" s="26"/>
      <c r="Z553" s="26"/>
      <c r="AA553" s="26"/>
      <c r="AD553" s="26"/>
      <c r="AG553" s="26"/>
      <c r="AJ553" s="26"/>
      <c r="AM553" s="26"/>
      <c r="AP553" s="26"/>
      <c r="AS553" s="26"/>
      <c r="AV553" s="26"/>
      <c r="AY553" s="26"/>
      <c r="BB553" s="26"/>
      <c r="BE553" s="26"/>
      <c r="BH553" s="26"/>
      <c r="BK553" s="26"/>
      <c r="BN553" s="26"/>
      <c r="BQ553" s="26"/>
      <c r="BT553" s="26"/>
    </row>
    <row r="554">
      <c r="I554" s="32"/>
      <c r="J554" s="26"/>
      <c r="K554" s="26"/>
      <c r="N554" s="26"/>
      <c r="O554" s="26"/>
      <c r="R554" s="26"/>
      <c r="S554" s="26"/>
      <c r="V554" s="26"/>
      <c r="W554" s="26"/>
      <c r="Z554" s="26"/>
      <c r="AA554" s="26"/>
      <c r="AD554" s="26"/>
      <c r="AG554" s="26"/>
      <c r="AJ554" s="26"/>
      <c r="AM554" s="26"/>
      <c r="AP554" s="26"/>
      <c r="AS554" s="26"/>
      <c r="AV554" s="26"/>
      <c r="AY554" s="26"/>
      <c r="BB554" s="26"/>
      <c r="BE554" s="26"/>
      <c r="BH554" s="26"/>
      <c r="BK554" s="26"/>
      <c r="BN554" s="26"/>
      <c r="BQ554" s="26"/>
      <c r="BT554" s="26"/>
    </row>
    <row r="555">
      <c r="I555" s="32"/>
      <c r="J555" s="26"/>
      <c r="K555" s="26"/>
      <c r="N555" s="26"/>
      <c r="O555" s="26"/>
      <c r="R555" s="26"/>
      <c r="S555" s="26"/>
      <c r="V555" s="26"/>
      <c r="W555" s="26"/>
      <c r="Z555" s="26"/>
      <c r="AA555" s="26"/>
      <c r="AD555" s="26"/>
      <c r="AG555" s="26"/>
      <c r="AJ555" s="26"/>
      <c r="AM555" s="26"/>
      <c r="AP555" s="26"/>
      <c r="AS555" s="26"/>
      <c r="AV555" s="26"/>
      <c r="AY555" s="26"/>
      <c r="BB555" s="26"/>
      <c r="BE555" s="26"/>
      <c r="BH555" s="26"/>
      <c r="BK555" s="26"/>
      <c r="BN555" s="26"/>
      <c r="BQ555" s="26"/>
      <c r="BT555" s="26"/>
    </row>
    <row r="556">
      <c r="I556" s="32"/>
      <c r="J556" s="26"/>
      <c r="K556" s="26"/>
      <c r="N556" s="26"/>
      <c r="O556" s="26"/>
      <c r="R556" s="26"/>
      <c r="S556" s="26"/>
      <c r="V556" s="26"/>
      <c r="W556" s="26"/>
      <c r="Z556" s="26"/>
      <c r="AA556" s="26"/>
      <c r="AD556" s="26"/>
      <c r="AG556" s="26"/>
      <c r="AJ556" s="26"/>
      <c r="AM556" s="26"/>
      <c r="AP556" s="26"/>
      <c r="AS556" s="26"/>
      <c r="AV556" s="26"/>
      <c r="AY556" s="26"/>
      <c r="BB556" s="26"/>
      <c r="BE556" s="26"/>
      <c r="BH556" s="26"/>
      <c r="BK556" s="26"/>
      <c r="BN556" s="26"/>
      <c r="BQ556" s="26"/>
      <c r="BT556" s="26"/>
    </row>
    <row r="557">
      <c r="I557" s="32"/>
      <c r="J557" s="26"/>
      <c r="K557" s="26"/>
      <c r="N557" s="26"/>
      <c r="O557" s="26"/>
      <c r="R557" s="26"/>
      <c r="S557" s="26"/>
      <c r="V557" s="26"/>
      <c r="W557" s="26"/>
      <c r="Z557" s="26"/>
      <c r="AA557" s="26"/>
      <c r="AD557" s="26"/>
      <c r="AG557" s="26"/>
      <c r="AJ557" s="26"/>
      <c r="AM557" s="26"/>
      <c r="AP557" s="26"/>
      <c r="AS557" s="26"/>
      <c r="AV557" s="26"/>
      <c r="AY557" s="26"/>
      <c r="BB557" s="26"/>
      <c r="BE557" s="26"/>
      <c r="BH557" s="26"/>
      <c r="BK557" s="26"/>
      <c r="BN557" s="26"/>
      <c r="BQ557" s="26"/>
      <c r="BT557" s="26"/>
    </row>
    <row r="558">
      <c r="I558" s="32"/>
      <c r="J558" s="26"/>
      <c r="K558" s="26"/>
      <c r="N558" s="26"/>
      <c r="O558" s="26"/>
      <c r="R558" s="26"/>
      <c r="S558" s="26"/>
      <c r="V558" s="26"/>
      <c r="W558" s="26"/>
      <c r="Z558" s="26"/>
      <c r="AA558" s="26"/>
      <c r="AD558" s="26"/>
      <c r="AG558" s="26"/>
      <c r="AJ558" s="26"/>
      <c r="AM558" s="26"/>
      <c r="AP558" s="26"/>
      <c r="AS558" s="26"/>
      <c r="AV558" s="26"/>
      <c r="AY558" s="26"/>
      <c r="BB558" s="26"/>
      <c r="BE558" s="26"/>
      <c r="BH558" s="26"/>
      <c r="BK558" s="26"/>
      <c r="BN558" s="26"/>
      <c r="BQ558" s="26"/>
      <c r="BT558" s="26"/>
    </row>
    <row r="559">
      <c r="I559" s="32"/>
      <c r="J559" s="26"/>
      <c r="K559" s="26"/>
      <c r="N559" s="26"/>
      <c r="O559" s="26"/>
      <c r="R559" s="26"/>
      <c r="S559" s="26"/>
      <c r="V559" s="26"/>
      <c r="W559" s="26"/>
      <c r="Z559" s="26"/>
      <c r="AA559" s="26"/>
      <c r="AD559" s="26"/>
      <c r="AG559" s="26"/>
      <c r="AJ559" s="26"/>
      <c r="AM559" s="26"/>
      <c r="AP559" s="26"/>
      <c r="AS559" s="26"/>
      <c r="AV559" s="26"/>
      <c r="AY559" s="26"/>
      <c r="BB559" s="26"/>
      <c r="BE559" s="26"/>
      <c r="BH559" s="26"/>
      <c r="BK559" s="26"/>
      <c r="BN559" s="26"/>
      <c r="BQ559" s="26"/>
      <c r="BT559" s="26"/>
    </row>
    <row r="560">
      <c r="I560" s="32"/>
      <c r="J560" s="26"/>
      <c r="K560" s="26"/>
      <c r="N560" s="26"/>
      <c r="O560" s="26"/>
      <c r="R560" s="26"/>
      <c r="S560" s="26"/>
      <c r="V560" s="26"/>
      <c r="W560" s="26"/>
      <c r="Z560" s="26"/>
      <c r="AA560" s="26"/>
      <c r="AD560" s="26"/>
      <c r="AG560" s="26"/>
      <c r="AJ560" s="26"/>
      <c r="AM560" s="26"/>
      <c r="AP560" s="26"/>
      <c r="AS560" s="26"/>
      <c r="AV560" s="26"/>
      <c r="AY560" s="26"/>
      <c r="BB560" s="26"/>
      <c r="BE560" s="26"/>
      <c r="BH560" s="26"/>
      <c r="BK560" s="26"/>
      <c r="BN560" s="26"/>
      <c r="BQ560" s="26"/>
      <c r="BT560" s="26"/>
    </row>
    <row r="561">
      <c r="I561" s="32"/>
      <c r="J561" s="26"/>
      <c r="K561" s="26"/>
      <c r="N561" s="26"/>
      <c r="O561" s="26"/>
      <c r="R561" s="26"/>
      <c r="S561" s="26"/>
      <c r="V561" s="26"/>
      <c r="W561" s="26"/>
      <c r="Z561" s="26"/>
      <c r="AA561" s="26"/>
      <c r="AD561" s="26"/>
      <c r="AG561" s="26"/>
      <c r="AJ561" s="26"/>
      <c r="AM561" s="26"/>
      <c r="AP561" s="26"/>
      <c r="AS561" s="26"/>
      <c r="AV561" s="26"/>
      <c r="AY561" s="26"/>
      <c r="BB561" s="26"/>
      <c r="BE561" s="26"/>
      <c r="BH561" s="26"/>
      <c r="BK561" s="26"/>
      <c r="BN561" s="26"/>
      <c r="BQ561" s="26"/>
      <c r="BT561" s="26"/>
    </row>
    <row r="562">
      <c r="I562" s="32"/>
      <c r="J562" s="26"/>
      <c r="K562" s="26"/>
      <c r="N562" s="26"/>
      <c r="O562" s="26"/>
      <c r="R562" s="26"/>
      <c r="S562" s="26"/>
      <c r="V562" s="26"/>
      <c r="W562" s="26"/>
      <c r="Z562" s="26"/>
      <c r="AA562" s="26"/>
      <c r="AD562" s="26"/>
      <c r="AG562" s="26"/>
      <c r="AJ562" s="26"/>
      <c r="AM562" s="26"/>
      <c r="AP562" s="26"/>
      <c r="AS562" s="26"/>
      <c r="AV562" s="26"/>
      <c r="AY562" s="26"/>
      <c r="BB562" s="26"/>
      <c r="BE562" s="26"/>
      <c r="BH562" s="26"/>
      <c r="BK562" s="26"/>
      <c r="BN562" s="26"/>
      <c r="BQ562" s="26"/>
      <c r="BT562" s="26"/>
    </row>
    <row r="563">
      <c r="I563" s="32"/>
      <c r="J563" s="26"/>
      <c r="K563" s="26"/>
      <c r="N563" s="26"/>
      <c r="O563" s="26"/>
      <c r="R563" s="26"/>
      <c r="S563" s="26"/>
      <c r="V563" s="26"/>
      <c r="W563" s="26"/>
      <c r="Z563" s="26"/>
      <c r="AA563" s="26"/>
      <c r="AD563" s="26"/>
      <c r="AG563" s="26"/>
      <c r="AJ563" s="26"/>
      <c r="AM563" s="26"/>
      <c r="AP563" s="26"/>
      <c r="AS563" s="26"/>
      <c r="AV563" s="26"/>
      <c r="AY563" s="26"/>
      <c r="BB563" s="26"/>
      <c r="BE563" s="26"/>
      <c r="BH563" s="26"/>
      <c r="BK563" s="26"/>
      <c r="BN563" s="26"/>
      <c r="BQ563" s="26"/>
      <c r="BT563" s="26"/>
    </row>
    <row r="564">
      <c r="I564" s="32"/>
      <c r="J564" s="26"/>
      <c r="K564" s="26"/>
      <c r="N564" s="26"/>
      <c r="O564" s="26"/>
      <c r="R564" s="26"/>
      <c r="S564" s="26"/>
      <c r="V564" s="26"/>
      <c r="W564" s="26"/>
      <c r="Z564" s="26"/>
      <c r="AA564" s="26"/>
      <c r="AD564" s="26"/>
      <c r="AG564" s="26"/>
      <c r="AJ564" s="26"/>
      <c r="AM564" s="26"/>
      <c r="AP564" s="26"/>
      <c r="AS564" s="26"/>
      <c r="AV564" s="26"/>
      <c r="AY564" s="26"/>
      <c r="BB564" s="26"/>
      <c r="BE564" s="26"/>
      <c r="BH564" s="26"/>
      <c r="BK564" s="26"/>
      <c r="BN564" s="26"/>
      <c r="BQ564" s="26"/>
      <c r="BT564" s="26"/>
    </row>
    <row r="565">
      <c r="I565" s="32"/>
      <c r="J565" s="26"/>
      <c r="K565" s="26"/>
      <c r="N565" s="26"/>
      <c r="O565" s="26"/>
      <c r="R565" s="26"/>
      <c r="S565" s="26"/>
      <c r="V565" s="26"/>
      <c r="W565" s="26"/>
      <c r="Z565" s="26"/>
      <c r="AA565" s="26"/>
      <c r="AD565" s="26"/>
      <c r="AG565" s="26"/>
      <c r="AJ565" s="26"/>
      <c r="AM565" s="26"/>
      <c r="AP565" s="26"/>
      <c r="AS565" s="26"/>
      <c r="AV565" s="26"/>
      <c r="AY565" s="26"/>
      <c r="BB565" s="26"/>
      <c r="BE565" s="26"/>
      <c r="BH565" s="26"/>
      <c r="BK565" s="26"/>
      <c r="BN565" s="26"/>
      <c r="BQ565" s="26"/>
      <c r="BT565" s="26"/>
    </row>
    <row r="566">
      <c r="I566" s="32"/>
      <c r="J566" s="26"/>
      <c r="K566" s="26"/>
      <c r="N566" s="26"/>
      <c r="O566" s="26"/>
      <c r="R566" s="26"/>
      <c r="S566" s="26"/>
      <c r="V566" s="26"/>
      <c r="W566" s="26"/>
      <c r="Z566" s="26"/>
      <c r="AA566" s="26"/>
      <c r="AD566" s="26"/>
      <c r="AG566" s="26"/>
      <c r="AJ566" s="26"/>
      <c r="AM566" s="26"/>
      <c r="AP566" s="26"/>
      <c r="AS566" s="26"/>
      <c r="AV566" s="26"/>
      <c r="AY566" s="26"/>
      <c r="BB566" s="26"/>
      <c r="BE566" s="26"/>
      <c r="BH566" s="26"/>
      <c r="BK566" s="26"/>
      <c r="BN566" s="26"/>
      <c r="BQ566" s="26"/>
      <c r="BT566" s="26"/>
    </row>
    <row r="567">
      <c r="I567" s="32"/>
      <c r="J567" s="26"/>
      <c r="K567" s="26"/>
      <c r="N567" s="26"/>
      <c r="O567" s="26"/>
      <c r="R567" s="26"/>
      <c r="S567" s="26"/>
      <c r="V567" s="26"/>
      <c r="W567" s="26"/>
      <c r="Z567" s="26"/>
      <c r="AA567" s="26"/>
      <c r="AD567" s="26"/>
      <c r="AG567" s="26"/>
      <c r="AJ567" s="26"/>
      <c r="AM567" s="26"/>
      <c r="AP567" s="26"/>
      <c r="AS567" s="26"/>
      <c r="AV567" s="26"/>
      <c r="AY567" s="26"/>
      <c r="BB567" s="26"/>
      <c r="BE567" s="26"/>
      <c r="BH567" s="26"/>
      <c r="BK567" s="26"/>
      <c r="BN567" s="26"/>
      <c r="BQ567" s="26"/>
      <c r="BT567" s="26"/>
    </row>
    <row r="568">
      <c r="I568" s="32"/>
      <c r="J568" s="26"/>
      <c r="K568" s="26"/>
      <c r="N568" s="26"/>
      <c r="O568" s="26"/>
      <c r="R568" s="26"/>
      <c r="S568" s="26"/>
      <c r="V568" s="26"/>
      <c r="W568" s="26"/>
      <c r="Z568" s="26"/>
      <c r="AA568" s="26"/>
      <c r="AD568" s="26"/>
      <c r="AG568" s="26"/>
      <c r="AJ568" s="26"/>
      <c r="AM568" s="26"/>
      <c r="AP568" s="26"/>
      <c r="AS568" s="26"/>
      <c r="AV568" s="26"/>
      <c r="AY568" s="26"/>
      <c r="BB568" s="26"/>
      <c r="BE568" s="26"/>
      <c r="BH568" s="26"/>
      <c r="BK568" s="26"/>
      <c r="BN568" s="26"/>
      <c r="BQ568" s="26"/>
      <c r="BT568" s="26"/>
    </row>
    <row r="569">
      <c r="I569" s="32"/>
      <c r="J569" s="26"/>
      <c r="K569" s="26"/>
      <c r="N569" s="26"/>
      <c r="O569" s="26"/>
      <c r="R569" s="26"/>
      <c r="S569" s="26"/>
      <c r="V569" s="26"/>
      <c r="W569" s="26"/>
      <c r="Z569" s="26"/>
      <c r="AA569" s="26"/>
      <c r="AD569" s="26"/>
      <c r="AG569" s="26"/>
      <c r="AJ569" s="26"/>
      <c r="AM569" s="26"/>
      <c r="AP569" s="26"/>
      <c r="AS569" s="26"/>
      <c r="AV569" s="26"/>
      <c r="AY569" s="26"/>
      <c r="BB569" s="26"/>
      <c r="BE569" s="26"/>
      <c r="BH569" s="26"/>
      <c r="BK569" s="26"/>
      <c r="BN569" s="26"/>
      <c r="BQ569" s="26"/>
      <c r="BT569" s="26"/>
    </row>
    <row r="570">
      <c r="I570" s="32"/>
      <c r="J570" s="26"/>
      <c r="K570" s="26"/>
      <c r="N570" s="26"/>
      <c r="O570" s="26"/>
      <c r="R570" s="26"/>
      <c r="S570" s="26"/>
      <c r="V570" s="26"/>
      <c r="W570" s="26"/>
      <c r="Z570" s="26"/>
      <c r="AA570" s="26"/>
      <c r="AD570" s="26"/>
      <c r="AG570" s="26"/>
      <c r="AJ570" s="26"/>
      <c r="AM570" s="26"/>
      <c r="AP570" s="26"/>
      <c r="AS570" s="26"/>
      <c r="AV570" s="26"/>
      <c r="AY570" s="26"/>
      <c r="BB570" s="26"/>
      <c r="BE570" s="26"/>
      <c r="BH570" s="26"/>
      <c r="BK570" s="26"/>
      <c r="BN570" s="26"/>
      <c r="BQ570" s="26"/>
      <c r="BT570" s="26"/>
    </row>
    <row r="571">
      <c r="I571" s="32"/>
      <c r="J571" s="26"/>
      <c r="K571" s="26"/>
      <c r="N571" s="26"/>
      <c r="O571" s="26"/>
      <c r="R571" s="26"/>
      <c r="S571" s="26"/>
      <c r="V571" s="26"/>
      <c r="W571" s="26"/>
      <c r="Z571" s="26"/>
      <c r="AA571" s="26"/>
      <c r="AD571" s="26"/>
      <c r="AG571" s="26"/>
      <c r="AJ571" s="26"/>
      <c r="AM571" s="26"/>
      <c r="AP571" s="26"/>
      <c r="AS571" s="26"/>
      <c r="AV571" s="26"/>
      <c r="AY571" s="26"/>
      <c r="BB571" s="26"/>
      <c r="BE571" s="26"/>
      <c r="BH571" s="26"/>
      <c r="BK571" s="26"/>
      <c r="BN571" s="26"/>
      <c r="BQ571" s="26"/>
      <c r="BT571" s="26"/>
    </row>
    <row r="572">
      <c r="I572" s="32"/>
      <c r="J572" s="26"/>
      <c r="K572" s="26"/>
      <c r="N572" s="26"/>
      <c r="O572" s="26"/>
      <c r="R572" s="26"/>
      <c r="S572" s="26"/>
      <c r="V572" s="26"/>
      <c r="W572" s="26"/>
      <c r="Z572" s="26"/>
      <c r="AA572" s="26"/>
      <c r="AD572" s="26"/>
      <c r="AG572" s="26"/>
      <c r="AJ572" s="26"/>
      <c r="AM572" s="26"/>
      <c r="AP572" s="26"/>
      <c r="AS572" s="26"/>
      <c r="AV572" s="26"/>
      <c r="AY572" s="26"/>
      <c r="BB572" s="26"/>
      <c r="BE572" s="26"/>
      <c r="BH572" s="26"/>
      <c r="BK572" s="26"/>
      <c r="BN572" s="26"/>
      <c r="BQ572" s="26"/>
      <c r="BT572" s="26"/>
    </row>
    <row r="573">
      <c r="I573" s="32"/>
      <c r="J573" s="26"/>
      <c r="K573" s="26"/>
      <c r="N573" s="26"/>
      <c r="O573" s="26"/>
      <c r="R573" s="26"/>
      <c r="S573" s="26"/>
      <c r="V573" s="26"/>
      <c r="W573" s="26"/>
      <c r="Z573" s="26"/>
      <c r="AA573" s="26"/>
      <c r="AD573" s="26"/>
      <c r="AG573" s="26"/>
      <c r="AJ573" s="26"/>
      <c r="AM573" s="26"/>
      <c r="AP573" s="26"/>
      <c r="AS573" s="26"/>
      <c r="AV573" s="26"/>
      <c r="AY573" s="26"/>
      <c r="BB573" s="26"/>
      <c r="BE573" s="26"/>
      <c r="BH573" s="26"/>
      <c r="BK573" s="26"/>
      <c r="BN573" s="26"/>
      <c r="BQ573" s="26"/>
      <c r="BT573" s="26"/>
    </row>
    <row r="574">
      <c r="I574" s="32"/>
      <c r="J574" s="26"/>
      <c r="K574" s="26"/>
      <c r="N574" s="26"/>
      <c r="O574" s="26"/>
      <c r="R574" s="26"/>
      <c r="S574" s="26"/>
      <c r="V574" s="26"/>
      <c r="W574" s="26"/>
      <c r="Z574" s="26"/>
      <c r="AA574" s="26"/>
      <c r="AD574" s="26"/>
      <c r="AG574" s="26"/>
      <c r="AJ574" s="26"/>
      <c r="AM574" s="26"/>
      <c r="AP574" s="26"/>
      <c r="AS574" s="26"/>
      <c r="AV574" s="26"/>
      <c r="AY574" s="26"/>
      <c r="BB574" s="26"/>
      <c r="BE574" s="26"/>
      <c r="BH574" s="26"/>
      <c r="BK574" s="26"/>
      <c r="BN574" s="26"/>
      <c r="BQ574" s="26"/>
      <c r="BT574" s="26"/>
    </row>
    <row r="575">
      <c r="I575" s="32"/>
      <c r="J575" s="26"/>
      <c r="K575" s="26"/>
      <c r="N575" s="26"/>
      <c r="O575" s="26"/>
      <c r="R575" s="26"/>
      <c r="S575" s="26"/>
      <c r="V575" s="26"/>
      <c r="W575" s="26"/>
      <c r="Z575" s="26"/>
      <c r="AA575" s="26"/>
      <c r="AD575" s="26"/>
      <c r="AG575" s="26"/>
      <c r="AJ575" s="26"/>
      <c r="AM575" s="26"/>
      <c r="AP575" s="26"/>
      <c r="AS575" s="26"/>
      <c r="AV575" s="26"/>
      <c r="AY575" s="26"/>
      <c r="BB575" s="26"/>
      <c r="BE575" s="26"/>
      <c r="BH575" s="26"/>
      <c r="BK575" s="26"/>
      <c r="BN575" s="26"/>
      <c r="BQ575" s="26"/>
      <c r="BT575" s="26"/>
    </row>
    <row r="576">
      <c r="I576" s="32"/>
      <c r="J576" s="26"/>
      <c r="K576" s="26"/>
      <c r="N576" s="26"/>
      <c r="O576" s="26"/>
      <c r="R576" s="26"/>
      <c r="S576" s="26"/>
      <c r="V576" s="26"/>
      <c r="W576" s="26"/>
      <c r="Z576" s="26"/>
      <c r="AA576" s="26"/>
      <c r="AD576" s="26"/>
      <c r="AG576" s="26"/>
      <c r="AJ576" s="26"/>
      <c r="AM576" s="26"/>
      <c r="AP576" s="26"/>
      <c r="AS576" s="26"/>
      <c r="AV576" s="26"/>
      <c r="AY576" s="26"/>
      <c r="BB576" s="26"/>
      <c r="BE576" s="26"/>
      <c r="BH576" s="26"/>
      <c r="BK576" s="26"/>
      <c r="BN576" s="26"/>
      <c r="BQ576" s="26"/>
      <c r="BT576" s="26"/>
    </row>
    <row r="577">
      <c r="I577" s="32"/>
      <c r="J577" s="26"/>
      <c r="K577" s="26"/>
      <c r="N577" s="26"/>
      <c r="O577" s="26"/>
      <c r="R577" s="26"/>
      <c r="S577" s="26"/>
      <c r="V577" s="26"/>
      <c r="W577" s="26"/>
      <c r="Z577" s="26"/>
      <c r="AA577" s="26"/>
      <c r="AD577" s="26"/>
      <c r="AG577" s="26"/>
      <c r="AJ577" s="26"/>
      <c r="AM577" s="26"/>
      <c r="AP577" s="26"/>
      <c r="AS577" s="26"/>
      <c r="AV577" s="26"/>
      <c r="AY577" s="26"/>
      <c r="BB577" s="26"/>
      <c r="BE577" s="26"/>
      <c r="BH577" s="26"/>
      <c r="BK577" s="26"/>
      <c r="BN577" s="26"/>
      <c r="BQ577" s="26"/>
      <c r="BT577" s="26"/>
    </row>
    <row r="578">
      <c r="I578" s="32"/>
      <c r="J578" s="26"/>
      <c r="K578" s="26"/>
      <c r="N578" s="26"/>
      <c r="O578" s="26"/>
      <c r="R578" s="26"/>
      <c r="S578" s="26"/>
      <c r="V578" s="26"/>
      <c r="W578" s="26"/>
      <c r="Z578" s="26"/>
      <c r="AA578" s="26"/>
      <c r="AD578" s="26"/>
      <c r="AG578" s="26"/>
      <c r="AJ578" s="26"/>
      <c r="AM578" s="26"/>
      <c r="AP578" s="26"/>
      <c r="AS578" s="26"/>
      <c r="AV578" s="26"/>
      <c r="AY578" s="26"/>
      <c r="BB578" s="26"/>
      <c r="BE578" s="26"/>
      <c r="BH578" s="26"/>
      <c r="BK578" s="26"/>
      <c r="BN578" s="26"/>
      <c r="BQ578" s="26"/>
      <c r="BT578" s="26"/>
    </row>
    <row r="579">
      <c r="I579" s="32"/>
      <c r="J579" s="26"/>
      <c r="K579" s="26"/>
      <c r="N579" s="26"/>
      <c r="O579" s="26"/>
      <c r="R579" s="26"/>
      <c r="S579" s="26"/>
      <c r="V579" s="26"/>
      <c r="W579" s="26"/>
      <c r="Z579" s="26"/>
      <c r="AA579" s="26"/>
      <c r="AD579" s="26"/>
      <c r="AG579" s="26"/>
      <c r="AJ579" s="26"/>
      <c r="AM579" s="26"/>
      <c r="AP579" s="26"/>
      <c r="AS579" s="26"/>
      <c r="AV579" s="26"/>
      <c r="AY579" s="26"/>
      <c r="BB579" s="26"/>
      <c r="BE579" s="26"/>
      <c r="BH579" s="26"/>
      <c r="BK579" s="26"/>
      <c r="BN579" s="26"/>
      <c r="BQ579" s="26"/>
      <c r="BT579" s="26"/>
    </row>
    <row r="580">
      <c r="I580" s="32"/>
      <c r="J580" s="26"/>
      <c r="K580" s="26"/>
      <c r="N580" s="26"/>
      <c r="O580" s="26"/>
      <c r="R580" s="26"/>
      <c r="S580" s="26"/>
      <c r="V580" s="26"/>
      <c r="W580" s="26"/>
      <c r="Z580" s="26"/>
      <c r="AA580" s="26"/>
      <c r="AD580" s="26"/>
      <c r="AG580" s="26"/>
      <c r="AJ580" s="26"/>
      <c r="AM580" s="26"/>
      <c r="AP580" s="26"/>
      <c r="AS580" s="26"/>
      <c r="AV580" s="26"/>
      <c r="AY580" s="26"/>
      <c r="BB580" s="26"/>
      <c r="BE580" s="26"/>
      <c r="BH580" s="26"/>
      <c r="BK580" s="26"/>
      <c r="BN580" s="26"/>
      <c r="BQ580" s="26"/>
      <c r="BT580" s="26"/>
    </row>
    <row r="581">
      <c r="I581" s="32"/>
      <c r="J581" s="26"/>
      <c r="K581" s="26"/>
      <c r="N581" s="26"/>
      <c r="O581" s="26"/>
      <c r="R581" s="26"/>
      <c r="S581" s="26"/>
      <c r="V581" s="26"/>
      <c r="W581" s="26"/>
      <c r="Z581" s="26"/>
      <c r="AA581" s="26"/>
      <c r="AD581" s="26"/>
      <c r="AG581" s="26"/>
      <c r="AJ581" s="26"/>
      <c r="AM581" s="26"/>
      <c r="AP581" s="26"/>
      <c r="AS581" s="26"/>
      <c r="AV581" s="26"/>
      <c r="AY581" s="26"/>
      <c r="BB581" s="26"/>
      <c r="BE581" s="26"/>
      <c r="BH581" s="26"/>
      <c r="BK581" s="26"/>
      <c r="BN581" s="26"/>
      <c r="BQ581" s="26"/>
      <c r="BT581" s="26"/>
    </row>
    <row r="582">
      <c r="I582" s="32"/>
      <c r="J582" s="26"/>
      <c r="K582" s="26"/>
      <c r="N582" s="26"/>
      <c r="O582" s="26"/>
      <c r="R582" s="26"/>
      <c r="S582" s="26"/>
      <c r="V582" s="26"/>
      <c r="W582" s="26"/>
      <c r="Z582" s="26"/>
      <c r="AA582" s="26"/>
      <c r="AD582" s="26"/>
      <c r="AG582" s="26"/>
      <c r="AJ582" s="26"/>
      <c r="AM582" s="26"/>
      <c r="AP582" s="26"/>
      <c r="AS582" s="26"/>
      <c r="AV582" s="26"/>
      <c r="AY582" s="26"/>
      <c r="BB582" s="26"/>
      <c r="BE582" s="26"/>
      <c r="BH582" s="26"/>
      <c r="BK582" s="26"/>
      <c r="BN582" s="26"/>
      <c r="BQ582" s="26"/>
      <c r="BT582" s="26"/>
    </row>
    <row r="583">
      <c r="I583" s="32"/>
      <c r="J583" s="26"/>
      <c r="K583" s="26"/>
      <c r="N583" s="26"/>
      <c r="O583" s="26"/>
      <c r="R583" s="26"/>
      <c r="S583" s="26"/>
      <c r="V583" s="26"/>
      <c r="W583" s="26"/>
      <c r="Z583" s="26"/>
      <c r="AA583" s="26"/>
      <c r="AD583" s="26"/>
      <c r="AG583" s="26"/>
      <c r="AJ583" s="26"/>
      <c r="AM583" s="26"/>
      <c r="AP583" s="26"/>
      <c r="AS583" s="26"/>
      <c r="AV583" s="26"/>
      <c r="AY583" s="26"/>
      <c r="BB583" s="26"/>
      <c r="BE583" s="26"/>
      <c r="BH583" s="26"/>
      <c r="BK583" s="26"/>
      <c r="BN583" s="26"/>
      <c r="BQ583" s="26"/>
      <c r="BT583" s="26"/>
    </row>
    <row r="584">
      <c r="I584" s="32"/>
      <c r="J584" s="26"/>
      <c r="K584" s="26"/>
      <c r="N584" s="26"/>
      <c r="O584" s="26"/>
      <c r="R584" s="26"/>
      <c r="S584" s="26"/>
      <c r="V584" s="26"/>
      <c r="W584" s="26"/>
      <c r="Z584" s="26"/>
      <c r="AA584" s="26"/>
      <c r="AD584" s="26"/>
      <c r="AG584" s="26"/>
      <c r="AJ584" s="26"/>
      <c r="AM584" s="26"/>
      <c r="AP584" s="26"/>
      <c r="AS584" s="26"/>
      <c r="AV584" s="26"/>
      <c r="AY584" s="26"/>
      <c r="BB584" s="26"/>
      <c r="BE584" s="26"/>
      <c r="BH584" s="26"/>
      <c r="BK584" s="26"/>
      <c r="BN584" s="26"/>
      <c r="BQ584" s="26"/>
      <c r="BT584" s="26"/>
    </row>
    <row r="585">
      <c r="I585" s="32"/>
      <c r="J585" s="26"/>
      <c r="K585" s="26"/>
      <c r="N585" s="26"/>
      <c r="O585" s="26"/>
      <c r="R585" s="26"/>
      <c r="S585" s="26"/>
      <c r="V585" s="26"/>
      <c r="W585" s="26"/>
      <c r="Z585" s="26"/>
      <c r="AA585" s="26"/>
      <c r="AD585" s="26"/>
      <c r="AG585" s="26"/>
      <c r="AJ585" s="26"/>
      <c r="AM585" s="26"/>
      <c r="AP585" s="26"/>
      <c r="AS585" s="26"/>
      <c r="AV585" s="26"/>
      <c r="AY585" s="26"/>
      <c r="BB585" s="26"/>
      <c r="BE585" s="26"/>
      <c r="BH585" s="26"/>
      <c r="BK585" s="26"/>
      <c r="BN585" s="26"/>
      <c r="BQ585" s="26"/>
      <c r="BT585" s="26"/>
    </row>
    <row r="586">
      <c r="I586" s="32"/>
      <c r="J586" s="26"/>
      <c r="K586" s="26"/>
      <c r="N586" s="26"/>
      <c r="O586" s="26"/>
      <c r="R586" s="26"/>
      <c r="S586" s="26"/>
      <c r="V586" s="26"/>
      <c r="W586" s="26"/>
      <c r="Z586" s="26"/>
      <c r="AA586" s="26"/>
      <c r="AD586" s="26"/>
      <c r="AG586" s="26"/>
      <c r="AJ586" s="26"/>
      <c r="AM586" s="26"/>
      <c r="AP586" s="26"/>
      <c r="AS586" s="26"/>
      <c r="AV586" s="26"/>
      <c r="AY586" s="26"/>
      <c r="BB586" s="26"/>
      <c r="BE586" s="26"/>
      <c r="BH586" s="26"/>
      <c r="BK586" s="26"/>
      <c r="BN586" s="26"/>
      <c r="BQ586" s="26"/>
      <c r="BT586" s="26"/>
    </row>
    <row r="587">
      <c r="I587" s="32"/>
      <c r="J587" s="26"/>
      <c r="K587" s="26"/>
      <c r="N587" s="26"/>
      <c r="O587" s="26"/>
      <c r="R587" s="26"/>
      <c r="S587" s="26"/>
      <c r="V587" s="26"/>
      <c r="W587" s="26"/>
      <c r="Z587" s="26"/>
      <c r="AA587" s="26"/>
      <c r="AD587" s="26"/>
      <c r="AG587" s="26"/>
      <c r="AJ587" s="26"/>
      <c r="AM587" s="26"/>
      <c r="AP587" s="26"/>
      <c r="AS587" s="26"/>
      <c r="AV587" s="26"/>
      <c r="AY587" s="26"/>
      <c r="BB587" s="26"/>
      <c r="BE587" s="26"/>
      <c r="BH587" s="26"/>
      <c r="BK587" s="26"/>
      <c r="BN587" s="26"/>
      <c r="BQ587" s="26"/>
      <c r="BT587" s="26"/>
    </row>
    <row r="588">
      <c r="I588" s="32"/>
      <c r="J588" s="26"/>
      <c r="K588" s="26"/>
      <c r="N588" s="26"/>
      <c r="O588" s="26"/>
      <c r="R588" s="26"/>
      <c r="S588" s="26"/>
      <c r="V588" s="26"/>
      <c r="W588" s="26"/>
      <c r="Z588" s="26"/>
      <c r="AA588" s="26"/>
      <c r="AD588" s="26"/>
      <c r="AG588" s="26"/>
      <c r="AJ588" s="26"/>
      <c r="AM588" s="26"/>
      <c r="AP588" s="26"/>
      <c r="AS588" s="26"/>
      <c r="AV588" s="26"/>
      <c r="AY588" s="26"/>
      <c r="BB588" s="26"/>
      <c r="BE588" s="26"/>
      <c r="BH588" s="26"/>
      <c r="BK588" s="26"/>
      <c r="BN588" s="26"/>
      <c r="BQ588" s="26"/>
      <c r="BT588" s="26"/>
    </row>
    <row r="589">
      <c r="I589" s="32"/>
      <c r="J589" s="26"/>
      <c r="K589" s="26"/>
      <c r="N589" s="26"/>
      <c r="O589" s="26"/>
      <c r="R589" s="26"/>
      <c r="S589" s="26"/>
      <c r="V589" s="26"/>
      <c r="W589" s="26"/>
      <c r="Z589" s="26"/>
      <c r="AA589" s="26"/>
      <c r="AD589" s="26"/>
      <c r="AG589" s="26"/>
      <c r="AJ589" s="26"/>
      <c r="AM589" s="26"/>
      <c r="AP589" s="26"/>
      <c r="AS589" s="26"/>
      <c r="AV589" s="26"/>
      <c r="AY589" s="26"/>
      <c r="BB589" s="26"/>
      <c r="BE589" s="26"/>
      <c r="BH589" s="26"/>
      <c r="BK589" s="26"/>
      <c r="BN589" s="26"/>
      <c r="BQ589" s="26"/>
      <c r="BT589" s="26"/>
    </row>
    <row r="590">
      <c r="I590" s="32"/>
      <c r="J590" s="26"/>
      <c r="K590" s="26"/>
      <c r="N590" s="26"/>
      <c r="O590" s="26"/>
      <c r="R590" s="26"/>
      <c r="S590" s="26"/>
      <c r="V590" s="26"/>
      <c r="W590" s="26"/>
      <c r="Z590" s="26"/>
      <c r="AA590" s="26"/>
      <c r="AD590" s="26"/>
      <c r="AG590" s="26"/>
      <c r="AJ590" s="26"/>
      <c r="AM590" s="26"/>
      <c r="AP590" s="26"/>
      <c r="AS590" s="26"/>
      <c r="AV590" s="26"/>
      <c r="AY590" s="26"/>
      <c r="BB590" s="26"/>
      <c r="BE590" s="26"/>
      <c r="BH590" s="26"/>
      <c r="BK590" s="26"/>
      <c r="BN590" s="26"/>
      <c r="BQ590" s="26"/>
      <c r="BT590" s="26"/>
    </row>
    <row r="591">
      <c r="I591" s="32"/>
      <c r="J591" s="26"/>
      <c r="K591" s="26"/>
      <c r="N591" s="26"/>
      <c r="O591" s="26"/>
      <c r="R591" s="26"/>
      <c r="S591" s="26"/>
      <c r="V591" s="26"/>
      <c r="W591" s="26"/>
      <c r="Z591" s="26"/>
      <c r="AA591" s="26"/>
      <c r="AD591" s="26"/>
      <c r="AG591" s="26"/>
      <c r="AJ591" s="26"/>
      <c r="AM591" s="26"/>
      <c r="AP591" s="26"/>
      <c r="AS591" s="26"/>
      <c r="AV591" s="26"/>
      <c r="AY591" s="26"/>
      <c r="BB591" s="26"/>
      <c r="BE591" s="26"/>
      <c r="BH591" s="26"/>
      <c r="BK591" s="26"/>
      <c r="BN591" s="26"/>
      <c r="BQ591" s="26"/>
      <c r="BT591" s="26"/>
    </row>
    <row r="592">
      <c r="I592" s="32"/>
      <c r="J592" s="26"/>
      <c r="K592" s="26"/>
      <c r="N592" s="26"/>
      <c r="O592" s="26"/>
      <c r="R592" s="26"/>
      <c r="S592" s="26"/>
      <c r="V592" s="26"/>
      <c r="W592" s="26"/>
      <c r="Z592" s="26"/>
      <c r="AA592" s="26"/>
      <c r="AD592" s="26"/>
      <c r="AG592" s="26"/>
      <c r="AJ592" s="26"/>
      <c r="AM592" s="26"/>
      <c r="AP592" s="26"/>
      <c r="AS592" s="26"/>
      <c r="AV592" s="26"/>
      <c r="AY592" s="26"/>
      <c r="BB592" s="26"/>
      <c r="BE592" s="26"/>
      <c r="BH592" s="26"/>
      <c r="BK592" s="26"/>
      <c r="BN592" s="26"/>
      <c r="BQ592" s="26"/>
      <c r="BT592" s="26"/>
    </row>
    <row r="593">
      <c r="I593" s="32"/>
      <c r="J593" s="26"/>
      <c r="K593" s="26"/>
      <c r="N593" s="26"/>
      <c r="O593" s="26"/>
      <c r="R593" s="26"/>
      <c r="S593" s="26"/>
      <c r="V593" s="26"/>
      <c r="W593" s="26"/>
      <c r="Z593" s="26"/>
      <c r="AA593" s="26"/>
      <c r="AD593" s="26"/>
      <c r="AG593" s="26"/>
      <c r="AJ593" s="26"/>
      <c r="AM593" s="26"/>
      <c r="AP593" s="26"/>
      <c r="AS593" s="26"/>
      <c r="AV593" s="26"/>
      <c r="AY593" s="26"/>
      <c r="BB593" s="26"/>
      <c r="BE593" s="26"/>
      <c r="BH593" s="26"/>
      <c r="BK593" s="26"/>
      <c r="BN593" s="26"/>
      <c r="BQ593" s="26"/>
      <c r="BT593" s="26"/>
    </row>
    <row r="594">
      <c r="I594" s="32"/>
      <c r="J594" s="26"/>
      <c r="K594" s="26"/>
      <c r="N594" s="26"/>
      <c r="O594" s="26"/>
      <c r="R594" s="26"/>
      <c r="S594" s="26"/>
      <c r="V594" s="26"/>
      <c r="W594" s="26"/>
      <c r="Z594" s="26"/>
      <c r="AA594" s="26"/>
      <c r="AD594" s="26"/>
      <c r="AG594" s="26"/>
      <c r="AJ594" s="26"/>
      <c r="AM594" s="26"/>
      <c r="AP594" s="26"/>
      <c r="AS594" s="26"/>
      <c r="AV594" s="26"/>
      <c r="AY594" s="26"/>
      <c r="BB594" s="26"/>
      <c r="BE594" s="26"/>
      <c r="BH594" s="26"/>
      <c r="BK594" s="26"/>
      <c r="BN594" s="26"/>
      <c r="BQ594" s="26"/>
      <c r="BT594" s="26"/>
    </row>
    <row r="595">
      <c r="I595" s="32"/>
      <c r="J595" s="26"/>
      <c r="K595" s="26"/>
      <c r="N595" s="26"/>
      <c r="O595" s="26"/>
      <c r="R595" s="26"/>
      <c r="S595" s="26"/>
      <c r="V595" s="26"/>
      <c r="W595" s="26"/>
      <c r="Z595" s="26"/>
      <c r="AA595" s="26"/>
      <c r="AD595" s="26"/>
      <c r="AG595" s="26"/>
      <c r="AJ595" s="26"/>
      <c r="AM595" s="26"/>
      <c r="AP595" s="26"/>
      <c r="AS595" s="26"/>
      <c r="AV595" s="26"/>
      <c r="AY595" s="26"/>
      <c r="BB595" s="26"/>
      <c r="BE595" s="26"/>
      <c r="BH595" s="26"/>
      <c r="BK595" s="26"/>
      <c r="BN595" s="26"/>
      <c r="BQ595" s="26"/>
      <c r="BT595" s="26"/>
    </row>
    <row r="596">
      <c r="I596" s="32"/>
      <c r="J596" s="26"/>
      <c r="K596" s="26"/>
      <c r="N596" s="26"/>
      <c r="O596" s="26"/>
      <c r="R596" s="26"/>
      <c r="S596" s="26"/>
      <c r="V596" s="26"/>
      <c r="W596" s="26"/>
      <c r="Z596" s="26"/>
      <c r="AA596" s="26"/>
      <c r="AD596" s="26"/>
      <c r="AG596" s="26"/>
      <c r="AJ596" s="26"/>
      <c r="AM596" s="26"/>
      <c r="AP596" s="26"/>
      <c r="AS596" s="26"/>
      <c r="AV596" s="26"/>
      <c r="AY596" s="26"/>
      <c r="BB596" s="26"/>
      <c r="BE596" s="26"/>
      <c r="BH596" s="26"/>
      <c r="BK596" s="26"/>
      <c r="BN596" s="26"/>
      <c r="BQ596" s="26"/>
      <c r="BT596" s="26"/>
    </row>
    <row r="597">
      <c r="I597" s="32"/>
      <c r="J597" s="26"/>
      <c r="K597" s="26"/>
      <c r="N597" s="26"/>
      <c r="O597" s="26"/>
      <c r="R597" s="26"/>
      <c r="S597" s="26"/>
      <c r="V597" s="26"/>
      <c r="W597" s="26"/>
      <c r="Z597" s="26"/>
      <c r="AA597" s="26"/>
      <c r="AD597" s="26"/>
      <c r="AG597" s="26"/>
      <c r="AJ597" s="26"/>
      <c r="AM597" s="26"/>
      <c r="AP597" s="26"/>
      <c r="AS597" s="26"/>
      <c r="AV597" s="26"/>
      <c r="AY597" s="26"/>
      <c r="BB597" s="26"/>
      <c r="BE597" s="26"/>
      <c r="BH597" s="26"/>
      <c r="BK597" s="26"/>
      <c r="BN597" s="26"/>
      <c r="BQ597" s="26"/>
      <c r="BT597" s="26"/>
    </row>
    <row r="598">
      <c r="I598" s="32"/>
      <c r="J598" s="26"/>
      <c r="K598" s="26"/>
      <c r="N598" s="26"/>
      <c r="O598" s="26"/>
      <c r="R598" s="26"/>
      <c r="S598" s="26"/>
      <c r="V598" s="26"/>
      <c r="W598" s="26"/>
      <c r="Z598" s="26"/>
      <c r="AA598" s="26"/>
      <c r="AD598" s="26"/>
      <c r="AG598" s="26"/>
      <c r="AJ598" s="26"/>
      <c r="AM598" s="26"/>
      <c r="AP598" s="26"/>
      <c r="AS598" s="26"/>
      <c r="AV598" s="26"/>
      <c r="AY598" s="26"/>
      <c r="BB598" s="26"/>
      <c r="BE598" s="26"/>
      <c r="BH598" s="26"/>
      <c r="BK598" s="26"/>
      <c r="BN598" s="26"/>
      <c r="BQ598" s="26"/>
      <c r="BT598" s="26"/>
    </row>
    <row r="599">
      <c r="I599" s="32"/>
      <c r="J599" s="26"/>
      <c r="K599" s="26"/>
      <c r="N599" s="26"/>
      <c r="O599" s="26"/>
      <c r="R599" s="26"/>
      <c r="S599" s="26"/>
      <c r="V599" s="26"/>
      <c r="W599" s="26"/>
      <c r="Z599" s="26"/>
      <c r="AA599" s="26"/>
      <c r="AD599" s="26"/>
      <c r="AG599" s="26"/>
      <c r="AJ599" s="26"/>
      <c r="AM599" s="26"/>
      <c r="AP599" s="26"/>
      <c r="AS599" s="26"/>
      <c r="AV599" s="26"/>
      <c r="AY599" s="26"/>
      <c r="BB599" s="26"/>
      <c r="BE599" s="26"/>
      <c r="BH599" s="26"/>
      <c r="BK599" s="26"/>
      <c r="BN599" s="26"/>
      <c r="BQ599" s="26"/>
      <c r="BT599" s="26"/>
    </row>
    <row r="600">
      <c r="I600" s="32"/>
      <c r="J600" s="26"/>
      <c r="K600" s="26"/>
      <c r="N600" s="26"/>
      <c r="O600" s="26"/>
      <c r="R600" s="26"/>
      <c r="S600" s="26"/>
      <c r="V600" s="26"/>
      <c r="W600" s="26"/>
      <c r="Z600" s="26"/>
      <c r="AA600" s="26"/>
      <c r="AD600" s="26"/>
      <c r="AG600" s="26"/>
      <c r="AJ600" s="26"/>
      <c r="AM600" s="26"/>
      <c r="AP600" s="26"/>
      <c r="AS600" s="26"/>
      <c r="AV600" s="26"/>
      <c r="AY600" s="26"/>
      <c r="BB600" s="26"/>
      <c r="BE600" s="26"/>
      <c r="BH600" s="26"/>
      <c r="BK600" s="26"/>
      <c r="BN600" s="26"/>
      <c r="BQ600" s="26"/>
      <c r="BT600" s="26"/>
    </row>
    <row r="601">
      <c r="I601" s="32"/>
      <c r="J601" s="26"/>
      <c r="K601" s="26"/>
      <c r="N601" s="26"/>
      <c r="O601" s="26"/>
      <c r="R601" s="26"/>
      <c r="S601" s="26"/>
      <c r="V601" s="26"/>
      <c r="W601" s="26"/>
      <c r="Z601" s="26"/>
      <c r="AA601" s="26"/>
      <c r="AD601" s="26"/>
      <c r="AG601" s="26"/>
      <c r="AJ601" s="26"/>
      <c r="AM601" s="26"/>
      <c r="AP601" s="26"/>
      <c r="AS601" s="26"/>
      <c r="AV601" s="26"/>
      <c r="AY601" s="26"/>
      <c r="BB601" s="26"/>
      <c r="BE601" s="26"/>
      <c r="BH601" s="26"/>
      <c r="BK601" s="26"/>
      <c r="BN601" s="26"/>
      <c r="BQ601" s="26"/>
      <c r="BT601" s="26"/>
    </row>
    <row r="602">
      <c r="I602" s="32"/>
      <c r="J602" s="26"/>
      <c r="K602" s="26"/>
      <c r="N602" s="26"/>
      <c r="O602" s="26"/>
      <c r="R602" s="26"/>
      <c r="S602" s="26"/>
      <c r="V602" s="26"/>
      <c r="W602" s="26"/>
      <c r="Z602" s="26"/>
      <c r="AA602" s="26"/>
      <c r="AD602" s="26"/>
      <c r="AG602" s="26"/>
      <c r="AJ602" s="26"/>
      <c r="AM602" s="26"/>
      <c r="AP602" s="26"/>
      <c r="AS602" s="26"/>
      <c r="AV602" s="26"/>
      <c r="AY602" s="26"/>
      <c r="BB602" s="26"/>
      <c r="BE602" s="26"/>
      <c r="BH602" s="26"/>
      <c r="BK602" s="26"/>
      <c r="BN602" s="26"/>
      <c r="BQ602" s="26"/>
      <c r="BT602" s="26"/>
    </row>
    <row r="603">
      <c r="I603" s="32"/>
      <c r="J603" s="26"/>
      <c r="K603" s="26"/>
      <c r="N603" s="26"/>
      <c r="O603" s="26"/>
      <c r="R603" s="26"/>
      <c r="S603" s="26"/>
      <c r="V603" s="26"/>
      <c r="W603" s="26"/>
      <c r="Z603" s="26"/>
      <c r="AA603" s="26"/>
      <c r="AD603" s="26"/>
      <c r="AG603" s="26"/>
      <c r="AJ603" s="26"/>
      <c r="AM603" s="26"/>
      <c r="AP603" s="26"/>
      <c r="AS603" s="26"/>
      <c r="AV603" s="26"/>
      <c r="AY603" s="26"/>
      <c r="BB603" s="26"/>
      <c r="BE603" s="26"/>
      <c r="BH603" s="26"/>
      <c r="BK603" s="26"/>
      <c r="BN603" s="26"/>
      <c r="BQ603" s="26"/>
      <c r="BT603" s="26"/>
    </row>
    <row r="604">
      <c r="I604" s="32"/>
      <c r="J604" s="26"/>
      <c r="K604" s="26"/>
      <c r="N604" s="26"/>
      <c r="O604" s="26"/>
      <c r="R604" s="26"/>
      <c r="S604" s="26"/>
      <c r="V604" s="26"/>
      <c r="W604" s="26"/>
      <c r="Z604" s="26"/>
      <c r="AA604" s="26"/>
      <c r="AD604" s="26"/>
      <c r="AG604" s="26"/>
      <c r="AJ604" s="26"/>
      <c r="AM604" s="26"/>
      <c r="AP604" s="26"/>
      <c r="AS604" s="26"/>
      <c r="AV604" s="26"/>
      <c r="AY604" s="26"/>
      <c r="BB604" s="26"/>
      <c r="BE604" s="26"/>
      <c r="BH604" s="26"/>
      <c r="BK604" s="26"/>
      <c r="BN604" s="26"/>
      <c r="BQ604" s="26"/>
      <c r="BT604" s="26"/>
    </row>
    <row r="605">
      <c r="I605" s="32"/>
      <c r="J605" s="26"/>
      <c r="K605" s="26"/>
      <c r="N605" s="26"/>
      <c r="O605" s="26"/>
      <c r="R605" s="26"/>
      <c r="S605" s="26"/>
      <c r="V605" s="26"/>
      <c r="W605" s="26"/>
      <c r="Z605" s="26"/>
      <c r="AA605" s="26"/>
      <c r="AD605" s="26"/>
      <c r="AG605" s="26"/>
      <c r="AJ605" s="26"/>
      <c r="AM605" s="26"/>
      <c r="AP605" s="26"/>
      <c r="AS605" s="26"/>
      <c r="AV605" s="26"/>
      <c r="AY605" s="26"/>
      <c r="BB605" s="26"/>
      <c r="BE605" s="26"/>
      <c r="BH605" s="26"/>
      <c r="BK605" s="26"/>
      <c r="BN605" s="26"/>
      <c r="BQ605" s="26"/>
      <c r="BT605" s="26"/>
    </row>
    <row r="606">
      <c r="I606" s="32"/>
      <c r="J606" s="26"/>
      <c r="K606" s="26"/>
      <c r="N606" s="26"/>
      <c r="O606" s="26"/>
      <c r="R606" s="26"/>
      <c r="S606" s="26"/>
      <c r="V606" s="26"/>
      <c r="W606" s="26"/>
      <c r="Z606" s="26"/>
      <c r="AA606" s="26"/>
      <c r="AD606" s="26"/>
      <c r="AG606" s="26"/>
      <c r="AJ606" s="26"/>
      <c r="AM606" s="26"/>
      <c r="AP606" s="26"/>
      <c r="AS606" s="26"/>
      <c r="AV606" s="26"/>
      <c r="AY606" s="26"/>
      <c r="BB606" s="26"/>
      <c r="BE606" s="26"/>
      <c r="BH606" s="26"/>
      <c r="BK606" s="26"/>
      <c r="BN606" s="26"/>
      <c r="BQ606" s="26"/>
      <c r="BT606" s="26"/>
    </row>
    <row r="607">
      <c r="I607" s="32"/>
      <c r="J607" s="26"/>
      <c r="K607" s="26"/>
      <c r="N607" s="26"/>
      <c r="O607" s="26"/>
      <c r="R607" s="26"/>
      <c r="S607" s="26"/>
      <c r="V607" s="26"/>
      <c r="W607" s="26"/>
      <c r="Z607" s="26"/>
      <c r="AA607" s="26"/>
      <c r="AD607" s="26"/>
      <c r="AG607" s="26"/>
      <c r="AJ607" s="26"/>
      <c r="AM607" s="26"/>
      <c r="AP607" s="26"/>
      <c r="AS607" s="26"/>
      <c r="AV607" s="26"/>
      <c r="AY607" s="26"/>
      <c r="BB607" s="26"/>
      <c r="BE607" s="26"/>
      <c r="BH607" s="26"/>
      <c r="BK607" s="26"/>
      <c r="BN607" s="26"/>
      <c r="BQ607" s="26"/>
      <c r="BT607" s="26"/>
    </row>
    <row r="608">
      <c r="I608" s="32"/>
      <c r="J608" s="26"/>
      <c r="K608" s="26"/>
      <c r="N608" s="26"/>
      <c r="O608" s="26"/>
      <c r="R608" s="26"/>
      <c r="S608" s="26"/>
      <c r="V608" s="26"/>
      <c r="W608" s="26"/>
      <c r="Z608" s="26"/>
      <c r="AA608" s="26"/>
      <c r="AD608" s="26"/>
      <c r="AG608" s="26"/>
      <c r="AJ608" s="26"/>
      <c r="AM608" s="26"/>
      <c r="AP608" s="26"/>
      <c r="AS608" s="26"/>
      <c r="AV608" s="26"/>
      <c r="AY608" s="26"/>
      <c r="BB608" s="26"/>
      <c r="BE608" s="26"/>
      <c r="BH608" s="26"/>
      <c r="BK608" s="26"/>
      <c r="BN608" s="26"/>
      <c r="BQ608" s="26"/>
      <c r="BT608" s="26"/>
    </row>
    <row r="609">
      <c r="I609" s="32"/>
      <c r="J609" s="26"/>
      <c r="K609" s="26"/>
      <c r="N609" s="26"/>
      <c r="O609" s="26"/>
      <c r="R609" s="26"/>
      <c r="S609" s="26"/>
      <c r="V609" s="26"/>
      <c r="W609" s="26"/>
      <c r="Z609" s="26"/>
      <c r="AA609" s="26"/>
      <c r="AD609" s="26"/>
      <c r="AG609" s="26"/>
      <c r="AJ609" s="26"/>
      <c r="AM609" s="26"/>
      <c r="AP609" s="26"/>
      <c r="AS609" s="26"/>
      <c r="AV609" s="26"/>
      <c r="AY609" s="26"/>
      <c r="BB609" s="26"/>
      <c r="BE609" s="26"/>
      <c r="BH609" s="26"/>
      <c r="BK609" s="26"/>
      <c r="BN609" s="26"/>
      <c r="BQ609" s="26"/>
      <c r="BT609" s="26"/>
    </row>
    <row r="610">
      <c r="I610" s="32"/>
      <c r="J610" s="26"/>
      <c r="K610" s="26"/>
      <c r="N610" s="26"/>
      <c r="O610" s="26"/>
      <c r="R610" s="26"/>
      <c r="S610" s="26"/>
      <c r="V610" s="26"/>
      <c r="W610" s="26"/>
      <c r="Z610" s="26"/>
      <c r="AA610" s="26"/>
      <c r="AD610" s="26"/>
      <c r="AG610" s="26"/>
      <c r="AJ610" s="26"/>
      <c r="AM610" s="26"/>
      <c r="AP610" s="26"/>
      <c r="AS610" s="26"/>
      <c r="AV610" s="26"/>
      <c r="AY610" s="26"/>
      <c r="BB610" s="26"/>
      <c r="BE610" s="26"/>
      <c r="BH610" s="26"/>
      <c r="BK610" s="26"/>
      <c r="BN610" s="26"/>
      <c r="BQ610" s="26"/>
      <c r="BT610" s="26"/>
    </row>
    <row r="611">
      <c r="I611" s="32"/>
      <c r="J611" s="26"/>
      <c r="K611" s="26"/>
      <c r="N611" s="26"/>
      <c r="O611" s="26"/>
      <c r="R611" s="26"/>
      <c r="S611" s="26"/>
      <c r="V611" s="26"/>
      <c r="W611" s="26"/>
      <c r="Z611" s="26"/>
      <c r="AA611" s="26"/>
      <c r="AD611" s="26"/>
      <c r="AG611" s="26"/>
      <c r="AJ611" s="26"/>
      <c r="AM611" s="26"/>
      <c r="AP611" s="26"/>
      <c r="AS611" s="26"/>
      <c r="AV611" s="26"/>
      <c r="AY611" s="26"/>
      <c r="BB611" s="26"/>
      <c r="BE611" s="26"/>
      <c r="BH611" s="26"/>
      <c r="BK611" s="26"/>
      <c r="BN611" s="26"/>
      <c r="BQ611" s="26"/>
      <c r="BT611" s="26"/>
    </row>
    <row r="612">
      <c r="I612" s="32"/>
      <c r="J612" s="26"/>
      <c r="K612" s="26"/>
      <c r="N612" s="26"/>
      <c r="O612" s="26"/>
      <c r="R612" s="26"/>
      <c r="S612" s="26"/>
      <c r="V612" s="26"/>
      <c r="W612" s="26"/>
      <c r="Z612" s="26"/>
      <c r="AA612" s="26"/>
      <c r="AD612" s="26"/>
      <c r="AG612" s="26"/>
      <c r="AJ612" s="26"/>
      <c r="AM612" s="26"/>
      <c r="AP612" s="26"/>
      <c r="AS612" s="26"/>
      <c r="AV612" s="26"/>
      <c r="AY612" s="26"/>
      <c r="BB612" s="26"/>
      <c r="BE612" s="26"/>
      <c r="BH612" s="26"/>
      <c r="BK612" s="26"/>
      <c r="BN612" s="26"/>
      <c r="BQ612" s="26"/>
      <c r="BT612" s="26"/>
    </row>
    <row r="613">
      <c r="I613" s="32"/>
      <c r="J613" s="26"/>
      <c r="K613" s="26"/>
      <c r="N613" s="26"/>
      <c r="O613" s="26"/>
      <c r="R613" s="26"/>
      <c r="S613" s="26"/>
      <c r="V613" s="26"/>
      <c r="W613" s="26"/>
      <c r="Z613" s="26"/>
      <c r="AA613" s="26"/>
      <c r="AD613" s="26"/>
      <c r="AG613" s="26"/>
      <c r="AJ613" s="26"/>
      <c r="AM613" s="26"/>
      <c r="AP613" s="26"/>
      <c r="AS613" s="26"/>
      <c r="AV613" s="26"/>
      <c r="AY613" s="26"/>
      <c r="BB613" s="26"/>
      <c r="BE613" s="26"/>
      <c r="BH613" s="26"/>
      <c r="BK613" s="26"/>
      <c r="BN613" s="26"/>
      <c r="BQ613" s="26"/>
      <c r="BT613" s="26"/>
    </row>
    <row r="614">
      <c r="I614" s="32"/>
      <c r="J614" s="26"/>
      <c r="K614" s="26"/>
      <c r="N614" s="26"/>
      <c r="O614" s="26"/>
      <c r="R614" s="26"/>
      <c r="S614" s="26"/>
      <c r="V614" s="26"/>
      <c r="W614" s="26"/>
      <c r="Z614" s="26"/>
      <c r="AA614" s="26"/>
      <c r="AD614" s="26"/>
      <c r="AG614" s="26"/>
      <c r="AJ614" s="26"/>
      <c r="AM614" s="26"/>
      <c r="AP614" s="26"/>
      <c r="AS614" s="26"/>
      <c r="AV614" s="26"/>
      <c r="AY614" s="26"/>
      <c r="BB614" s="26"/>
      <c r="BE614" s="26"/>
      <c r="BH614" s="26"/>
      <c r="BK614" s="26"/>
      <c r="BN614" s="26"/>
      <c r="BQ614" s="26"/>
      <c r="BT614" s="26"/>
    </row>
    <row r="615">
      <c r="I615" s="32"/>
      <c r="J615" s="26"/>
      <c r="K615" s="26"/>
      <c r="N615" s="26"/>
      <c r="O615" s="26"/>
      <c r="R615" s="26"/>
      <c r="S615" s="26"/>
      <c r="V615" s="26"/>
      <c r="W615" s="26"/>
      <c r="Z615" s="26"/>
      <c r="AA615" s="26"/>
      <c r="AD615" s="26"/>
      <c r="AG615" s="26"/>
      <c r="AJ615" s="26"/>
      <c r="AM615" s="26"/>
      <c r="AP615" s="26"/>
      <c r="AS615" s="26"/>
      <c r="AV615" s="26"/>
      <c r="AY615" s="26"/>
      <c r="BB615" s="26"/>
      <c r="BE615" s="26"/>
      <c r="BH615" s="26"/>
      <c r="BK615" s="26"/>
      <c r="BN615" s="26"/>
      <c r="BQ615" s="26"/>
      <c r="BT615" s="26"/>
    </row>
    <row r="616">
      <c r="I616" s="32"/>
      <c r="J616" s="26"/>
      <c r="K616" s="26"/>
      <c r="N616" s="26"/>
      <c r="O616" s="26"/>
      <c r="R616" s="26"/>
      <c r="S616" s="26"/>
      <c r="V616" s="26"/>
      <c r="W616" s="26"/>
      <c r="Z616" s="26"/>
      <c r="AA616" s="26"/>
      <c r="AD616" s="26"/>
      <c r="AG616" s="26"/>
      <c r="AJ616" s="26"/>
      <c r="AM616" s="26"/>
      <c r="AP616" s="26"/>
      <c r="AS616" s="26"/>
      <c r="AV616" s="26"/>
      <c r="AY616" s="26"/>
      <c r="BB616" s="26"/>
      <c r="BE616" s="26"/>
      <c r="BH616" s="26"/>
      <c r="BK616" s="26"/>
      <c r="BN616" s="26"/>
      <c r="BQ616" s="26"/>
      <c r="BT616" s="26"/>
    </row>
    <row r="617">
      <c r="I617" s="32"/>
      <c r="J617" s="26"/>
      <c r="K617" s="26"/>
      <c r="N617" s="26"/>
      <c r="O617" s="26"/>
      <c r="R617" s="26"/>
      <c r="S617" s="26"/>
      <c r="V617" s="26"/>
      <c r="W617" s="26"/>
      <c r="Z617" s="26"/>
      <c r="AA617" s="26"/>
      <c r="AD617" s="26"/>
      <c r="AG617" s="26"/>
      <c r="AJ617" s="26"/>
      <c r="AM617" s="26"/>
      <c r="AP617" s="26"/>
      <c r="AS617" s="26"/>
      <c r="AV617" s="26"/>
      <c r="AY617" s="26"/>
      <c r="BB617" s="26"/>
      <c r="BE617" s="26"/>
      <c r="BH617" s="26"/>
      <c r="BK617" s="26"/>
      <c r="BN617" s="26"/>
      <c r="BQ617" s="26"/>
      <c r="BT617" s="26"/>
    </row>
    <row r="618">
      <c r="I618" s="32"/>
      <c r="J618" s="26"/>
      <c r="K618" s="26"/>
      <c r="N618" s="26"/>
      <c r="O618" s="26"/>
      <c r="R618" s="26"/>
      <c r="S618" s="26"/>
      <c r="V618" s="26"/>
      <c r="W618" s="26"/>
      <c r="Z618" s="26"/>
      <c r="AA618" s="26"/>
      <c r="AD618" s="26"/>
      <c r="AG618" s="26"/>
      <c r="AJ618" s="26"/>
      <c r="AM618" s="26"/>
      <c r="AP618" s="26"/>
      <c r="AS618" s="26"/>
      <c r="AV618" s="26"/>
      <c r="AY618" s="26"/>
      <c r="BB618" s="26"/>
      <c r="BE618" s="26"/>
      <c r="BH618" s="26"/>
      <c r="BK618" s="26"/>
      <c r="BN618" s="26"/>
      <c r="BQ618" s="26"/>
      <c r="BT618" s="26"/>
    </row>
    <row r="619">
      <c r="I619" s="32"/>
      <c r="J619" s="26"/>
      <c r="K619" s="26"/>
      <c r="N619" s="26"/>
      <c r="O619" s="26"/>
      <c r="R619" s="26"/>
      <c r="S619" s="26"/>
      <c r="V619" s="26"/>
      <c r="W619" s="26"/>
      <c r="Z619" s="26"/>
      <c r="AA619" s="26"/>
      <c r="AD619" s="26"/>
      <c r="AG619" s="26"/>
      <c r="AJ619" s="26"/>
      <c r="AM619" s="26"/>
      <c r="AP619" s="26"/>
      <c r="AS619" s="26"/>
      <c r="AV619" s="26"/>
      <c r="AY619" s="26"/>
      <c r="BB619" s="26"/>
      <c r="BE619" s="26"/>
      <c r="BH619" s="26"/>
      <c r="BK619" s="26"/>
      <c r="BN619" s="26"/>
      <c r="BQ619" s="26"/>
      <c r="BT619" s="26"/>
    </row>
    <row r="620">
      <c r="I620" s="32"/>
      <c r="J620" s="26"/>
      <c r="K620" s="26"/>
      <c r="N620" s="26"/>
      <c r="O620" s="26"/>
      <c r="R620" s="26"/>
      <c r="S620" s="26"/>
      <c r="V620" s="26"/>
      <c r="W620" s="26"/>
      <c r="Z620" s="26"/>
      <c r="AA620" s="26"/>
      <c r="AD620" s="26"/>
      <c r="AG620" s="26"/>
      <c r="AJ620" s="26"/>
      <c r="AM620" s="26"/>
      <c r="AP620" s="26"/>
      <c r="AS620" s="26"/>
      <c r="AV620" s="26"/>
      <c r="AY620" s="26"/>
      <c r="BB620" s="26"/>
      <c r="BE620" s="26"/>
      <c r="BH620" s="26"/>
      <c r="BK620" s="26"/>
      <c r="BN620" s="26"/>
      <c r="BQ620" s="26"/>
      <c r="BT620" s="26"/>
    </row>
    <row r="621">
      <c r="I621" s="32"/>
      <c r="J621" s="26"/>
      <c r="K621" s="26"/>
      <c r="N621" s="26"/>
      <c r="O621" s="26"/>
      <c r="R621" s="26"/>
      <c r="S621" s="26"/>
      <c r="V621" s="26"/>
      <c r="W621" s="26"/>
      <c r="Z621" s="26"/>
      <c r="AA621" s="26"/>
      <c r="AD621" s="26"/>
      <c r="AG621" s="26"/>
      <c r="AJ621" s="26"/>
      <c r="AM621" s="26"/>
      <c r="AP621" s="26"/>
      <c r="AS621" s="26"/>
      <c r="AV621" s="26"/>
      <c r="AY621" s="26"/>
      <c r="BB621" s="26"/>
      <c r="BE621" s="26"/>
      <c r="BH621" s="26"/>
      <c r="BK621" s="26"/>
      <c r="BN621" s="26"/>
      <c r="BQ621" s="26"/>
      <c r="BT621" s="26"/>
    </row>
    <row r="622">
      <c r="I622" s="32"/>
      <c r="J622" s="26"/>
      <c r="K622" s="26"/>
      <c r="N622" s="26"/>
      <c r="O622" s="26"/>
      <c r="R622" s="26"/>
      <c r="S622" s="26"/>
      <c r="V622" s="26"/>
      <c r="W622" s="26"/>
      <c r="Z622" s="26"/>
      <c r="AA622" s="26"/>
      <c r="AD622" s="26"/>
      <c r="AG622" s="26"/>
      <c r="AJ622" s="26"/>
      <c r="AM622" s="26"/>
      <c r="AP622" s="26"/>
      <c r="AS622" s="26"/>
      <c r="AV622" s="26"/>
      <c r="AY622" s="26"/>
      <c r="BB622" s="26"/>
      <c r="BE622" s="26"/>
      <c r="BH622" s="26"/>
      <c r="BK622" s="26"/>
      <c r="BN622" s="26"/>
      <c r="BQ622" s="26"/>
      <c r="BT622" s="26"/>
    </row>
    <row r="623">
      <c r="I623" s="32"/>
      <c r="J623" s="26"/>
      <c r="K623" s="26"/>
      <c r="N623" s="26"/>
      <c r="O623" s="26"/>
      <c r="R623" s="26"/>
      <c r="S623" s="26"/>
      <c r="V623" s="26"/>
      <c r="W623" s="26"/>
      <c r="Z623" s="26"/>
      <c r="AA623" s="26"/>
      <c r="AD623" s="26"/>
      <c r="AG623" s="26"/>
      <c r="AJ623" s="26"/>
      <c r="AM623" s="26"/>
      <c r="AP623" s="26"/>
      <c r="AS623" s="26"/>
      <c r="AV623" s="26"/>
      <c r="AY623" s="26"/>
      <c r="BB623" s="26"/>
      <c r="BE623" s="26"/>
      <c r="BH623" s="26"/>
      <c r="BK623" s="26"/>
      <c r="BN623" s="26"/>
      <c r="BQ623" s="26"/>
      <c r="BT623" s="26"/>
    </row>
    <row r="624">
      <c r="I624" s="32"/>
      <c r="J624" s="26"/>
      <c r="K624" s="26"/>
      <c r="N624" s="26"/>
      <c r="O624" s="26"/>
      <c r="R624" s="26"/>
      <c r="S624" s="26"/>
      <c r="V624" s="26"/>
      <c r="W624" s="26"/>
      <c r="Z624" s="26"/>
      <c r="AA624" s="26"/>
      <c r="AD624" s="26"/>
      <c r="AG624" s="26"/>
      <c r="AJ624" s="26"/>
      <c r="AM624" s="26"/>
      <c r="AP624" s="26"/>
      <c r="AS624" s="26"/>
      <c r="AV624" s="26"/>
      <c r="AY624" s="26"/>
      <c r="BB624" s="26"/>
      <c r="BE624" s="26"/>
      <c r="BH624" s="26"/>
      <c r="BK624" s="26"/>
      <c r="BN624" s="26"/>
      <c r="BQ624" s="26"/>
      <c r="BT624" s="26"/>
    </row>
    <row r="625">
      <c r="I625" s="32"/>
      <c r="J625" s="26"/>
      <c r="K625" s="26"/>
      <c r="N625" s="26"/>
      <c r="O625" s="26"/>
      <c r="R625" s="26"/>
      <c r="S625" s="26"/>
      <c r="V625" s="26"/>
      <c r="W625" s="26"/>
      <c r="Z625" s="26"/>
      <c r="AA625" s="26"/>
      <c r="AD625" s="26"/>
      <c r="AG625" s="26"/>
      <c r="AJ625" s="26"/>
      <c r="AM625" s="26"/>
      <c r="AP625" s="26"/>
      <c r="AS625" s="26"/>
      <c r="AV625" s="26"/>
      <c r="AY625" s="26"/>
      <c r="BB625" s="26"/>
      <c r="BE625" s="26"/>
      <c r="BH625" s="26"/>
      <c r="BK625" s="26"/>
      <c r="BN625" s="26"/>
      <c r="BQ625" s="26"/>
      <c r="BT625" s="26"/>
    </row>
    <row r="626">
      <c r="I626" s="32"/>
      <c r="J626" s="26"/>
      <c r="K626" s="26"/>
      <c r="N626" s="26"/>
      <c r="O626" s="26"/>
      <c r="R626" s="26"/>
      <c r="S626" s="26"/>
      <c r="V626" s="26"/>
      <c r="W626" s="26"/>
      <c r="Z626" s="26"/>
      <c r="AA626" s="26"/>
      <c r="AD626" s="26"/>
      <c r="AG626" s="26"/>
      <c r="AJ626" s="26"/>
      <c r="AM626" s="26"/>
      <c r="AP626" s="26"/>
      <c r="AS626" s="26"/>
      <c r="AV626" s="26"/>
      <c r="AY626" s="26"/>
      <c r="BB626" s="26"/>
      <c r="BE626" s="26"/>
      <c r="BH626" s="26"/>
      <c r="BK626" s="26"/>
      <c r="BN626" s="26"/>
      <c r="BQ626" s="26"/>
      <c r="BT626" s="26"/>
    </row>
    <row r="627">
      <c r="I627" s="32"/>
      <c r="J627" s="26"/>
      <c r="K627" s="26"/>
      <c r="N627" s="26"/>
      <c r="O627" s="26"/>
      <c r="R627" s="26"/>
      <c r="S627" s="26"/>
      <c r="V627" s="26"/>
      <c r="W627" s="26"/>
      <c r="Z627" s="26"/>
      <c r="AA627" s="26"/>
      <c r="AD627" s="26"/>
      <c r="AG627" s="26"/>
      <c r="AJ627" s="26"/>
      <c r="AM627" s="26"/>
      <c r="AP627" s="26"/>
      <c r="AS627" s="26"/>
      <c r="AV627" s="26"/>
      <c r="AY627" s="26"/>
      <c r="BB627" s="26"/>
      <c r="BE627" s="26"/>
      <c r="BH627" s="26"/>
      <c r="BK627" s="26"/>
      <c r="BN627" s="26"/>
      <c r="BQ627" s="26"/>
      <c r="BT627" s="26"/>
    </row>
    <row r="628">
      <c r="I628" s="32"/>
      <c r="J628" s="26"/>
      <c r="K628" s="26"/>
      <c r="N628" s="26"/>
      <c r="O628" s="26"/>
      <c r="R628" s="26"/>
      <c r="S628" s="26"/>
      <c r="V628" s="26"/>
      <c r="W628" s="26"/>
      <c r="Z628" s="26"/>
      <c r="AA628" s="26"/>
      <c r="AD628" s="26"/>
      <c r="AG628" s="26"/>
      <c r="AJ628" s="26"/>
      <c r="AM628" s="26"/>
      <c r="AP628" s="26"/>
      <c r="AS628" s="26"/>
      <c r="AV628" s="26"/>
      <c r="AY628" s="26"/>
      <c r="BB628" s="26"/>
      <c r="BE628" s="26"/>
      <c r="BH628" s="26"/>
      <c r="BK628" s="26"/>
      <c r="BN628" s="26"/>
      <c r="BQ628" s="26"/>
      <c r="BT628" s="26"/>
    </row>
    <row r="629">
      <c r="I629" s="32"/>
      <c r="J629" s="26"/>
      <c r="K629" s="26"/>
      <c r="N629" s="26"/>
      <c r="O629" s="26"/>
      <c r="R629" s="26"/>
      <c r="S629" s="26"/>
      <c r="V629" s="26"/>
      <c r="W629" s="26"/>
      <c r="Z629" s="26"/>
      <c r="AA629" s="26"/>
      <c r="AD629" s="26"/>
      <c r="AG629" s="26"/>
      <c r="AJ629" s="26"/>
      <c r="AM629" s="26"/>
      <c r="AP629" s="26"/>
      <c r="AS629" s="26"/>
      <c r="AV629" s="26"/>
      <c r="AY629" s="26"/>
      <c r="BB629" s="26"/>
      <c r="BE629" s="26"/>
      <c r="BH629" s="26"/>
      <c r="BK629" s="26"/>
      <c r="BN629" s="26"/>
      <c r="BQ629" s="26"/>
      <c r="BT629" s="26"/>
    </row>
    <row r="630">
      <c r="I630" s="32"/>
      <c r="J630" s="26"/>
      <c r="K630" s="26"/>
      <c r="N630" s="26"/>
      <c r="O630" s="26"/>
      <c r="R630" s="26"/>
      <c r="S630" s="26"/>
      <c r="V630" s="26"/>
      <c r="W630" s="26"/>
      <c r="Z630" s="26"/>
      <c r="AA630" s="26"/>
      <c r="AD630" s="26"/>
      <c r="AG630" s="26"/>
      <c r="AJ630" s="26"/>
      <c r="AM630" s="26"/>
      <c r="AP630" s="26"/>
      <c r="AS630" s="26"/>
      <c r="AV630" s="26"/>
      <c r="AY630" s="26"/>
      <c r="BB630" s="26"/>
      <c r="BE630" s="26"/>
      <c r="BH630" s="26"/>
      <c r="BK630" s="26"/>
      <c r="BN630" s="26"/>
      <c r="BQ630" s="26"/>
      <c r="BT630" s="26"/>
    </row>
    <row r="631">
      <c r="I631" s="32"/>
      <c r="J631" s="26"/>
      <c r="K631" s="26"/>
      <c r="N631" s="26"/>
      <c r="O631" s="26"/>
      <c r="R631" s="26"/>
      <c r="S631" s="26"/>
      <c r="V631" s="26"/>
      <c r="W631" s="26"/>
      <c r="Z631" s="26"/>
      <c r="AA631" s="26"/>
      <c r="AD631" s="26"/>
      <c r="AG631" s="26"/>
      <c r="AJ631" s="26"/>
      <c r="AM631" s="26"/>
      <c r="AP631" s="26"/>
      <c r="AS631" s="26"/>
      <c r="AV631" s="26"/>
      <c r="AY631" s="26"/>
      <c r="BB631" s="26"/>
      <c r="BE631" s="26"/>
      <c r="BH631" s="26"/>
      <c r="BK631" s="26"/>
      <c r="BN631" s="26"/>
      <c r="BQ631" s="26"/>
      <c r="BT631" s="26"/>
    </row>
    <row r="632">
      <c r="I632" s="32"/>
      <c r="J632" s="26"/>
      <c r="K632" s="26"/>
      <c r="N632" s="26"/>
      <c r="O632" s="26"/>
      <c r="R632" s="26"/>
      <c r="S632" s="26"/>
      <c r="V632" s="26"/>
      <c r="W632" s="26"/>
      <c r="Z632" s="26"/>
      <c r="AA632" s="26"/>
      <c r="AD632" s="26"/>
      <c r="AG632" s="26"/>
      <c r="AJ632" s="26"/>
      <c r="AM632" s="26"/>
      <c r="AP632" s="26"/>
      <c r="AS632" s="26"/>
      <c r="AV632" s="26"/>
      <c r="AY632" s="26"/>
      <c r="BB632" s="26"/>
      <c r="BE632" s="26"/>
      <c r="BH632" s="26"/>
      <c r="BK632" s="26"/>
      <c r="BN632" s="26"/>
      <c r="BQ632" s="26"/>
      <c r="BT632" s="26"/>
    </row>
    <row r="633">
      <c r="I633" s="32"/>
      <c r="J633" s="26"/>
      <c r="K633" s="26"/>
      <c r="N633" s="26"/>
      <c r="O633" s="26"/>
      <c r="R633" s="26"/>
      <c r="S633" s="26"/>
      <c r="V633" s="26"/>
      <c r="W633" s="26"/>
      <c r="Z633" s="26"/>
      <c r="AA633" s="26"/>
      <c r="AD633" s="26"/>
      <c r="AG633" s="26"/>
      <c r="AJ633" s="26"/>
      <c r="AM633" s="26"/>
      <c r="AP633" s="26"/>
      <c r="AS633" s="26"/>
      <c r="AV633" s="26"/>
      <c r="AY633" s="26"/>
      <c r="BB633" s="26"/>
      <c r="BE633" s="26"/>
      <c r="BH633" s="26"/>
      <c r="BK633" s="26"/>
      <c r="BN633" s="26"/>
      <c r="BQ633" s="26"/>
      <c r="BT633" s="26"/>
    </row>
    <row r="634">
      <c r="I634" s="32"/>
      <c r="J634" s="26"/>
      <c r="K634" s="26"/>
      <c r="N634" s="26"/>
      <c r="O634" s="26"/>
      <c r="R634" s="26"/>
      <c r="S634" s="26"/>
      <c r="V634" s="26"/>
      <c r="W634" s="26"/>
      <c r="Z634" s="26"/>
      <c r="AA634" s="26"/>
      <c r="AD634" s="26"/>
      <c r="AG634" s="26"/>
      <c r="AJ634" s="26"/>
      <c r="AM634" s="26"/>
      <c r="AP634" s="26"/>
      <c r="AS634" s="26"/>
      <c r="AV634" s="26"/>
      <c r="AY634" s="26"/>
      <c r="BB634" s="26"/>
      <c r="BE634" s="26"/>
      <c r="BH634" s="26"/>
      <c r="BK634" s="26"/>
      <c r="BN634" s="26"/>
      <c r="BQ634" s="26"/>
      <c r="BT634" s="26"/>
    </row>
    <row r="635">
      <c r="I635" s="32"/>
      <c r="J635" s="26"/>
      <c r="K635" s="26"/>
      <c r="N635" s="26"/>
      <c r="O635" s="26"/>
      <c r="R635" s="26"/>
      <c r="S635" s="26"/>
      <c r="V635" s="26"/>
      <c r="W635" s="26"/>
      <c r="Z635" s="26"/>
      <c r="AA635" s="26"/>
      <c r="AD635" s="26"/>
      <c r="AG635" s="26"/>
      <c r="AJ635" s="26"/>
      <c r="AM635" s="26"/>
      <c r="AP635" s="26"/>
      <c r="AS635" s="26"/>
      <c r="AV635" s="26"/>
      <c r="AY635" s="26"/>
      <c r="BB635" s="26"/>
      <c r="BE635" s="26"/>
      <c r="BH635" s="26"/>
      <c r="BK635" s="26"/>
      <c r="BN635" s="26"/>
      <c r="BQ635" s="26"/>
      <c r="BT635" s="26"/>
    </row>
    <row r="636">
      <c r="I636" s="32"/>
      <c r="J636" s="26"/>
      <c r="K636" s="26"/>
      <c r="N636" s="26"/>
      <c r="O636" s="26"/>
      <c r="R636" s="26"/>
      <c r="S636" s="26"/>
      <c r="V636" s="26"/>
      <c r="W636" s="26"/>
      <c r="Z636" s="26"/>
      <c r="AA636" s="26"/>
      <c r="AD636" s="26"/>
      <c r="AG636" s="26"/>
      <c r="AJ636" s="26"/>
      <c r="AM636" s="26"/>
      <c r="AP636" s="26"/>
      <c r="AS636" s="26"/>
      <c r="AV636" s="26"/>
      <c r="AY636" s="26"/>
      <c r="BB636" s="26"/>
      <c r="BE636" s="26"/>
      <c r="BH636" s="26"/>
      <c r="BK636" s="26"/>
      <c r="BN636" s="26"/>
      <c r="BQ636" s="26"/>
      <c r="BT636" s="26"/>
    </row>
    <row r="637">
      <c r="I637" s="32"/>
      <c r="J637" s="26"/>
      <c r="K637" s="26"/>
      <c r="N637" s="26"/>
      <c r="O637" s="26"/>
      <c r="R637" s="26"/>
      <c r="S637" s="26"/>
      <c r="V637" s="26"/>
      <c r="W637" s="26"/>
      <c r="Z637" s="26"/>
      <c r="AA637" s="26"/>
      <c r="AD637" s="26"/>
      <c r="AG637" s="26"/>
      <c r="AJ637" s="26"/>
      <c r="AM637" s="26"/>
      <c r="AP637" s="26"/>
      <c r="AS637" s="26"/>
      <c r="AV637" s="26"/>
      <c r="AY637" s="26"/>
      <c r="BB637" s="26"/>
      <c r="BE637" s="26"/>
      <c r="BH637" s="26"/>
      <c r="BK637" s="26"/>
      <c r="BN637" s="26"/>
      <c r="BQ637" s="26"/>
      <c r="BT637" s="26"/>
    </row>
    <row r="638">
      <c r="I638" s="32"/>
      <c r="J638" s="26"/>
      <c r="K638" s="26"/>
      <c r="N638" s="26"/>
      <c r="O638" s="26"/>
      <c r="R638" s="26"/>
      <c r="S638" s="26"/>
      <c r="V638" s="26"/>
      <c r="W638" s="26"/>
      <c r="Z638" s="26"/>
      <c r="AA638" s="26"/>
      <c r="AD638" s="26"/>
      <c r="AG638" s="26"/>
      <c r="AJ638" s="26"/>
      <c r="AM638" s="26"/>
      <c r="AP638" s="26"/>
      <c r="AS638" s="26"/>
      <c r="AV638" s="26"/>
      <c r="AY638" s="26"/>
      <c r="BB638" s="26"/>
      <c r="BE638" s="26"/>
      <c r="BH638" s="26"/>
      <c r="BK638" s="26"/>
      <c r="BN638" s="26"/>
      <c r="BQ638" s="26"/>
      <c r="BT638" s="26"/>
    </row>
    <row r="639">
      <c r="I639" s="32"/>
      <c r="J639" s="26"/>
      <c r="K639" s="26"/>
      <c r="N639" s="26"/>
      <c r="O639" s="26"/>
      <c r="R639" s="26"/>
      <c r="S639" s="26"/>
      <c r="V639" s="26"/>
      <c r="W639" s="26"/>
      <c r="Z639" s="26"/>
      <c r="AA639" s="26"/>
      <c r="AD639" s="26"/>
      <c r="AG639" s="26"/>
      <c r="AJ639" s="26"/>
      <c r="AM639" s="26"/>
      <c r="AP639" s="26"/>
      <c r="AS639" s="26"/>
      <c r="AV639" s="26"/>
      <c r="AY639" s="26"/>
      <c r="BB639" s="26"/>
      <c r="BE639" s="26"/>
      <c r="BH639" s="26"/>
      <c r="BK639" s="26"/>
      <c r="BN639" s="26"/>
      <c r="BQ639" s="26"/>
      <c r="BT639" s="26"/>
    </row>
    <row r="640">
      <c r="I640" s="32"/>
      <c r="J640" s="26"/>
      <c r="K640" s="26"/>
      <c r="N640" s="26"/>
      <c r="O640" s="26"/>
      <c r="R640" s="26"/>
      <c r="S640" s="26"/>
      <c r="V640" s="26"/>
      <c r="W640" s="26"/>
      <c r="Z640" s="26"/>
      <c r="AA640" s="26"/>
      <c r="AD640" s="26"/>
      <c r="AG640" s="26"/>
      <c r="AJ640" s="26"/>
      <c r="AM640" s="26"/>
      <c r="AP640" s="26"/>
      <c r="AS640" s="26"/>
      <c r="AV640" s="26"/>
      <c r="AY640" s="26"/>
      <c r="BB640" s="26"/>
      <c r="BE640" s="26"/>
      <c r="BH640" s="26"/>
      <c r="BK640" s="26"/>
      <c r="BN640" s="26"/>
      <c r="BQ640" s="26"/>
      <c r="BT640" s="26"/>
    </row>
    <row r="641">
      <c r="I641" s="32"/>
      <c r="J641" s="26"/>
      <c r="K641" s="26"/>
      <c r="N641" s="26"/>
      <c r="O641" s="26"/>
      <c r="R641" s="26"/>
      <c r="S641" s="26"/>
      <c r="V641" s="26"/>
      <c r="W641" s="26"/>
      <c r="Z641" s="26"/>
      <c r="AA641" s="26"/>
      <c r="AD641" s="26"/>
      <c r="AG641" s="26"/>
      <c r="AJ641" s="26"/>
      <c r="AM641" s="26"/>
      <c r="AP641" s="26"/>
      <c r="AS641" s="26"/>
      <c r="AV641" s="26"/>
      <c r="AY641" s="26"/>
      <c r="BB641" s="26"/>
      <c r="BE641" s="26"/>
      <c r="BH641" s="26"/>
      <c r="BK641" s="26"/>
      <c r="BN641" s="26"/>
      <c r="BQ641" s="26"/>
      <c r="BT641" s="26"/>
    </row>
    <row r="642">
      <c r="I642" s="32"/>
      <c r="J642" s="26"/>
      <c r="K642" s="26"/>
      <c r="N642" s="26"/>
      <c r="O642" s="26"/>
      <c r="R642" s="26"/>
      <c r="S642" s="26"/>
      <c r="V642" s="26"/>
      <c r="W642" s="26"/>
      <c r="Z642" s="26"/>
      <c r="AA642" s="26"/>
      <c r="AD642" s="26"/>
      <c r="AG642" s="26"/>
      <c r="AJ642" s="26"/>
      <c r="AM642" s="26"/>
      <c r="AP642" s="26"/>
      <c r="AS642" s="26"/>
      <c r="AV642" s="26"/>
      <c r="AY642" s="26"/>
      <c r="BB642" s="26"/>
      <c r="BE642" s="26"/>
      <c r="BH642" s="26"/>
      <c r="BK642" s="26"/>
      <c r="BN642" s="26"/>
      <c r="BQ642" s="26"/>
      <c r="BT642" s="26"/>
    </row>
    <row r="643">
      <c r="I643" s="32"/>
      <c r="J643" s="26"/>
      <c r="K643" s="26"/>
      <c r="N643" s="26"/>
      <c r="O643" s="26"/>
      <c r="R643" s="26"/>
      <c r="S643" s="26"/>
      <c r="V643" s="26"/>
      <c r="W643" s="26"/>
      <c r="Z643" s="26"/>
      <c r="AA643" s="26"/>
      <c r="AD643" s="26"/>
      <c r="AG643" s="26"/>
      <c r="AJ643" s="26"/>
      <c r="AM643" s="26"/>
      <c r="AP643" s="26"/>
      <c r="AS643" s="26"/>
      <c r="AV643" s="26"/>
      <c r="AY643" s="26"/>
      <c r="BB643" s="26"/>
      <c r="BE643" s="26"/>
      <c r="BH643" s="26"/>
      <c r="BK643" s="26"/>
      <c r="BN643" s="26"/>
      <c r="BQ643" s="26"/>
      <c r="BT643" s="26"/>
    </row>
    <row r="644">
      <c r="I644" s="32"/>
      <c r="J644" s="26"/>
      <c r="K644" s="26"/>
      <c r="N644" s="26"/>
      <c r="O644" s="26"/>
      <c r="R644" s="26"/>
      <c r="S644" s="26"/>
      <c r="V644" s="26"/>
      <c r="W644" s="26"/>
      <c r="Z644" s="26"/>
      <c r="AA644" s="26"/>
      <c r="AD644" s="26"/>
      <c r="AG644" s="26"/>
      <c r="AJ644" s="26"/>
      <c r="AM644" s="26"/>
      <c r="AP644" s="26"/>
      <c r="AS644" s="26"/>
      <c r="AV644" s="26"/>
      <c r="AY644" s="26"/>
      <c r="BB644" s="26"/>
      <c r="BE644" s="26"/>
      <c r="BH644" s="26"/>
      <c r="BK644" s="26"/>
      <c r="BN644" s="26"/>
      <c r="BQ644" s="26"/>
      <c r="BT644" s="26"/>
    </row>
    <row r="645">
      <c r="I645" s="32"/>
      <c r="J645" s="26"/>
      <c r="K645" s="26"/>
      <c r="N645" s="26"/>
      <c r="O645" s="26"/>
      <c r="R645" s="26"/>
      <c r="S645" s="26"/>
      <c r="V645" s="26"/>
      <c r="W645" s="26"/>
      <c r="Z645" s="26"/>
      <c r="AA645" s="26"/>
      <c r="AD645" s="26"/>
      <c r="AG645" s="26"/>
      <c r="AJ645" s="26"/>
      <c r="AM645" s="26"/>
      <c r="AP645" s="26"/>
      <c r="AS645" s="26"/>
      <c r="AV645" s="26"/>
      <c r="AY645" s="26"/>
      <c r="BB645" s="26"/>
      <c r="BE645" s="26"/>
      <c r="BH645" s="26"/>
      <c r="BK645" s="26"/>
      <c r="BN645" s="26"/>
      <c r="BQ645" s="26"/>
      <c r="BT645" s="26"/>
    </row>
    <row r="646">
      <c r="I646" s="32"/>
      <c r="J646" s="26"/>
      <c r="K646" s="26"/>
      <c r="N646" s="26"/>
      <c r="O646" s="26"/>
      <c r="R646" s="26"/>
      <c r="S646" s="26"/>
      <c r="V646" s="26"/>
      <c r="W646" s="26"/>
      <c r="Z646" s="26"/>
      <c r="AA646" s="26"/>
      <c r="AD646" s="26"/>
      <c r="AG646" s="26"/>
      <c r="AJ646" s="26"/>
      <c r="AM646" s="26"/>
      <c r="AP646" s="26"/>
      <c r="AS646" s="26"/>
      <c r="AV646" s="26"/>
      <c r="AY646" s="26"/>
      <c r="BB646" s="26"/>
      <c r="BE646" s="26"/>
      <c r="BH646" s="26"/>
      <c r="BK646" s="26"/>
      <c r="BN646" s="26"/>
      <c r="BQ646" s="26"/>
      <c r="BT646" s="26"/>
    </row>
    <row r="647">
      <c r="I647" s="32"/>
      <c r="J647" s="26"/>
      <c r="K647" s="26"/>
      <c r="N647" s="26"/>
      <c r="O647" s="26"/>
      <c r="R647" s="26"/>
      <c r="S647" s="26"/>
      <c r="V647" s="26"/>
      <c r="W647" s="26"/>
      <c r="Z647" s="26"/>
      <c r="AA647" s="26"/>
      <c r="AD647" s="26"/>
      <c r="AG647" s="26"/>
      <c r="AJ647" s="26"/>
      <c r="AM647" s="26"/>
      <c r="AP647" s="26"/>
      <c r="AS647" s="26"/>
      <c r="AV647" s="26"/>
      <c r="AY647" s="26"/>
      <c r="BB647" s="26"/>
      <c r="BE647" s="26"/>
      <c r="BH647" s="26"/>
      <c r="BK647" s="26"/>
      <c r="BN647" s="26"/>
      <c r="BQ647" s="26"/>
      <c r="BT647" s="26"/>
    </row>
    <row r="648">
      <c r="I648" s="32"/>
      <c r="J648" s="26"/>
      <c r="K648" s="26"/>
      <c r="N648" s="26"/>
      <c r="O648" s="26"/>
      <c r="R648" s="26"/>
      <c r="S648" s="26"/>
      <c r="V648" s="26"/>
      <c r="W648" s="26"/>
      <c r="Z648" s="26"/>
      <c r="AA648" s="26"/>
      <c r="AD648" s="26"/>
      <c r="AG648" s="26"/>
      <c r="AJ648" s="26"/>
      <c r="AM648" s="26"/>
      <c r="AP648" s="26"/>
      <c r="AS648" s="26"/>
      <c r="AV648" s="26"/>
      <c r="AY648" s="26"/>
      <c r="BB648" s="26"/>
      <c r="BE648" s="26"/>
      <c r="BH648" s="26"/>
      <c r="BK648" s="26"/>
      <c r="BN648" s="26"/>
      <c r="BQ648" s="26"/>
      <c r="BT648" s="26"/>
    </row>
    <row r="649">
      <c r="I649" s="32"/>
      <c r="J649" s="26"/>
      <c r="K649" s="26"/>
      <c r="N649" s="26"/>
      <c r="O649" s="26"/>
      <c r="R649" s="26"/>
      <c r="S649" s="26"/>
      <c r="V649" s="26"/>
      <c r="W649" s="26"/>
      <c r="Z649" s="26"/>
      <c r="AA649" s="26"/>
      <c r="AD649" s="26"/>
      <c r="AG649" s="26"/>
      <c r="AJ649" s="26"/>
      <c r="AM649" s="26"/>
      <c r="AP649" s="26"/>
      <c r="AS649" s="26"/>
      <c r="AV649" s="26"/>
      <c r="AY649" s="26"/>
      <c r="BB649" s="26"/>
      <c r="BE649" s="26"/>
      <c r="BH649" s="26"/>
      <c r="BK649" s="26"/>
      <c r="BN649" s="26"/>
      <c r="BQ649" s="26"/>
      <c r="BT649" s="26"/>
    </row>
    <row r="650">
      <c r="I650" s="32"/>
      <c r="J650" s="26"/>
      <c r="K650" s="26"/>
      <c r="N650" s="26"/>
      <c r="O650" s="26"/>
      <c r="R650" s="26"/>
      <c r="S650" s="26"/>
      <c r="V650" s="26"/>
      <c r="W650" s="26"/>
      <c r="Z650" s="26"/>
      <c r="AA650" s="26"/>
      <c r="AD650" s="26"/>
      <c r="AG650" s="26"/>
      <c r="AJ650" s="26"/>
      <c r="AM650" s="26"/>
      <c r="AP650" s="26"/>
      <c r="AS650" s="26"/>
      <c r="AV650" s="26"/>
      <c r="AY650" s="26"/>
      <c r="BB650" s="26"/>
      <c r="BE650" s="26"/>
      <c r="BH650" s="26"/>
      <c r="BK650" s="26"/>
      <c r="BN650" s="26"/>
      <c r="BQ650" s="26"/>
      <c r="BT650" s="26"/>
    </row>
    <row r="651">
      <c r="I651" s="32"/>
      <c r="J651" s="26"/>
      <c r="K651" s="26"/>
      <c r="N651" s="26"/>
      <c r="O651" s="26"/>
      <c r="R651" s="26"/>
      <c r="S651" s="26"/>
      <c r="V651" s="26"/>
      <c r="W651" s="26"/>
      <c r="Z651" s="26"/>
      <c r="AA651" s="26"/>
      <c r="AD651" s="26"/>
      <c r="AG651" s="26"/>
      <c r="AJ651" s="26"/>
      <c r="AM651" s="26"/>
      <c r="AP651" s="26"/>
      <c r="AS651" s="26"/>
      <c r="AV651" s="26"/>
      <c r="AY651" s="26"/>
      <c r="BB651" s="26"/>
      <c r="BE651" s="26"/>
      <c r="BH651" s="26"/>
      <c r="BK651" s="26"/>
      <c r="BN651" s="26"/>
      <c r="BQ651" s="26"/>
      <c r="BT651" s="26"/>
    </row>
    <row r="652">
      <c r="I652" s="32"/>
      <c r="J652" s="26"/>
      <c r="K652" s="26"/>
      <c r="N652" s="26"/>
      <c r="O652" s="26"/>
      <c r="R652" s="26"/>
      <c r="S652" s="26"/>
      <c r="V652" s="26"/>
      <c r="W652" s="26"/>
      <c r="Z652" s="26"/>
      <c r="AA652" s="26"/>
      <c r="AD652" s="26"/>
      <c r="AG652" s="26"/>
      <c r="AJ652" s="26"/>
      <c r="AM652" s="26"/>
      <c r="AP652" s="26"/>
      <c r="AS652" s="26"/>
      <c r="AV652" s="26"/>
      <c r="AY652" s="26"/>
      <c r="BB652" s="26"/>
      <c r="BE652" s="26"/>
      <c r="BH652" s="26"/>
      <c r="BK652" s="26"/>
      <c r="BN652" s="26"/>
      <c r="BQ652" s="26"/>
      <c r="BT652" s="26"/>
    </row>
    <row r="653">
      <c r="I653" s="32"/>
      <c r="J653" s="26"/>
      <c r="K653" s="26"/>
      <c r="N653" s="26"/>
      <c r="O653" s="26"/>
      <c r="R653" s="26"/>
      <c r="S653" s="26"/>
      <c r="V653" s="26"/>
      <c r="W653" s="26"/>
      <c r="Z653" s="26"/>
      <c r="AA653" s="26"/>
      <c r="AD653" s="26"/>
      <c r="AG653" s="26"/>
      <c r="AJ653" s="26"/>
      <c r="AM653" s="26"/>
      <c r="AP653" s="26"/>
      <c r="AS653" s="26"/>
      <c r="AV653" s="26"/>
      <c r="AY653" s="26"/>
      <c r="BB653" s="26"/>
      <c r="BE653" s="26"/>
      <c r="BH653" s="26"/>
      <c r="BK653" s="26"/>
      <c r="BN653" s="26"/>
      <c r="BQ653" s="26"/>
      <c r="BT653" s="26"/>
    </row>
    <row r="654">
      <c r="I654" s="32"/>
      <c r="J654" s="26"/>
      <c r="K654" s="26"/>
      <c r="N654" s="26"/>
      <c r="O654" s="26"/>
      <c r="R654" s="26"/>
      <c r="S654" s="26"/>
      <c r="V654" s="26"/>
      <c r="W654" s="26"/>
      <c r="Z654" s="26"/>
      <c r="AA654" s="26"/>
      <c r="AD654" s="26"/>
      <c r="AG654" s="26"/>
      <c r="AJ654" s="26"/>
      <c r="AM654" s="26"/>
      <c r="AP654" s="26"/>
      <c r="AS654" s="26"/>
      <c r="AV654" s="26"/>
      <c r="AY654" s="26"/>
      <c r="BB654" s="26"/>
      <c r="BE654" s="26"/>
      <c r="BH654" s="26"/>
      <c r="BK654" s="26"/>
      <c r="BN654" s="26"/>
      <c r="BQ654" s="26"/>
      <c r="BT654" s="26"/>
    </row>
    <row r="655">
      <c r="I655" s="32"/>
      <c r="J655" s="26"/>
      <c r="K655" s="26"/>
      <c r="N655" s="26"/>
      <c r="O655" s="26"/>
      <c r="R655" s="26"/>
      <c r="S655" s="26"/>
      <c r="V655" s="26"/>
      <c r="W655" s="26"/>
      <c r="Z655" s="26"/>
      <c r="AA655" s="26"/>
      <c r="AD655" s="26"/>
      <c r="AG655" s="26"/>
      <c r="AJ655" s="26"/>
      <c r="AM655" s="26"/>
      <c r="AP655" s="26"/>
      <c r="AS655" s="26"/>
      <c r="AV655" s="26"/>
      <c r="AY655" s="26"/>
      <c r="BB655" s="26"/>
      <c r="BE655" s="26"/>
      <c r="BH655" s="26"/>
      <c r="BK655" s="26"/>
      <c r="BN655" s="26"/>
      <c r="BQ655" s="26"/>
      <c r="BT655" s="26"/>
    </row>
    <row r="656">
      <c r="I656" s="32"/>
      <c r="J656" s="26"/>
      <c r="K656" s="26"/>
      <c r="N656" s="26"/>
      <c r="O656" s="26"/>
      <c r="R656" s="26"/>
      <c r="S656" s="26"/>
      <c r="V656" s="26"/>
      <c r="W656" s="26"/>
      <c r="Z656" s="26"/>
      <c r="AA656" s="26"/>
      <c r="AD656" s="26"/>
      <c r="AG656" s="26"/>
      <c r="AJ656" s="26"/>
      <c r="AM656" s="26"/>
      <c r="AP656" s="26"/>
      <c r="AS656" s="26"/>
      <c r="AV656" s="26"/>
      <c r="AY656" s="26"/>
      <c r="BB656" s="26"/>
      <c r="BE656" s="26"/>
      <c r="BH656" s="26"/>
      <c r="BK656" s="26"/>
      <c r="BN656" s="26"/>
      <c r="BQ656" s="26"/>
      <c r="BT656" s="26"/>
    </row>
    <row r="657">
      <c r="I657" s="32"/>
      <c r="J657" s="26"/>
      <c r="K657" s="26"/>
      <c r="N657" s="26"/>
      <c r="O657" s="26"/>
      <c r="R657" s="26"/>
      <c r="S657" s="26"/>
      <c r="V657" s="26"/>
      <c r="W657" s="26"/>
      <c r="Z657" s="26"/>
      <c r="AA657" s="26"/>
      <c r="AD657" s="26"/>
      <c r="AG657" s="26"/>
      <c r="AJ657" s="26"/>
      <c r="AM657" s="26"/>
      <c r="AP657" s="26"/>
      <c r="AS657" s="26"/>
      <c r="AV657" s="26"/>
      <c r="AY657" s="26"/>
      <c r="BB657" s="26"/>
      <c r="BE657" s="26"/>
      <c r="BH657" s="26"/>
      <c r="BK657" s="26"/>
      <c r="BN657" s="26"/>
      <c r="BQ657" s="26"/>
      <c r="BT657" s="26"/>
    </row>
    <row r="658">
      <c r="I658" s="32"/>
      <c r="J658" s="26"/>
      <c r="K658" s="26"/>
      <c r="N658" s="26"/>
      <c r="O658" s="26"/>
      <c r="R658" s="26"/>
      <c r="S658" s="26"/>
      <c r="V658" s="26"/>
      <c r="W658" s="26"/>
      <c r="Z658" s="26"/>
      <c r="AA658" s="26"/>
      <c r="AD658" s="26"/>
      <c r="AG658" s="26"/>
      <c r="AJ658" s="26"/>
      <c r="AM658" s="26"/>
      <c r="AP658" s="26"/>
      <c r="AS658" s="26"/>
      <c r="AV658" s="26"/>
      <c r="AY658" s="26"/>
      <c r="BB658" s="26"/>
      <c r="BE658" s="26"/>
      <c r="BH658" s="26"/>
      <c r="BK658" s="26"/>
      <c r="BN658" s="26"/>
      <c r="BQ658" s="26"/>
      <c r="BT658" s="26"/>
    </row>
    <row r="659">
      <c r="I659" s="32"/>
      <c r="J659" s="26"/>
      <c r="K659" s="26"/>
      <c r="N659" s="26"/>
      <c r="O659" s="26"/>
      <c r="R659" s="26"/>
      <c r="S659" s="26"/>
      <c r="V659" s="26"/>
      <c r="W659" s="26"/>
      <c r="Z659" s="26"/>
      <c r="AA659" s="26"/>
      <c r="AD659" s="26"/>
      <c r="AG659" s="26"/>
      <c r="AJ659" s="26"/>
      <c r="AM659" s="26"/>
      <c r="AP659" s="26"/>
      <c r="AS659" s="26"/>
      <c r="AV659" s="26"/>
      <c r="AY659" s="26"/>
      <c r="BB659" s="26"/>
      <c r="BE659" s="26"/>
      <c r="BH659" s="26"/>
      <c r="BK659" s="26"/>
      <c r="BN659" s="26"/>
      <c r="BQ659" s="26"/>
      <c r="BT659" s="26"/>
    </row>
    <row r="660">
      <c r="I660" s="32"/>
      <c r="J660" s="26"/>
      <c r="K660" s="26"/>
      <c r="N660" s="26"/>
      <c r="O660" s="26"/>
      <c r="R660" s="26"/>
      <c r="S660" s="26"/>
      <c r="V660" s="26"/>
      <c r="W660" s="26"/>
      <c r="Z660" s="26"/>
      <c r="AA660" s="26"/>
      <c r="AD660" s="26"/>
      <c r="AG660" s="26"/>
      <c r="AJ660" s="26"/>
      <c r="AM660" s="26"/>
      <c r="AP660" s="26"/>
      <c r="AS660" s="26"/>
      <c r="AV660" s="26"/>
      <c r="AY660" s="26"/>
      <c r="BB660" s="26"/>
      <c r="BE660" s="26"/>
      <c r="BH660" s="26"/>
      <c r="BK660" s="26"/>
      <c r="BN660" s="26"/>
      <c r="BQ660" s="26"/>
      <c r="BT660" s="26"/>
    </row>
    <row r="661">
      <c r="I661" s="32"/>
      <c r="J661" s="26"/>
      <c r="K661" s="26"/>
      <c r="N661" s="26"/>
      <c r="O661" s="26"/>
      <c r="R661" s="26"/>
      <c r="S661" s="26"/>
      <c r="V661" s="26"/>
      <c r="W661" s="26"/>
      <c r="Z661" s="26"/>
      <c r="AA661" s="26"/>
      <c r="AD661" s="26"/>
      <c r="AG661" s="26"/>
      <c r="AJ661" s="26"/>
      <c r="AM661" s="26"/>
      <c r="AP661" s="26"/>
      <c r="AS661" s="26"/>
      <c r="AV661" s="26"/>
      <c r="AY661" s="26"/>
      <c r="BB661" s="26"/>
      <c r="BE661" s="26"/>
      <c r="BH661" s="26"/>
      <c r="BK661" s="26"/>
      <c r="BN661" s="26"/>
      <c r="BQ661" s="26"/>
      <c r="BT661" s="26"/>
    </row>
    <row r="662">
      <c r="I662" s="32"/>
      <c r="J662" s="26"/>
      <c r="K662" s="26"/>
      <c r="N662" s="26"/>
      <c r="O662" s="26"/>
      <c r="R662" s="26"/>
      <c r="S662" s="26"/>
      <c r="V662" s="26"/>
      <c r="W662" s="26"/>
      <c r="Z662" s="26"/>
      <c r="AA662" s="26"/>
      <c r="AD662" s="26"/>
      <c r="AG662" s="26"/>
      <c r="AJ662" s="26"/>
      <c r="AM662" s="26"/>
      <c r="AP662" s="26"/>
      <c r="AS662" s="26"/>
      <c r="AV662" s="26"/>
      <c r="AY662" s="26"/>
      <c r="BB662" s="26"/>
      <c r="BE662" s="26"/>
      <c r="BH662" s="26"/>
      <c r="BK662" s="26"/>
      <c r="BN662" s="26"/>
      <c r="BQ662" s="26"/>
      <c r="BT662" s="26"/>
    </row>
    <row r="663">
      <c r="I663" s="32"/>
      <c r="J663" s="26"/>
      <c r="K663" s="26"/>
      <c r="N663" s="26"/>
      <c r="O663" s="26"/>
      <c r="R663" s="26"/>
      <c r="S663" s="26"/>
      <c r="V663" s="26"/>
      <c r="W663" s="26"/>
      <c r="Z663" s="26"/>
      <c r="AA663" s="26"/>
      <c r="AD663" s="26"/>
      <c r="AG663" s="26"/>
      <c r="AJ663" s="26"/>
      <c r="AM663" s="26"/>
      <c r="AP663" s="26"/>
      <c r="AS663" s="26"/>
      <c r="AV663" s="26"/>
      <c r="AY663" s="26"/>
      <c r="BB663" s="26"/>
      <c r="BE663" s="26"/>
      <c r="BH663" s="26"/>
      <c r="BK663" s="26"/>
      <c r="BN663" s="26"/>
      <c r="BQ663" s="26"/>
      <c r="BT663" s="26"/>
    </row>
    <row r="664">
      <c r="I664" s="32"/>
      <c r="J664" s="26"/>
      <c r="K664" s="26"/>
      <c r="N664" s="26"/>
      <c r="O664" s="26"/>
      <c r="R664" s="26"/>
      <c r="S664" s="26"/>
      <c r="V664" s="26"/>
      <c r="W664" s="26"/>
      <c r="Z664" s="26"/>
      <c r="AA664" s="26"/>
      <c r="AD664" s="26"/>
      <c r="AG664" s="26"/>
      <c r="AJ664" s="26"/>
      <c r="AM664" s="26"/>
      <c r="AP664" s="26"/>
      <c r="AS664" s="26"/>
      <c r="AV664" s="26"/>
      <c r="AY664" s="26"/>
      <c r="BB664" s="26"/>
      <c r="BE664" s="26"/>
      <c r="BH664" s="26"/>
      <c r="BK664" s="26"/>
      <c r="BN664" s="26"/>
      <c r="BQ664" s="26"/>
      <c r="BT664" s="26"/>
    </row>
    <row r="665">
      <c r="I665" s="32"/>
      <c r="J665" s="26"/>
      <c r="K665" s="26"/>
      <c r="N665" s="26"/>
      <c r="O665" s="26"/>
      <c r="R665" s="26"/>
      <c r="S665" s="26"/>
      <c r="V665" s="26"/>
      <c r="W665" s="26"/>
      <c r="Z665" s="26"/>
      <c r="AA665" s="26"/>
      <c r="AD665" s="26"/>
      <c r="AG665" s="26"/>
      <c r="AJ665" s="26"/>
      <c r="AM665" s="26"/>
      <c r="AP665" s="26"/>
      <c r="AS665" s="26"/>
      <c r="AV665" s="26"/>
      <c r="AY665" s="26"/>
      <c r="BB665" s="26"/>
      <c r="BE665" s="26"/>
      <c r="BH665" s="26"/>
      <c r="BK665" s="26"/>
      <c r="BN665" s="26"/>
      <c r="BQ665" s="26"/>
      <c r="BT665" s="26"/>
    </row>
    <row r="666">
      <c r="I666" s="32"/>
      <c r="J666" s="26"/>
      <c r="K666" s="26"/>
      <c r="N666" s="26"/>
      <c r="O666" s="26"/>
      <c r="R666" s="26"/>
      <c r="S666" s="26"/>
      <c r="V666" s="26"/>
      <c r="W666" s="26"/>
      <c r="Z666" s="26"/>
      <c r="AA666" s="26"/>
      <c r="AD666" s="26"/>
      <c r="AG666" s="26"/>
      <c r="AJ666" s="26"/>
      <c r="AM666" s="26"/>
      <c r="AP666" s="26"/>
      <c r="AS666" s="26"/>
      <c r="AV666" s="26"/>
      <c r="AY666" s="26"/>
      <c r="BB666" s="26"/>
      <c r="BE666" s="26"/>
      <c r="BH666" s="26"/>
      <c r="BK666" s="26"/>
      <c r="BN666" s="26"/>
      <c r="BQ666" s="26"/>
      <c r="BT666" s="26"/>
    </row>
    <row r="667">
      <c r="I667" s="32"/>
      <c r="J667" s="26"/>
      <c r="K667" s="26"/>
      <c r="N667" s="26"/>
      <c r="O667" s="26"/>
      <c r="R667" s="26"/>
      <c r="S667" s="26"/>
      <c r="V667" s="26"/>
      <c r="W667" s="26"/>
      <c r="Z667" s="26"/>
      <c r="AA667" s="26"/>
      <c r="AD667" s="26"/>
      <c r="AG667" s="26"/>
      <c r="AJ667" s="26"/>
      <c r="AM667" s="26"/>
      <c r="AP667" s="26"/>
      <c r="AS667" s="26"/>
      <c r="AV667" s="26"/>
      <c r="AY667" s="26"/>
      <c r="BB667" s="26"/>
      <c r="BE667" s="26"/>
      <c r="BH667" s="26"/>
      <c r="BK667" s="26"/>
      <c r="BN667" s="26"/>
      <c r="BQ667" s="26"/>
      <c r="BT667" s="26"/>
    </row>
    <row r="668">
      <c r="I668" s="32"/>
      <c r="J668" s="26"/>
      <c r="K668" s="26"/>
      <c r="N668" s="26"/>
      <c r="O668" s="26"/>
      <c r="R668" s="26"/>
      <c r="S668" s="26"/>
      <c r="V668" s="26"/>
      <c r="W668" s="26"/>
      <c r="Z668" s="26"/>
      <c r="AA668" s="26"/>
      <c r="AD668" s="26"/>
      <c r="AG668" s="26"/>
      <c r="AJ668" s="26"/>
      <c r="AM668" s="26"/>
      <c r="AP668" s="26"/>
      <c r="AS668" s="26"/>
      <c r="AV668" s="26"/>
      <c r="AY668" s="26"/>
      <c r="BB668" s="26"/>
      <c r="BE668" s="26"/>
      <c r="BH668" s="26"/>
      <c r="BK668" s="26"/>
      <c r="BN668" s="26"/>
      <c r="BQ668" s="26"/>
      <c r="BT668" s="26"/>
    </row>
    <row r="669">
      <c r="I669" s="32"/>
      <c r="J669" s="26"/>
      <c r="K669" s="26"/>
      <c r="N669" s="26"/>
      <c r="O669" s="26"/>
      <c r="R669" s="26"/>
      <c r="S669" s="26"/>
      <c r="V669" s="26"/>
      <c r="W669" s="26"/>
      <c r="Z669" s="26"/>
      <c r="AA669" s="26"/>
      <c r="AD669" s="26"/>
      <c r="AG669" s="26"/>
      <c r="AJ669" s="26"/>
      <c r="AM669" s="26"/>
      <c r="AP669" s="26"/>
      <c r="AS669" s="26"/>
      <c r="AV669" s="26"/>
      <c r="AY669" s="26"/>
      <c r="BB669" s="26"/>
      <c r="BE669" s="26"/>
      <c r="BH669" s="26"/>
      <c r="BK669" s="26"/>
      <c r="BN669" s="26"/>
      <c r="BQ669" s="26"/>
      <c r="BT669" s="26"/>
    </row>
    <row r="670">
      <c r="I670" s="32"/>
      <c r="J670" s="26"/>
      <c r="K670" s="26"/>
      <c r="N670" s="26"/>
      <c r="O670" s="26"/>
      <c r="R670" s="26"/>
      <c r="S670" s="26"/>
      <c r="V670" s="26"/>
      <c r="W670" s="26"/>
      <c r="Z670" s="26"/>
      <c r="AA670" s="26"/>
      <c r="AD670" s="26"/>
      <c r="AG670" s="26"/>
      <c r="AJ670" s="26"/>
      <c r="AM670" s="26"/>
      <c r="AP670" s="26"/>
      <c r="AS670" s="26"/>
      <c r="AV670" s="26"/>
      <c r="AY670" s="26"/>
      <c r="BB670" s="26"/>
      <c r="BE670" s="26"/>
      <c r="BH670" s="26"/>
      <c r="BK670" s="26"/>
      <c r="BN670" s="26"/>
      <c r="BQ670" s="26"/>
      <c r="BT670" s="26"/>
    </row>
    <row r="671">
      <c r="I671" s="32"/>
      <c r="J671" s="26"/>
      <c r="K671" s="26"/>
      <c r="N671" s="26"/>
      <c r="O671" s="26"/>
      <c r="R671" s="26"/>
      <c r="S671" s="26"/>
      <c r="V671" s="26"/>
      <c r="W671" s="26"/>
      <c r="Z671" s="26"/>
      <c r="AA671" s="26"/>
      <c r="AD671" s="26"/>
      <c r="AG671" s="26"/>
      <c r="AJ671" s="26"/>
      <c r="AM671" s="26"/>
      <c r="AP671" s="26"/>
      <c r="AS671" s="26"/>
      <c r="AV671" s="26"/>
      <c r="AY671" s="26"/>
      <c r="BB671" s="26"/>
      <c r="BE671" s="26"/>
      <c r="BH671" s="26"/>
      <c r="BK671" s="26"/>
      <c r="BN671" s="26"/>
      <c r="BQ671" s="26"/>
      <c r="BT671" s="26"/>
    </row>
    <row r="672">
      <c r="I672" s="32"/>
      <c r="J672" s="26"/>
      <c r="K672" s="26"/>
      <c r="N672" s="26"/>
      <c r="O672" s="26"/>
      <c r="R672" s="26"/>
      <c r="S672" s="26"/>
      <c r="V672" s="26"/>
      <c r="W672" s="26"/>
      <c r="Z672" s="26"/>
      <c r="AA672" s="26"/>
      <c r="AD672" s="26"/>
      <c r="AG672" s="26"/>
      <c r="AJ672" s="26"/>
      <c r="AM672" s="26"/>
      <c r="AP672" s="26"/>
      <c r="AS672" s="26"/>
      <c r="AV672" s="26"/>
      <c r="AY672" s="26"/>
      <c r="BB672" s="26"/>
      <c r="BE672" s="26"/>
      <c r="BH672" s="26"/>
      <c r="BK672" s="26"/>
      <c r="BN672" s="26"/>
      <c r="BQ672" s="26"/>
      <c r="BT672" s="26"/>
    </row>
    <row r="673">
      <c r="I673" s="32"/>
      <c r="J673" s="26"/>
      <c r="K673" s="26"/>
      <c r="N673" s="26"/>
      <c r="O673" s="26"/>
      <c r="R673" s="26"/>
      <c r="S673" s="26"/>
      <c r="V673" s="26"/>
      <c r="W673" s="26"/>
      <c r="Z673" s="26"/>
      <c r="AA673" s="26"/>
      <c r="AD673" s="26"/>
      <c r="AG673" s="26"/>
      <c r="AJ673" s="26"/>
      <c r="AM673" s="26"/>
      <c r="AP673" s="26"/>
      <c r="AS673" s="26"/>
      <c r="AV673" s="26"/>
      <c r="AY673" s="26"/>
      <c r="BB673" s="26"/>
      <c r="BE673" s="26"/>
      <c r="BH673" s="26"/>
      <c r="BK673" s="26"/>
      <c r="BN673" s="26"/>
      <c r="BQ673" s="26"/>
      <c r="BT673" s="26"/>
    </row>
    <row r="674">
      <c r="I674" s="32"/>
      <c r="J674" s="26"/>
      <c r="K674" s="26"/>
      <c r="N674" s="26"/>
      <c r="O674" s="26"/>
      <c r="R674" s="26"/>
      <c r="S674" s="26"/>
      <c r="V674" s="26"/>
      <c r="W674" s="26"/>
      <c r="Z674" s="26"/>
      <c r="AA674" s="26"/>
      <c r="AD674" s="26"/>
      <c r="AG674" s="26"/>
      <c r="AJ674" s="26"/>
      <c r="AM674" s="26"/>
      <c r="AP674" s="26"/>
      <c r="AS674" s="26"/>
      <c r="AV674" s="26"/>
      <c r="AY674" s="26"/>
      <c r="BB674" s="26"/>
      <c r="BE674" s="26"/>
      <c r="BH674" s="26"/>
      <c r="BK674" s="26"/>
      <c r="BN674" s="26"/>
      <c r="BQ674" s="26"/>
      <c r="BT674" s="26"/>
    </row>
    <row r="675">
      <c r="I675" s="32"/>
      <c r="J675" s="26"/>
      <c r="K675" s="26"/>
      <c r="N675" s="26"/>
      <c r="O675" s="26"/>
      <c r="R675" s="26"/>
      <c r="S675" s="26"/>
      <c r="V675" s="26"/>
      <c r="W675" s="26"/>
      <c r="Z675" s="26"/>
      <c r="AA675" s="26"/>
      <c r="AD675" s="26"/>
      <c r="AG675" s="26"/>
      <c r="AJ675" s="26"/>
      <c r="AM675" s="26"/>
      <c r="AP675" s="26"/>
      <c r="AS675" s="26"/>
      <c r="AV675" s="26"/>
      <c r="AY675" s="26"/>
      <c r="BB675" s="26"/>
      <c r="BE675" s="26"/>
      <c r="BH675" s="26"/>
      <c r="BK675" s="26"/>
      <c r="BN675" s="26"/>
      <c r="BQ675" s="26"/>
      <c r="BT675" s="26"/>
    </row>
    <row r="676">
      <c r="I676" s="32"/>
      <c r="J676" s="26"/>
      <c r="K676" s="26"/>
      <c r="N676" s="26"/>
      <c r="O676" s="26"/>
      <c r="R676" s="26"/>
      <c r="S676" s="26"/>
      <c r="V676" s="26"/>
      <c r="W676" s="26"/>
      <c r="Z676" s="26"/>
      <c r="AA676" s="26"/>
      <c r="AD676" s="26"/>
      <c r="AG676" s="26"/>
      <c r="AJ676" s="26"/>
      <c r="AM676" s="26"/>
      <c r="AP676" s="26"/>
      <c r="AS676" s="26"/>
      <c r="AV676" s="26"/>
      <c r="AY676" s="26"/>
      <c r="BB676" s="26"/>
      <c r="BE676" s="26"/>
      <c r="BH676" s="26"/>
      <c r="BK676" s="26"/>
      <c r="BN676" s="26"/>
      <c r="BQ676" s="26"/>
      <c r="BT676" s="26"/>
    </row>
    <row r="677">
      <c r="I677" s="32"/>
      <c r="J677" s="26"/>
      <c r="K677" s="26"/>
      <c r="N677" s="26"/>
      <c r="O677" s="26"/>
      <c r="R677" s="26"/>
      <c r="S677" s="26"/>
      <c r="V677" s="26"/>
      <c r="W677" s="26"/>
      <c r="Z677" s="26"/>
      <c r="AA677" s="26"/>
      <c r="AD677" s="26"/>
      <c r="AG677" s="26"/>
      <c r="AJ677" s="26"/>
      <c r="AM677" s="26"/>
      <c r="AP677" s="26"/>
      <c r="AS677" s="26"/>
      <c r="AV677" s="26"/>
      <c r="AY677" s="26"/>
      <c r="BB677" s="26"/>
      <c r="BE677" s="26"/>
      <c r="BH677" s="26"/>
      <c r="BK677" s="26"/>
      <c r="BN677" s="26"/>
      <c r="BQ677" s="26"/>
      <c r="BT677" s="26"/>
    </row>
    <row r="678">
      <c r="I678" s="32"/>
      <c r="J678" s="26"/>
      <c r="K678" s="26"/>
      <c r="N678" s="26"/>
      <c r="O678" s="26"/>
      <c r="R678" s="26"/>
      <c r="S678" s="26"/>
      <c r="V678" s="26"/>
      <c r="W678" s="26"/>
      <c r="Z678" s="26"/>
      <c r="AA678" s="26"/>
      <c r="AD678" s="26"/>
      <c r="AG678" s="26"/>
      <c r="AJ678" s="26"/>
      <c r="AM678" s="26"/>
      <c r="AP678" s="26"/>
      <c r="AS678" s="26"/>
      <c r="AV678" s="26"/>
      <c r="AY678" s="26"/>
      <c r="BB678" s="26"/>
      <c r="BE678" s="26"/>
      <c r="BH678" s="26"/>
      <c r="BK678" s="26"/>
      <c r="BN678" s="26"/>
      <c r="BQ678" s="26"/>
      <c r="BT678" s="26"/>
    </row>
    <row r="679">
      <c r="I679" s="32"/>
      <c r="J679" s="26"/>
      <c r="K679" s="26"/>
      <c r="N679" s="26"/>
      <c r="O679" s="26"/>
      <c r="R679" s="26"/>
      <c r="S679" s="26"/>
      <c r="V679" s="26"/>
      <c r="W679" s="26"/>
      <c r="Z679" s="26"/>
      <c r="AA679" s="26"/>
      <c r="AD679" s="26"/>
      <c r="AG679" s="26"/>
      <c r="AJ679" s="26"/>
      <c r="AM679" s="26"/>
      <c r="AP679" s="26"/>
      <c r="AS679" s="26"/>
      <c r="AV679" s="26"/>
      <c r="AY679" s="26"/>
      <c r="BB679" s="26"/>
      <c r="BE679" s="26"/>
      <c r="BH679" s="26"/>
      <c r="BK679" s="26"/>
      <c r="BN679" s="26"/>
      <c r="BQ679" s="26"/>
      <c r="BT679" s="26"/>
    </row>
    <row r="680">
      <c r="I680" s="32"/>
      <c r="J680" s="26"/>
      <c r="K680" s="26"/>
      <c r="N680" s="26"/>
      <c r="O680" s="26"/>
      <c r="R680" s="26"/>
      <c r="S680" s="26"/>
      <c r="V680" s="26"/>
      <c r="W680" s="26"/>
      <c r="Z680" s="26"/>
      <c r="AA680" s="26"/>
      <c r="AD680" s="26"/>
      <c r="AG680" s="26"/>
      <c r="AJ680" s="26"/>
      <c r="AM680" s="26"/>
      <c r="AP680" s="26"/>
      <c r="AS680" s="26"/>
      <c r="AV680" s="26"/>
      <c r="AY680" s="26"/>
      <c r="BB680" s="26"/>
      <c r="BE680" s="26"/>
      <c r="BH680" s="26"/>
      <c r="BK680" s="26"/>
      <c r="BN680" s="26"/>
      <c r="BQ680" s="26"/>
      <c r="BT680" s="26"/>
    </row>
    <row r="681">
      <c r="I681" s="32"/>
      <c r="J681" s="26"/>
      <c r="K681" s="26"/>
      <c r="N681" s="26"/>
      <c r="O681" s="26"/>
      <c r="R681" s="26"/>
      <c r="S681" s="26"/>
      <c r="V681" s="26"/>
      <c r="W681" s="26"/>
      <c r="Z681" s="26"/>
      <c r="AA681" s="26"/>
      <c r="AD681" s="26"/>
      <c r="AG681" s="26"/>
      <c r="AJ681" s="26"/>
      <c r="AM681" s="26"/>
      <c r="AP681" s="26"/>
      <c r="AS681" s="26"/>
      <c r="AV681" s="26"/>
      <c r="AY681" s="26"/>
      <c r="BB681" s="26"/>
      <c r="BE681" s="26"/>
      <c r="BH681" s="26"/>
      <c r="BK681" s="26"/>
      <c r="BN681" s="26"/>
      <c r="BQ681" s="26"/>
      <c r="BT681" s="26"/>
    </row>
    <row r="682">
      <c r="I682" s="32"/>
      <c r="J682" s="26"/>
      <c r="K682" s="26"/>
      <c r="N682" s="26"/>
      <c r="O682" s="26"/>
      <c r="R682" s="26"/>
      <c r="S682" s="26"/>
      <c r="V682" s="26"/>
      <c r="W682" s="26"/>
      <c r="Z682" s="26"/>
      <c r="AA682" s="26"/>
      <c r="AD682" s="26"/>
      <c r="AG682" s="26"/>
      <c r="AJ682" s="26"/>
      <c r="AM682" s="26"/>
      <c r="AP682" s="26"/>
      <c r="AS682" s="26"/>
      <c r="AV682" s="26"/>
      <c r="AY682" s="26"/>
      <c r="BB682" s="26"/>
      <c r="BE682" s="26"/>
      <c r="BH682" s="26"/>
      <c r="BK682" s="26"/>
      <c r="BN682" s="26"/>
      <c r="BQ682" s="26"/>
      <c r="BT682" s="26"/>
    </row>
    <row r="683">
      <c r="I683" s="32"/>
      <c r="J683" s="26"/>
      <c r="K683" s="26"/>
      <c r="N683" s="26"/>
      <c r="O683" s="26"/>
      <c r="R683" s="26"/>
      <c r="S683" s="26"/>
      <c r="V683" s="26"/>
      <c r="W683" s="26"/>
      <c r="Z683" s="26"/>
      <c r="AA683" s="26"/>
      <c r="AD683" s="26"/>
      <c r="AG683" s="26"/>
      <c r="AJ683" s="26"/>
      <c r="AM683" s="26"/>
      <c r="AP683" s="26"/>
      <c r="AS683" s="26"/>
      <c r="AV683" s="26"/>
      <c r="AY683" s="26"/>
      <c r="BB683" s="26"/>
      <c r="BE683" s="26"/>
      <c r="BH683" s="26"/>
      <c r="BK683" s="26"/>
      <c r="BN683" s="26"/>
      <c r="BQ683" s="26"/>
      <c r="BT683" s="26"/>
    </row>
    <row r="684">
      <c r="I684" s="32"/>
      <c r="J684" s="26"/>
      <c r="K684" s="26"/>
      <c r="N684" s="26"/>
      <c r="O684" s="26"/>
      <c r="R684" s="26"/>
      <c r="S684" s="26"/>
      <c r="V684" s="26"/>
      <c r="W684" s="26"/>
      <c r="Z684" s="26"/>
      <c r="AA684" s="26"/>
      <c r="AD684" s="26"/>
      <c r="AG684" s="26"/>
      <c r="AJ684" s="26"/>
      <c r="AM684" s="26"/>
      <c r="AP684" s="26"/>
      <c r="AS684" s="26"/>
      <c r="AV684" s="26"/>
      <c r="AY684" s="26"/>
      <c r="BB684" s="26"/>
      <c r="BE684" s="26"/>
      <c r="BH684" s="26"/>
      <c r="BK684" s="26"/>
      <c r="BN684" s="26"/>
      <c r="BQ684" s="26"/>
      <c r="BT684" s="26"/>
    </row>
    <row r="685">
      <c r="I685" s="32"/>
      <c r="J685" s="26"/>
      <c r="K685" s="26"/>
      <c r="N685" s="26"/>
      <c r="O685" s="26"/>
      <c r="R685" s="26"/>
      <c r="S685" s="26"/>
      <c r="V685" s="26"/>
      <c r="W685" s="26"/>
      <c r="Z685" s="26"/>
      <c r="AA685" s="26"/>
      <c r="AD685" s="26"/>
      <c r="AG685" s="26"/>
      <c r="AJ685" s="26"/>
      <c r="AM685" s="26"/>
      <c r="AP685" s="26"/>
      <c r="AS685" s="26"/>
      <c r="AV685" s="26"/>
      <c r="AY685" s="26"/>
      <c r="BB685" s="26"/>
      <c r="BE685" s="26"/>
      <c r="BH685" s="26"/>
      <c r="BK685" s="26"/>
      <c r="BN685" s="26"/>
      <c r="BQ685" s="26"/>
      <c r="BT685" s="26"/>
    </row>
    <row r="686">
      <c r="I686" s="32"/>
      <c r="J686" s="26"/>
      <c r="K686" s="26"/>
      <c r="N686" s="26"/>
      <c r="O686" s="26"/>
      <c r="R686" s="26"/>
      <c r="S686" s="26"/>
      <c r="V686" s="26"/>
      <c r="W686" s="26"/>
      <c r="Z686" s="26"/>
      <c r="AA686" s="26"/>
      <c r="AD686" s="26"/>
      <c r="AG686" s="26"/>
      <c r="AJ686" s="26"/>
      <c r="AM686" s="26"/>
      <c r="AP686" s="26"/>
      <c r="AS686" s="26"/>
      <c r="AV686" s="26"/>
      <c r="AY686" s="26"/>
      <c r="BB686" s="26"/>
      <c r="BE686" s="26"/>
      <c r="BH686" s="26"/>
      <c r="BK686" s="26"/>
      <c r="BN686" s="26"/>
      <c r="BQ686" s="26"/>
      <c r="BT686" s="26"/>
    </row>
    <row r="687">
      <c r="I687" s="32"/>
      <c r="J687" s="26"/>
      <c r="K687" s="26"/>
      <c r="N687" s="26"/>
      <c r="O687" s="26"/>
      <c r="R687" s="26"/>
      <c r="S687" s="26"/>
      <c r="V687" s="26"/>
      <c r="W687" s="26"/>
      <c r="Z687" s="26"/>
      <c r="AA687" s="26"/>
      <c r="AD687" s="26"/>
      <c r="AG687" s="26"/>
      <c r="AJ687" s="26"/>
      <c r="AM687" s="26"/>
      <c r="AP687" s="26"/>
      <c r="AS687" s="26"/>
      <c r="AV687" s="26"/>
      <c r="AY687" s="26"/>
      <c r="BB687" s="26"/>
      <c r="BE687" s="26"/>
      <c r="BH687" s="26"/>
      <c r="BK687" s="26"/>
      <c r="BN687" s="26"/>
      <c r="BQ687" s="26"/>
      <c r="BT687" s="26"/>
    </row>
    <row r="688">
      <c r="I688" s="32"/>
      <c r="J688" s="26"/>
      <c r="K688" s="26"/>
      <c r="N688" s="26"/>
      <c r="O688" s="26"/>
      <c r="R688" s="26"/>
      <c r="S688" s="26"/>
      <c r="V688" s="26"/>
      <c r="W688" s="26"/>
      <c r="Z688" s="26"/>
      <c r="AA688" s="26"/>
      <c r="AD688" s="26"/>
      <c r="AG688" s="26"/>
      <c r="AJ688" s="26"/>
      <c r="AM688" s="26"/>
      <c r="AP688" s="26"/>
      <c r="AS688" s="26"/>
      <c r="AV688" s="26"/>
      <c r="AY688" s="26"/>
      <c r="BB688" s="26"/>
      <c r="BE688" s="26"/>
      <c r="BH688" s="26"/>
      <c r="BK688" s="26"/>
      <c r="BN688" s="26"/>
      <c r="BQ688" s="26"/>
      <c r="BT688" s="26"/>
    </row>
    <row r="689">
      <c r="I689" s="32"/>
      <c r="J689" s="26"/>
      <c r="K689" s="26"/>
      <c r="N689" s="26"/>
      <c r="O689" s="26"/>
      <c r="R689" s="26"/>
      <c r="S689" s="26"/>
      <c r="V689" s="26"/>
      <c r="W689" s="26"/>
      <c r="Z689" s="26"/>
      <c r="AA689" s="26"/>
      <c r="AD689" s="26"/>
      <c r="AG689" s="26"/>
      <c r="AJ689" s="26"/>
      <c r="AM689" s="26"/>
      <c r="AP689" s="26"/>
      <c r="AS689" s="26"/>
      <c r="AV689" s="26"/>
      <c r="AY689" s="26"/>
      <c r="BB689" s="26"/>
      <c r="BE689" s="26"/>
      <c r="BH689" s="26"/>
      <c r="BK689" s="26"/>
      <c r="BN689" s="26"/>
      <c r="BQ689" s="26"/>
      <c r="BT689" s="26"/>
    </row>
    <row r="690">
      <c r="I690" s="32"/>
      <c r="J690" s="26"/>
      <c r="K690" s="26"/>
      <c r="N690" s="26"/>
      <c r="O690" s="26"/>
      <c r="R690" s="26"/>
      <c r="S690" s="26"/>
      <c r="V690" s="26"/>
      <c r="W690" s="26"/>
      <c r="Z690" s="26"/>
      <c r="AA690" s="26"/>
      <c r="AD690" s="26"/>
      <c r="AG690" s="26"/>
      <c r="AJ690" s="26"/>
      <c r="AM690" s="26"/>
      <c r="AP690" s="26"/>
      <c r="AS690" s="26"/>
      <c r="AV690" s="26"/>
      <c r="AY690" s="26"/>
      <c r="BB690" s="26"/>
      <c r="BE690" s="26"/>
      <c r="BH690" s="26"/>
      <c r="BK690" s="26"/>
      <c r="BN690" s="26"/>
      <c r="BQ690" s="26"/>
      <c r="BT690" s="26"/>
    </row>
    <row r="691">
      <c r="I691" s="32"/>
      <c r="J691" s="26"/>
      <c r="K691" s="26"/>
      <c r="N691" s="26"/>
      <c r="O691" s="26"/>
      <c r="R691" s="26"/>
      <c r="S691" s="26"/>
      <c r="V691" s="26"/>
      <c r="W691" s="26"/>
      <c r="Z691" s="26"/>
      <c r="AA691" s="26"/>
      <c r="AD691" s="26"/>
      <c r="AG691" s="26"/>
      <c r="AJ691" s="26"/>
      <c r="AM691" s="26"/>
      <c r="AP691" s="26"/>
      <c r="AS691" s="26"/>
      <c r="AV691" s="26"/>
      <c r="AY691" s="26"/>
      <c r="BB691" s="26"/>
      <c r="BE691" s="26"/>
      <c r="BH691" s="26"/>
      <c r="BK691" s="26"/>
      <c r="BN691" s="26"/>
      <c r="BQ691" s="26"/>
      <c r="BT691" s="26"/>
    </row>
    <row r="692">
      <c r="I692" s="32"/>
      <c r="J692" s="26"/>
      <c r="K692" s="26"/>
      <c r="N692" s="26"/>
      <c r="O692" s="26"/>
      <c r="R692" s="26"/>
      <c r="S692" s="26"/>
      <c r="V692" s="26"/>
      <c r="W692" s="26"/>
      <c r="Z692" s="26"/>
      <c r="AA692" s="26"/>
      <c r="AD692" s="26"/>
      <c r="AG692" s="26"/>
      <c r="AJ692" s="26"/>
      <c r="AM692" s="26"/>
      <c r="AP692" s="26"/>
      <c r="AS692" s="26"/>
      <c r="AV692" s="26"/>
      <c r="AY692" s="26"/>
      <c r="BB692" s="26"/>
      <c r="BE692" s="26"/>
      <c r="BH692" s="26"/>
      <c r="BK692" s="26"/>
      <c r="BN692" s="26"/>
      <c r="BQ692" s="26"/>
      <c r="BT692" s="26"/>
    </row>
    <row r="693">
      <c r="I693" s="32"/>
      <c r="J693" s="26"/>
      <c r="K693" s="26"/>
      <c r="N693" s="26"/>
      <c r="O693" s="26"/>
      <c r="R693" s="26"/>
      <c r="S693" s="26"/>
      <c r="V693" s="26"/>
      <c r="W693" s="26"/>
      <c r="Z693" s="26"/>
      <c r="AA693" s="26"/>
      <c r="AD693" s="26"/>
      <c r="AG693" s="26"/>
      <c r="AJ693" s="26"/>
      <c r="AM693" s="26"/>
      <c r="AP693" s="26"/>
      <c r="AS693" s="26"/>
      <c r="AV693" s="26"/>
      <c r="AY693" s="26"/>
      <c r="BB693" s="26"/>
      <c r="BE693" s="26"/>
      <c r="BH693" s="26"/>
      <c r="BK693" s="26"/>
      <c r="BN693" s="26"/>
      <c r="BQ693" s="26"/>
      <c r="BT693" s="26"/>
    </row>
    <row r="694">
      <c r="I694" s="32"/>
      <c r="J694" s="26"/>
      <c r="K694" s="26"/>
      <c r="N694" s="26"/>
      <c r="O694" s="26"/>
      <c r="R694" s="26"/>
      <c r="S694" s="26"/>
      <c r="V694" s="26"/>
      <c r="W694" s="26"/>
      <c r="Z694" s="26"/>
      <c r="AA694" s="26"/>
      <c r="AD694" s="26"/>
      <c r="AG694" s="26"/>
      <c r="AJ694" s="26"/>
      <c r="AM694" s="26"/>
      <c r="AP694" s="26"/>
      <c r="AS694" s="26"/>
      <c r="AV694" s="26"/>
      <c r="AY694" s="26"/>
      <c r="BB694" s="26"/>
      <c r="BE694" s="26"/>
      <c r="BH694" s="26"/>
      <c r="BK694" s="26"/>
      <c r="BN694" s="26"/>
      <c r="BQ694" s="26"/>
      <c r="BT694" s="26"/>
    </row>
    <row r="695">
      <c r="I695" s="32"/>
      <c r="J695" s="26"/>
      <c r="K695" s="26"/>
      <c r="N695" s="26"/>
      <c r="O695" s="26"/>
      <c r="R695" s="26"/>
      <c r="S695" s="26"/>
      <c r="V695" s="26"/>
      <c r="W695" s="26"/>
      <c r="Z695" s="26"/>
      <c r="AA695" s="26"/>
      <c r="AD695" s="26"/>
      <c r="AG695" s="26"/>
      <c r="AJ695" s="26"/>
      <c r="AM695" s="26"/>
      <c r="AP695" s="26"/>
      <c r="AS695" s="26"/>
      <c r="AV695" s="26"/>
      <c r="AY695" s="26"/>
      <c r="BB695" s="26"/>
      <c r="BE695" s="26"/>
      <c r="BH695" s="26"/>
      <c r="BK695" s="26"/>
      <c r="BN695" s="26"/>
      <c r="BQ695" s="26"/>
      <c r="BT695" s="26"/>
    </row>
    <row r="696">
      <c r="I696" s="32"/>
      <c r="J696" s="26"/>
      <c r="K696" s="26"/>
      <c r="N696" s="26"/>
      <c r="O696" s="26"/>
      <c r="R696" s="26"/>
      <c r="S696" s="26"/>
      <c r="V696" s="26"/>
      <c r="W696" s="26"/>
      <c r="Z696" s="26"/>
      <c r="AA696" s="26"/>
      <c r="AD696" s="26"/>
      <c r="AG696" s="26"/>
      <c r="AJ696" s="26"/>
      <c r="AM696" s="26"/>
      <c r="AP696" s="26"/>
      <c r="AS696" s="26"/>
      <c r="AV696" s="26"/>
      <c r="AY696" s="26"/>
      <c r="BB696" s="26"/>
      <c r="BE696" s="26"/>
      <c r="BH696" s="26"/>
      <c r="BK696" s="26"/>
      <c r="BN696" s="26"/>
      <c r="BQ696" s="26"/>
      <c r="BT696" s="26"/>
    </row>
    <row r="697">
      <c r="I697" s="32"/>
      <c r="J697" s="26"/>
      <c r="K697" s="26"/>
      <c r="N697" s="26"/>
      <c r="O697" s="26"/>
      <c r="R697" s="26"/>
      <c r="S697" s="26"/>
      <c r="V697" s="26"/>
      <c r="W697" s="26"/>
      <c r="Z697" s="26"/>
      <c r="AA697" s="26"/>
      <c r="AD697" s="26"/>
      <c r="AG697" s="26"/>
      <c r="AJ697" s="26"/>
      <c r="AM697" s="26"/>
      <c r="AP697" s="26"/>
      <c r="AS697" s="26"/>
      <c r="AV697" s="26"/>
      <c r="AY697" s="26"/>
      <c r="BB697" s="26"/>
      <c r="BE697" s="26"/>
      <c r="BH697" s="26"/>
      <c r="BK697" s="26"/>
      <c r="BN697" s="26"/>
      <c r="BQ697" s="26"/>
      <c r="BT697" s="26"/>
    </row>
    <row r="698">
      <c r="I698" s="32"/>
      <c r="J698" s="26"/>
      <c r="K698" s="26"/>
      <c r="N698" s="26"/>
      <c r="O698" s="26"/>
      <c r="R698" s="26"/>
      <c r="S698" s="26"/>
      <c r="V698" s="26"/>
      <c r="W698" s="26"/>
      <c r="Z698" s="26"/>
      <c r="AA698" s="26"/>
      <c r="AD698" s="26"/>
      <c r="AG698" s="26"/>
      <c r="AJ698" s="26"/>
      <c r="AM698" s="26"/>
      <c r="AP698" s="26"/>
      <c r="AS698" s="26"/>
      <c r="AV698" s="26"/>
      <c r="AY698" s="26"/>
      <c r="BB698" s="26"/>
      <c r="BE698" s="26"/>
      <c r="BH698" s="26"/>
      <c r="BK698" s="26"/>
      <c r="BN698" s="26"/>
      <c r="BQ698" s="26"/>
      <c r="BT698" s="26"/>
    </row>
    <row r="699">
      <c r="I699" s="32"/>
      <c r="J699" s="26"/>
      <c r="K699" s="26"/>
      <c r="N699" s="26"/>
      <c r="O699" s="26"/>
      <c r="R699" s="26"/>
      <c r="S699" s="26"/>
      <c r="V699" s="26"/>
      <c r="W699" s="26"/>
      <c r="Z699" s="26"/>
      <c r="AA699" s="26"/>
      <c r="AD699" s="26"/>
      <c r="AG699" s="26"/>
      <c r="AJ699" s="26"/>
      <c r="AM699" s="26"/>
      <c r="AP699" s="26"/>
      <c r="AS699" s="26"/>
      <c r="AV699" s="26"/>
      <c r="AY699" s="26"/>
      <c r="BB699" s="26"/>
      <c r="BE699" s="26"/>
      <c r="BH699" s="26"/>
      <c r="BK699" s="26"/>
      <c r="BN699" s="26"/>
      <c r="BQ699" s="26"/>
      <c r="BT699" s="26"/>
    </row>
    <row r="700">
      <c r="I700" s="32"/>
      <c r="J700" s="26"/>
      <c r="K700" s="26"/>
      <c r="N700" s="26"/>
      <c r="O700" s="26"/>
      <c r="R700" s="26"/>
      <c r="S700" s="26"/>
      <c r="V700" s="26"/>
      <c r="W700" s="26"/>
      <c r="Z700" s="26"/>
      <c r="AA700" s="26"/>
      <c r="AD700" s="26"/>
      <c r="AG700" s="26"/>
      <c r="AJ700" s="26"/>
      <c r="AM700" s="26"/>
      <c r="AP700" s="26"/>
      <c r="AS700" s="26"/>
      <c r="AV700" s="26"/>
      <c r="AY700" s="26"/>
      <c r="BB700" s="26"/>
      <c r="BE700" s="26"/>
      <c r="BH700" s="26"/>
      <c r="BK700" s="26"/>
      <c r="BN700" s="26"/>
      <c r="BQ700" s="26"/>
      <c r="BT700" s="26"/>
    </row>
    <row r="701">
      <c r="I701" s="32"/>
      <c r="J701" s="26"/>
      <c r="K701" s="26"/>
      <c r="N701" s="26"/>
      <c r="O701" s="26"/>
      <c r="R701" s="26"/>
      <c r="S701" s="26"/>
      <c r="V701" s="26"/>
      <c r="W701" s="26"/>
      <c r="Z701" s="26"/>
      <c r="AA701" s="26"/>
      <c r="AD701" s="26"/>
      <c r="AG701" s="26"/>
      <c r="AJ701" s="26"/>
      <c r="AM701" s="26"/>
      <c r="AP701" s="26"/>
      <c r="AS701" s="26"/>
      <c r="AV701" s="26"/>
      <c r="AY701" s="26"/>
      <c r="BB701" s="26"/>
      <c r="BE701" s="26"/>
      <c r="BH701" s="26"/>
      <c r="BK701" s="26"/>
      <c r="BN701" s="26"/>
      <c r="BQ701" s="26"/>
      <c r="BT701" s="26"/>
    </row>
    <row r="702">
      <c r="I702" s="32"/>
      <c r="J702" s="26"/>
      <c r="K702" s="26"/>
      <c r="N702" s="26"/>
      <c r="O702" s="26"/>
      <c r="R702" s="26"/>
      <c r="S702" s="26"/>
      <c r="V702" s="26"/>
      <c r="W702" s="26"/>
      <c r="Z702" s="26"/>
      <c r="AA702" s="26"/>
      <c r="AD702" s="26"/>
      <c r="AG702" s="26"/>
      <c r="AJ702" s="26"/>
      <c r="AM702" s="26"/>
      <c r="AP702" s="26"/>
      <c r="AS702" s="26"/>
      <c r="AV702" s="26"/>
      <c r="AY702" s="26"/>
      <c r="BB702" s="26"/>
      <c r="BE702" s="26"/>
      <c r="BH702" s="26"/>
      <c r="BK702" s="26"/>
      <c r="BN702" s="26"/>
      <c r="BQ702" s="26"/>
      <c r="BT702" s="26"/>
    </row>
    <row r="703">
      <c r="I703" s="32"/>
      <c r="J703" s="26"/>
      <c r="K703" s="26"/>
      <c r="N703" s="26"/>
      <c r="O703" s="26"/>
      <c r="R703" s="26"/>
      <c r="S703" s="26"/>
      <c r="V703" s="26"/>
      <c r="W703" s="26"/>
      <c r="Z703" s="26"/>
      <c r="AA703" s="26"/>
      <c r="AD703" s="26"/>
      <c r="AG703" s="26"/>
      <c r="AJ703" s="26"/>
      <c r="AM703" s="26"/>
      <c r="AP703" s="26"/>
      <c r="AS703" s="26"/>
      <c r="AV703" s="26"/>
      <c r="AY703" s="26"/>
      <c r="BB703" s="26"/>
      <c r="BE703" s="26"/>
      <c r="BH703" s="26"/>
      <c r="BK703" s="26"/>
      <c r="BN703" s="26"/>
      <c r="BQ703" s="26"/>
      <c r="BT703" s="26"/>
    </row>
    <row r="704">
      <c r="I704" s="32"/>
      <c r="J704" s="26"/>
      <c r="K704" s="26"/>
      <c r="N704" s="26"/>
      <c r="O704" s="26"/>
      <c r="R704" s="26"/>
      <c r="S704" s="26"/>
      <c r="V704" s="26"/>
      <c r="W704" s="26"/>
      <c r="Z704" s="26"/>
      <c r="AA704" s="26"/>
      <c r="AD704" s="26"/>
      <c r="AG704" s="26"/>
      <c r="AJ704" s="26"/>
      <c r="AM704" s="26"/>
      <c r="AP704" s="26"/>
      <c r="AS704" s="26"/>
      <c r="AV704" s="26"/>
      <c r="AY704" s="26"/>
      <c r="BB704" s="26"/>
      <c r="BE704" s="26"/>
      <c r="BH704" s="26"/>
      <c r="BK704" s="26"/>
      <c r="BN704" s="26"/>
      <c r="BQ704" s="26"/>
      <c r="BT704" s="26"/>
    </row>
    <row r="705">
      <c r="I705" s="32"/>
      <c r="J705" s="26"/>
      <c r="K705" s="26"/>
      <c r="N705" s="26"/>
      <c r="O705" s="26"/>
      <c r="R705" s="26"/>
      <c r="S705" s="26"/>
      <c r="V705" s="26"/>
      <c r="W705" s="26"/>
      <c r="Z705" s="26"/>
      <c r="AA705" s="26"/>
      <c r="AD705" s="26"/>
      <c r="AG705" s="26"/>
      <c r="AJ705" s="26"/>
      <c r="AM705" s="26"/>
      <c r="AP705" s="26"/>
      <c r="AS705" s="26"/>
      <c r="AV705" s="26"/>
      <c r="AY705" s="26"/>
      <c r="BB705" s="26"/>
      <c r="BE705" s="26"/>
      <c r="BH705" s="26"/>
      <c r="BK705" s="26"/>
      <c r="BN705" s="26"/>
      <c r="BQ705" s="26"/>
      <c r="BT705" s="26"/>
    </row>
    <row r="706">
      <c r="I706" s="32"/>
      <c r="J706" s="26"/>
      <c r="K706" s="26"/>
      <c r="N706" s="26"/>
      <c r="O706" s="26"/>
      <c r="R706" s="26"/>
      <c r="S706" s="26"/>
      <c r="V706" s="26"/>
      <c r="W706" s="26"/>
      <c r="Z706" s="26"/>
      <c r="AA706" s="26"/>
      <c r="AD706" s="26"/>
      <c r="AG706" s="26"/>
      <c r="AJ706" s="26"/>
      <c r="AM706" s="26"/>
      <c r="AP706" s="26"/>
      <c r="AS706" s="26"/>
      <c r="AV706" s="26"/>
      <c r="AY706" s="26"/>
      <c r="BB706" s="26"/>
      <c r="BE706" s="26"/>
      <c r="BH706" s="26"/>
      <c r="BK706" s="26"/>
      <c r="BN706" s="26"/>
      <c r="BQ706" s="26"/>
      <c r="BT706" s="26"/>
    </row>
    <row r="707">
      <c r="I707" s="32"/>
      <c r="J707" s="26"/>
      <c r="K707" s="26"/>
      <c r="N707" s="26"/>
      <c r="O707" s="26"/>
      <c r="R707" s="26"/>
      <c r="S707" s="26"/>
      <c r="V707" s="26"/>
      <c r="W707" s="26"/>
      <c r="Z707" s="26"/>
      <c r="AA707" s="26"/>
      <c r="AD707" s="26"/>
      <c r="AG707" s="26"/>
      <c r="AJ707" s="26"/>
      <c r="AM707" s="26"/>
      <c r="AP707" s="26"/>
      <c r="AS707" s="26"/>
      <c r="AV707" s="26"/>
      <c r="AY707" s="26"/>
      <c r="BB707" s="26"/>
      <c r="BE707" s="26"/>
      <c r="BH707" s="26"/>
      <c r="BK707" s="26"/>
      <c r="BN707" s="26"/>
      <c r="BQ707" s="26"/>
      <c r="BT707" s="26"/>
    </row>
    <row r="708">
      <c r="I708" s="32"/>
      <c r="J708" s="26"/>
      <c r="K708" s="26"/>
      <c r="N708" s="26"/>
      <c r="O708" s="26"/>
      <c r="R708" s="26"/>
      <c r="S708" s="26"/>
      <c r="V708" s="26"/>
      <c r="W708" s="26"/>
      <c r="Z708" s="26"/>
      <c r="AA708" s="26"/>
      <c r="AD708" s="26"/>
      <c r="AG708" s="26"/>
      <c r="AJ708" s="26"/>
      <c r="AM708" s="26"/>
      <c r="AP708" s="26"/>
      <c r="AS708" s="26"/>
      <c r="AV708" s="26"/>
      <c r="AY708" s="26"/>
      <c r="BB708" s="26"/>
      <c r="BE708" s="26"/>
      <c r="BH708" s="26"/>
      <c r="BK708" s="26"/>
      <c r="BN708" s="26"/>
      <c r="BQ708" s="26"/>
      <c r="BT708" s="26"/>
    </row>
    <row r="709">
      <c r="I709" s="32"/>
      <c r="J709" s="26"/>
      <c r="K709" s="26"/>
      <c r="N709" s="26"/>
      <c r="O709" s="26"/>
      <c r="R709" s="26"/>
      <c r="S709" s="26"/>
      <c r="V709" s="26"/>
      <c r="W709" s="26"/>
      <c r="Z709" s="26"/>
      <c r="AA709" s="26"/>
      <c r="AD709" s="26"/>
      <c r="AG709" s="26"/>
      <c r="AJ709" s="26"/>
      <c r="AM709" s="26"/>
      <c r="AP709" s="26"/>
      <c r="AS709" s="26"/>
      <c r="AV709" s="26"/>
      <c r="AY709" s="26"/>
      <c r="BB709" s="26"/>
      <c r="BE709" s="26"/>
      <c r="BH709" s="26"/>
      <c r="BK709" s="26"/>
      <c r="BN709" s="26"/>
      <c r="BQ709" s="26"/>
      <c r="BT709" s="26"/>
    </row>
    <row r="710">
      <c r="I710" s="32"/>
      <c r="J710" s="26"/>
      <c r="K710" s="26"/>
      <c r="N710" s="26"/>
      <c r="O710" s="26"/>
      <c r="R710" s="26"/>
      <c r="S710" s="26"/>
      <c r="V710" s="26"/>
      <c r="W710" s="26"/>
      <c r="Z710" s="26"/>
      <c r="AA710" s="26"/>
      <c r="AD710" s="26"/>
      <c r="AG710" s="26"/>
      <c r="AJ710" s="26"/>
      <c r="AM710" s="26"/>
      <c r="AP710" s="26"/>
      <c r="AS710" s="26"/>
      <c r="AV710" s="26"/>
      <c r="AY710" s="26"/>
      <c r="BB710" s="26"/>
      <c r="BE710" s="26"/>
      <c r="BH710" s="26"/>
      <c r="BK710" s="26"/>
      <c r="BN710" s="26"/>
      <c r="BQ710" s="26"/>
      <c r="BT710" s="26"/>
    </row>
    <row r="711">
      <c r="I711" s="32"/>
      <c r="J711" s="26"/>
      <c r="K711" s="26"/>
      <c r="N711" s="26"/>
      <c r="O711" s="26"/>
      <c r="R711" s="26"/>
      <c r="S711" s="26"/>
      <c r="V711" s="26"/>
      <c r="W711" s="26"/>
      <c r="Z711" s="26"/>
      <c r="AA711" s="26"/>
      <c r="AD711" s="26"/>
      <c r="AG711" s="26"/>
      <c r="AJ711" s="26"/>
      <c r="AM711" s="26"/>
      <c r="AP711" s="26"/>
      <c r="AS711" s="26"/>
      <c r="AV711" s="26"/>
      <c r="AY711" s="26"/>
      <c r="BB711" s="26"/>
      <c r="BE711" s="26"/>
      <c r="BH711" s="26"/>
      <c r="BK711" s="26"/>
      <c r="BN711" s="26"/>
      <c r="BQ711" s="26"/>
      <c r="BT711" s="26"/>
    </row>
    <row r="712">
      <c r="I712" s="32"/>
      <c r="J712" s="26"/>
      <c r="K712" s="26"/>
      <c r="N712" s="26"/>
      <c r="O712" s="26"/>
      <c r="R712" s="26"/>
      <c r="S712" s="26"/>
      <c r="V712" s="26"/>
      <c r="W712" s="26"/>
      <c r="Z712" s="26"/>
      <c r="AA712" s="26"/>
      <c r="AD712" s="26"/>
      <c r="AG712" s="26"/>
      <c r="AJ712" s="26"/>
      <c r="AM712" s="26"/>
      <c r="AP712" s="26"/>
      <c r="AS712" s="26"/>
      <c r="AV712" s="26"/>
      <c r="AY712" s="26"/>
      <c r="BB712" s="26"/>
      <c r="BE712" s="26"/>
      <c r="BH712" s="26"/>
      <c r="BK712" s="26"/>
      <c r="BN712" s="26"/>
      <c r="BQ712" s="26"/>
      <c r="BT712" s="26"/>
    </row>
    <row r="713">
      <c r="I713" s="32"/>
      <c r="J713" s="26"/>
      <c r="K713" s="26"/>
      <c r="N713" s="26"/>
      <c r="O713" s="26"/>
      <c r="R713" s="26"/>
      <c r="S713" s="26"/>
      <c r="V713" s="26"/>
      <c r="W713" s="26"/>
      <c r="Z713" s="26"/>
      <c r="AA713" s="26"/>
      <c r="AD713" s="26"/>
      <c r="AG713" s="26"/>
      <c r="AJ713" s="26"/>
      <c r="AM713" s="26"/>
      <c r="AP713" s="26"/>
      <c r="AS713" s="26"/>
      <c r="AV713" s="26"/>
      <c r="AY713" s="26"/>
      <c r="BB713" s="26"/>
      <c r="BE713" s="26"/>
      <c r="BH713" s="26"/>
      <c r="BK713" s="26"/>
      <c r="BN713" s="26"/>
      <c r="BQ713" s="26"/>
      <c r="BT713" s="26"/>
    </row>
    <row r="714">
      <c r="I714" s="32"/>
      <c r="J714" s="26"/>
      <c r="K714" s="26"/>
      <c r="N714" s="26"/>
      <c r="O714" s="26"/>
      <c r="R714" s="26"/>
      <c r="S714" s="26"/>
      <c r="V714" s="26"/>
      <c r="W714" s="26"/>
      <c r="Z714" s="26"/>
      <c r="AA714" s="26"/>
      <c r="AD714" s="26"/>
      <c r="AG714" s="26"/>
      <c r="AJ714" s="26"/>
      <c r="AM714" s="26"/>
      <c r="AP714" s="26"/>
      <c r="AS714" s="26"/>
      <c r="AV714" s="26"/>
      <c r="AY714" s="26"/>
      <c r="BB714" s="26"/>
      <c r="BE714" s="26"/>
      <c r="BH714" s="26"/>
      <c r="BK714" s="26"/>
      <c r="BN714" s="26"/>
      <c r="BQ714" s="26"/>
      <c r="BT714" s="26"/>
    </row>
    <row r="715">
      <c r="I715" s="32"/>
      <c r="J715" s="26"/>
      <c r="K715" s="26"/>
      <c r="N715" s="26"/>
      <c r="O715" s="26"/>
      <c r="R715" s="26"/>
      <c r="S715" s="26"/>
      <c r="V715" s="26"/>
      <c r="W715" s="26"/>
      <c r="Z715" s="26"/>
      <c r="AA715" s="26"/>
      <c r="AD715" s="26"/>
      <c r="AG715" s="26"/>
      <c r="AJ715" s="26"/>
      <c r="AM715" s="26"/>
      <c r="AP715" s="26"/>
      <c r="AS715" s="26"/>
      <c r="AV715" s="26"/>
      <c r="AY715" s="26"/>
      <c r="BB715" s="26"/>
      <c r="BE715" s="26"/>
      <c r="BH715" s="26"/>
      <c r="BK715" s="26"/>
      <c r="BN715" s="26"/>
      <c r="BQ715" s="26"/>
      <c r="BT715" s="26"/>
    </row>
    <row r="716">
      <c r="I716" s="32"/>
      <c r="J716" s="26"/>
      <c r="K716" s="26"/>
      <c r="N716" s="26"/>
      <c r="O716" s="26"/>
      <c r="R716" s="26"/>
      <c r="S716" s="26"/>
      <c r="V716" s="26"/>
      <c r="W716" s="26"/>
      <c r="Z716" s="26"/>
      <c r="AA716" s="26"/>
      <c r="AD716" s="26"/>
      <c r="AG716" s="26"/>
      <c r="AJ716" s="26"/>
      <c r="AM716" s="26"/>
      <c r="AP716" s="26"/>
      <c r="AS716" s="26"/>
      <c r="AV716" s="26"/>
      <c r="AY716" s="26"/>
      <c r="BB716" s="26"/>
      <c r="BE716" s="26"/>
      <c r="BH716" s="26"/>
      <c r="BK716" s="26"/>
      <c r="BN716" s="26"/>
      <c r="BQ716" s="26"/>
      <c r="BT716" s="26"/>
    </row>
    <row r="717">
      <c r="I717" s="32"/>
      <c r="J717" s="26"/>
      <c r="K717" s="26"/>
      <c r="N717" s="26"/>
      <c r="O717" s="26"/>
      <c r="R717" s="26"/>
      <c r="S717" s="26"/>
      <c r="V717" s="26"/>
      <c r="W717" s="26"/>
      <c r="Z717" s="26"/>
      <c r="AA717" s="26"/>
      <c r="AD717" s="26"/>
      <c r="AG717" s="26"/>
      <c r="AJ717" s="26"/>
      <c r="AM717" s="26"/>
      <c r="AP717" s="26"/>
      <c r="AS717" s="26"/>
      <c r="AV717" s="26"/>
      <c r="AY717" s="26"/>
      <c r="BB717" s="26"/>
      <c r="BE717" s="26"/>
      <c r="BH717" s="26"/>
      <c r="BK717" s="26"/>
      <c r="BN717" s="26"/>
      <c r="BQ717" s="26"/>
      <c r="BT717" s="26"/>
    </row>
    <row r="718">
      <c r="I718" s="32"/>
      <c r="J718" s="26"/>
      <c r="K718" s="26"/>
      <c r="N718" s="26"/>
      <c r="O718" s="26"/>
      <c r="R718" s="26"/>
      <c r="S718" s="26"/>
      <c r="V718" s="26"/>
      <c r="W718" s="26"/>
      <c r="Z718" s="26"/>
      <c r="AA718" s="26"/>
      <c r="AD718" s="26"/>
      <c r="AG718" s="26"/>
      <c r="AJ718" s="26"/>
      <c r="AM718" s="26"/>
      <c r="AP718" s="26"/>
      <c r="AS718" s="26"/>
      <c r="AV718" s="26"/>
      <c r="AY718" s="26"/>
      <c r="BB718" s="26"/>
      <c r="BE718" s="26"/>
      <c r="BH718" s="26"/>
      <c r="BK718" s="26"/>
      <c r="BN718" s="26"/>
      <c r="BQ718" s="26"/>
      <c r="BT718" s="26"/>
    </row>
    <row r="719">
      <c r="I719" s="32"/>
      <c r="J719" s="26"/>
      <c r="K719" s="26"/>
      <c r="N719" s="26"/>
      <c r="O719" s="26"/>
      <c r="R719" s="26"/>
      <c r="S719" s="26"/>
      <c r="V719" s="26"/>
      <c r="W719" s="26"/>
      <c r="Z719" s="26"/>
      <c r="AA719" s="26"/>
      <c r="AD719" s="26"/>
      <c r="AG719" s="26"/>
      <c r="AJ719" s="26"/>
      <c r="AM719" s="26"/>
      <c r="AP719" s="26"/>
      <c r="AS719" s="26"/>
      <c r="AV719" s="26"/>
      <c r="AY719" s="26"/>
      <c r="BB719" s="26"/>
      <c r="BE719" s="26"/>
      <c r="BH719" s="26"/>
      <c r="BK719" s="26"/>
      <c r="BN719" s="26"/>
      <c r="BQ719" s="26"/>
      <c r="BT719" s="26"/>
    </row>
    <row r="720">
      <c r="I720" s="32"/>
      <c r="J720" s="26"/>
      <c r="K720" s="26"/>
      <c r="N720" s="26"/>
      <c r="O720" s="26"/>
      <c r="R720" s="26"/>
      <c r="S720" s="26"/>
      <c r="V720" s="26"/>
      <c r="W720" s="26"/>
      <c r="Z720" s="26"/>
      <c r="AA720" s="26"/>
      <c r="AD720" s="26"/>
      <c r="AG720" s="26"/>
      <c r="AJ720" s="26"/>
      <c r="AM720" s="26"/>
      <c r="AP720" s="26"/>
      <c r="AS720" s="26"/>
      <c r="AV720" s="26"/>
      <c r="AY720" s="26"/>
      <c r="BB720" s="26"/>
      <c r="BE720" s="26"/>
      <c r="BH720" s="26"/>
      <c r="BK720" s="26"/>
      <c r="BN720" s="26"/>
      <c r="BQ720" s="26"/>
      <c r="BT720" s="26"/>
    </row>
    <row r="721">
      <c r="I721" s="32"/>
      <c r="J721" s="26"/>
      <c r="K721" s="26"/>
      <c r="N721" s="26"/>
      <c r="O721" s="26"/>
      <c r="R721" s="26"/>
      <c r="S721" s="26"/>
      <c r="V721" s="26"/>
      <c r="W721" s="26"/>
      <c r="Z721" s="26"/>
      <c r="AA721" s="26"/>
      <c r="AD721" s="26"/>
      <c r="AG721" s="26"/>
      <c r="AJ721" s="26"/>
      <c r="AM721" s="26"/>
      <c r="AP721" s="26"/>
      <c r="AS721" s="26"/>
      <c r="AV721" s="26"/>
      <c r="AY721" s="26"/>
      <c r="BB721" s="26"/>
      <c r="BE721" s="26"/>
      <c r="BH721" s="26"/>
      <c r="BK721" s="26"/>
      <c r="BN721" s="26"/>
      <c r="BQ721" s="26"/>
      <c r="BT721" s="26"/>
    </row>
    <row r="722">
      <c r="I722" s="32"/>
      <c r="J722" s="26"/>
      <c r="K722" s="26"/>
      <c r="N722" s="26"/>
      <c r="O722" s="26"/>
      <c r="R722" s="26"/>
      <c r="S722" s="26"/>
      <c r="V722" s="26"/>
      <c r="W722" s="26"/>
      <c r="Z722" s="26"/>
      <c r="AA722" s="26"/>
      <c r="AD722" s="26"/>
      <c r="AG722" s="26"/>
      <c r="AJ722" s="26"/>
      <c r="AM722" s="26"/>
      <c r="AP722" s="26"/>
      <c r="AS722" s="26"/>
      <c r="AV722" s="26"/>
      <c r="AY722" s="26"/>
      <c r="BB722" s="26"/>
      <c r="BE722" s="26"/>
      <c r="BH722" s="26"/>
      <c r="BK722" s="26"/>
      <c r="BN722" s="26"/>
      <c r="BQ722" s="26"/>
      <c r="BT722" s="26"/>
    </row>
    <row r="723">
      <c r="I723" s="32"/>
      <c r="J723" s="26"/>
      <c r="K723" s="26"/>
      <c r="N723" s="26"/>
      <c r="O723" s="26"/>
      <c r="R723" s="26"/>
      <c r="S723" s="26"/>
      <c r="V723" s="26"/>
      <c r="W723" s="26"/>
      <c r="Z723" s="26"/>
      <c r="AA723" s="26"/>
      <c r="AD723" s="26"/>
      <c r="AG723" s="26"/>
      <c r="AJ723" s="26"/>
      <c r="AM723" s="26"/>
      <c r="AP723" s="26"/>
      <c r="AS723" s="26"/>
      <c r="AV723" s="26"/>
      <c r="AY723" s="26"/>
      <c r="BB723" s="26"/>
      <c r="BE723" s="26"/>
      <c r="BH723" s="26"/>
      <c r="BK723" s="26"/>
      <c r="BN723" s="26"/>
      <c r="BQ723" s="26"/>
      <c r="BT723" s="26"/>
    </row>
    <row r="724">
      <c r="I724" s="32"/>
      <c r="J724" s="26"/>
      <c r="K724" s="26"/>
      <c r="N724" s="26"/>
      <c r="O724" s="26"/>
      <c r="R724" s="26"/>
      <c r="S724" s="26"/>
      <c r="V724" s="26"/>
      <c r="W724" s="26"/>
      <c r="Z724" s="26"/>
      <c r="AA724" s="26"/>
      <c r="AD724" s="26"/>
      <c r="AG724" s="26"/>
      <c r="AJ724" s="26"/>
      <c r="AM724" s="26"/>
      <c r="AP724" s="26"/>
      <c r="AS724" s="26"/>
      <c r="AV724" s="26"/>
      <c r="AY724" s="26"/>
      <c r="BB724" s="26"/>
      <c r="BE724" s="26"/>
      <c r="BH724" s="26"/>
      <c r="BK724" s="26"/>
      <c r="BN724" s="26"/>
      <c r="BQ724" s="26"/>
      <c r="BT724" s="26"/>
    </row>
    <row r="725">
      <c r="I725" s="32"/>
      <c r="J725" s="26"/>
      <c r="K725" s="26"/>
      <c r="N725" s="26"/>
      <c r="O725" s="26"/>
      <c r="R725" s="26"/>
      <c r="S725" s="26"/>
      <c r="V725" s="26"/>
      <c r="W725" s="26"/>
      <c r="Z725" s="26"/>
      <c r="AA725" s="26"/>
      <c r="AD725" s="26"/>
      <c r="AG725" s="26"/>
      <c r="AJ725" s="26"/>
      <c r="AM725" s="26"/>
      <c r="AP725" s="26"/>
      <c r="AS725" s="26"/>
      <c r="AV725" s="26"/>
      <c r="AY725" s="26"/>
      <c r="BB725" s="26"/>
      <c r="BE725" s="26"/>
      <c r="BH725" s="26"/>
      <c r="BK725" s="26"/>
      <c r="BN725" s="26"/>
      <c r="BQ725" s="26"/>
      <c r="BT725" s="26"/>
    </row>
    <row r="726">
      <c r="I726" s="32"/>
      <c r="J726" s="26"/>
      <c r="K726" s="26"/>
      <c r="N726" s="26"/>
      <c r="O726" s="26"/>
      <c r="R726" s="26"/>
      <c r="S726" s="26"/>
      <c r="V726" s="26"/>
      <c r="W726" s="26"/>
      <c r="Z726" s="26"/>
      <c r="AA726" s="26"/>
      <c r="AD726" s="26"/>
      <c r="AG726" s="26"/>
      <c r="AJ726" s="26"/>
      <c r="AM726" s="26"/>
      <c r="AP726" s="26"/>
      <c r="AS726" s="26"/>
      <c r="AV726" s="26"/>
      <c r="AY726" s="26"/>
      <c r="BB726" s="26"/>
      <c r="BE726" s="26"/>
      <c r="BH726" s="26"/>
      <c r="BK726" s="26"/>
      <c r="BN726" s="26"/>
      <c r="BQ726" s="26"/>
      <c r="BT726" s="26"/>
    </row>
    <row r="727">
      <c r="I727" s="32"/>
      <c r="J727" s="26"/>
      <c r="K727" s="26"/>
      <c r="N727" s="26"/>
      <c r="O727" s="26"/>
      <c r="R727" s="26"/>
      <c r="S727" s="26"/>
      <c r="V727" s="26"/>
      <c r="W727" s="26"/>
      <c r="Z727" s="26"/>
      <c r="AA727" s="26"/>
      <c r="AD727" s="26"/>
      <c r="AG727" s="26"/>
      <c r="AJ727" s="26"/>
      <c r="AM727" s="26"/>
      <c r="AP727" s="26"/>
      <c r="AS727" s="26"/>
      <c r="AV727" s="26"/>
      <c r="AY727" s="26"/>
      <c r="BB727" s="26"/>
      <c r="BE727" s="26"/>
      <c r="BH727" s="26"/>
      <c r="BK727" s="26"/>
      <c r="BN727" s="26"/>
      <c r="BQ727" s="26"/>
      <c r="BT727" s="26"/>
    </row>
    <row r="728">
      <c r="I728" s="32"/>
      <c r="J728" s="26"/>
      <c r="K728" s="26"/>
      <c r="N728" s="26"/>
      <c r="O728" s="26"/>
      <c r="R728" s="26"/>
      <c r="S728" s="26"/>
      <c r="V728" s="26"/>
      <c r="W728" s="26"/>
      <c r="Z728" s="26"/>
      <c r="AA728" s="26"/>
      <c r="AD728" s="26"/>
      <c r="AG728" s="26"/>
      <c r="AJ728" s="26"/>
      <c r="AM728" s="26"/>
      <c r="AP728" s="26"/>
      <c r="AS728" s="26"/>
      <c r="AV728" s="26"/>
      <c r="AY728" s="26"/>
      <c r="BB728" s="26"/>
      <c r="BE728" s="26"/>
      <c r="BH728" s="26"/>
      <c r="BK728" s="26"/>
      <c r="BN728" s="26"/>
      <c r="BQ728" s="26"/>
      <c r="BT728" s="26"/>
    </row>
    <row r="729">
      <c r="I729" s="32"/>
      <c r="J729" s="26"/>
      <c r="K729" s="26"/>
      <c r="N729" s="26"/>
      <c r="O729" s="26"/>
      <c r="R729" s="26"/>
      <c r="S729" s="26"/>
      <c r="V729" s="26"/>
      <c r="W729" s="26"/>
      <c r="Z729" s="26"/>
      <c r="AA729" s="26"/>
      <c r="AD729" s="26"/>
      <c r="AG729" s="26"/>
      <c r="AJ729" s="26"/>
      <c r="AM729" s="26"/>
      <c r="AP729" s="26"/>
      <c r="AS729" s="26"/>
      <c r="AV729" s="26"/>
      <c r="AY729" s="26"/>
      <c r="BB729" s="26"/>
      <c r="BE729" s="26"/>
      <c r="BH729" s="26"/>
      <c r="BK729" s="26"/>
      <c r="BN729" s="26"/>
      <c r="BQ729" s="26"/>
      <c r="BT729" s="26"/>
    </row>
    <row r="730">
      <c r="I730" s="32"/>
      <c r="J730" s="26"/>
      <c r="K730" s="26"/>
      <c r="N730" s="26"/>
      <c r="O730" s="26"/>
      <c r="R730" s="26"/>
      <c r="S730" s="26"/>
      <c r="V730" s="26"/>
      <c r="W730" s="26"/>
      <c r="Z730" s="26"/>
      <c r="AA730" s="26"/>
      <c r="AD730" s="26"/>
      <c r="AG730" s="26"/>
      <c r="AJ730" s="26"/>
      <c r="AM730" s="26"/>
      <c r="AP730" s="26"/>
      <c r="AS730" s="26"/>
      <c r="AV730" s="26"/>
      <c r="AY730" s="26"/>
      <c r="BB730" s="26"/>
      <c r="BE730" s="26"/>
      <c r="BH730" s="26"/>
      <c r="BK730" s="26"/>
      <c r="BN730" s="26"/>
      <c r="BQ730" s="26"/>
      <c r="BT730" s="26"/>
    </row>
    <row r="731">
      <c r="I731" s="32"/>
      <c r="J731" s="26"/>
      <c r="K731" s="26"/>
      <c r="N731" s="26"/>
      <c r="O731" s="26"/>
      <c r="R731" s="26"/>
      <c r="S731" s="26"/>
      <c r="V731" s="26"/>
      <c r="W731" s="26"/>
      <c r="Z731" s="26"/>
      <c r="AA731" s="26"/>
      <c r="AD731" s="26"/>
      <c r="AG731" s="26"/>
      <c r="AJ731" s="26"/>
      <c r="AM731" s="26"/>
      <c r="AP731" s="26"/>
      <c r="AS731" s="26"/>
      <c r="AV731" s="26"/>
      <c r="AY731" s="26"/>
      <c r="BB731" s="26"/>
      <c r="BE731" s="26"/>
      <c r="BH731" s="26"/>
      <c r="BK731" s="26"/>
      <c r="BN731" s="26"/>
      <c r="BQ731" s="26"/>
      <c r="BT731" s="26"/>
    </row>
    <row r="732">
      <c r="I732" s="32"/>
      <c r="J732" s="26"/>
      <c r="K732" s="26"/>
      <c r="N732" s="26"/>
      <c r="O732" s="26"/>
      <c r="R732" s="26"/>
      <c r="S732" s="26"/>
      <c r="V732" s="26"/>
      <c r="W732" s="26"/>
      <c r="Z732" s="26"/>
      <c r="AA732" s="26"/>
      <c r="AD732" s="26"/>
      <c r="AG732" s="26"/>
      <c r="AJ732" s="26"/>
      <c r="AM732" s="26"/>
      <c r="AP732" s="26"/>
      <c r="AS732" s="26"/>
      <c r="AV732" s="26"/>
      <c r="AY732" s="26"/>
      <c r="BB732" s="26"/>
      <c r="BE732" s="26"/>
      <c r="BH732" s="26"/>
      <c r="BK732" s="26"/>
      <c r="BN732" s="26"/>
      <c r="BQ732" s="26"/>
      <c r="BT732" s="26"/>
    </row>
    <row r="733">
      <c r="I733" s="32"/>
      <c r="J733" s="26"/>
      <c r="K733" s="26"/>
      <c r="N733" s="26"/>
      <c r="O733" s="26"/>
      <c r="R733" s="26"/>
      <c r="S733" s="26"/>
      <c r="V733" s="26"/>
      <c r="W733" s="26"/>
      <c r="Z733" s="26"/>
      <c r="AA733" s="26"/>
      <c r="AD733" s="26"/>
      <c r="AG733" s="26"/>
      <c r="AJ733" s="26"/>
      <c r="AM733" s="26"/>
      <c r="AP733" s="26"/>
      <c r="AS733" s="26"/>
      <c r="AV733" s="26"/>
      <c r="AY733" s="26"/>
      <c r="BB733" s="26"/>
      <c r="BE733" s="26"/>
      <c r="BH733" s="26"/>
      <c r="BK733" s="26"/>
      <c r="BN733" s="26"/>
      <c r="BQ733" s="26"/>
      <c r="BT733" s="26"/>
    </row>
    <row r="734">
      <c r="I734" s="32"/>
      <c r="J734" s="26"/>
      <c r="K734" s="26"/>
      <c r="N734" s="26"/>
      <c r="O734" s="26"/>
      <c r="R734" s="26"/>
      <c r="S734" s="26"/>
      <c r="V734" s="26"/>
      <c r="W734" s="26"/>
      <c r="Z734" s="26"/>
      <c r="AA734" s="26"/>
      <c r="AD734" s="26"/>
      <c r="AG734" s="26"/>
      <c r="AJ734" s="26"/>
      <c r="AM734" s="26"/>
      <c r="AP734" s="26"/>
      <c r="AS734" s="26"/>
      <c r="AV734" s="26"/>
      <c r="AY734" s="26"/>
      <c r="BB734" s="26"/>
      <c r="BE734" s="26"/>
      <c r="BH734" s="26"/>
      <c r="BK734" s="26"/>
      <c r="BN734" s="26"/>
      <c r="BQ734" s="26"/>
      <c r="BT734" s="26"/>
    </row>
    <row r="735">
      <c r="I735" s="32"/>
      <c r="J735" s="26"/>
      <c r="K735" s="26"/>
      <c r="N735" s="26"/>
      <c r="O735" s="26"/>
      <c r="R735" s="26"/>
      <c r="S735" s="26"/>
      <c r="V735" s="26"/>
      <c r="W735" s="26"/>
      <c r="Z735" s="26"/>
      <c r="AA735" s="26"/>
      <c r="AD735" s="26"/>
      <c r="AG735" s="26"/>
      <c r="AJ735" s="26"/>
      <c r="AM735" s="26"/>
      <c r="AP735" s="26"/>
      <c r="AS735" s="26"/>
      <c r="AV735" s="26"/>
      <c r="AY735" s="26"/>
      <c r="BB735" s="26"/>
      <c r="BE735" s="26"/>
      <c r="BH735" s="26"/>
      <c r="BK735" s="26"/>
      <c r="BN735" s="26"/>
      <c r="BQ735" s="26"/>
      <c r="BT735" s="26"/>
    </row>
    <row r="736">
      <c r="I736" s="32"/>
      <c r="J736" s="26"/>
      <c r="K736" s="26"/>
      <c r="N736" s="26"/>
      <c r="O736" s="26"/>
      <c r="R736" s="26"/>
      <c r="S736" s="26"/>
      <c r="V736" s="26"/>
      <c r="W736" s="26"/>
      <c r="Z736" s="26"/>
      <c r="AA736" s="26"/>
      <c r="AD736" s="26"/>
      <c r="AG736" s="26"/>
      <c r="AJ736" s="26"/>
      <c r="AM736" s="26"/>
      <c r="AP736" s="26"/>
      <c r="AS736" s="26"/>
      <c r="AV736" s="26"/>
      <c r="AY736" s="26"/>
      <c r="BB736" s="26"/>
      <c r="BE736" s="26"/>
      <c r="BH736" s="26"/>
      <c r="BK736" s="26"/>
      <c r="BN736" s="26"/>
      <c r="BQ736" s="26"/>
      <c r="BT736" s="26"/>
    </row>
    <row r="737">
      <c r="I737" s="32"/>
      <c r="J737" s="26"/>
      <c r="K737" s="26"/>
      <c r="N737" s="26"/>
      <c r="O737" s="26"/>
      <c r="R737" s="26"/>
      <c r="S737" s="26"/>
      <c r="V737" s="26"/>
      <c r="W737" s="26"/>
      <c r="Z737" s="26"/>
      <c r="AA737" s="26"/>
      <c r="AD737" s="26"/>
      <c r="AG737" s="26"/>
      <c r="AJ737" s="26"/>
      <c r="AM737" s="26"/>
      <c r="AP737" s="26"/>
      <c r="AS737" s="26"/>
      <c r="AV737" s="26"/>
      <c r="AY737" s="26"/>
      <c r="BB737" s="26"/>
      <c r="BE737" s="26"/>
      <c r="BH737" s="26"/>
      <c r="BK737" s="26"/>
      <c r="BN737" s="26"/>
      <c r="BQ737" s="26"/>
      <c r="BT737" s="26"/>
    </row>
    <row r="738">
      <c r="I738" s="32"/>
      <c r="J738" s="26"/>
      <c r="K738" s="26"/>
      <c r="N738" s="26"/>
      <c r="O738" s="26"/>
      <c r="R738" s="26"/>
      <c r="S738" s="26"/>
      <c r="V738" s="26"/>
      <c r="W738" s="26"/>
      <c r="Z738" s="26"/>
      <c r="AA738" s="26"/>
      <c r="AD738" s="26"/>
      <c r="AG738" s="26"/>
      <c r="AJ738" s="26"/>
      <c r="AM738" s="26"/>
      <c r="AP738" s="26"/>
      <c r="AS738" s="26"/>
      <c r="AV738" s="26"/>
      <c r="AY738" s="26"/>
      <c r="BB738" s="26"/>
      <c r="BE738" s="26"/>
      <c r="BH738" s="26"/>
      <c r="BK738" s="26"/>
      <c r="BN738" s="26"/>
      <c r="BQ738" s="26"/>
      <c r="BT738" s="26"/>
    </row>
    <row r="739">
      <c r="I739" s="32"/>
      <c r="J739" s="26"/>
      <c r="K739" s="26"/>
      <c r="N739" s="26"/>
      <c r="O739" s="26"/>
      <c r="R739" s="26"/>
      <c r="S739" s="26"/>
      <c r="V739" s="26"/>
      <c r="W739" s="26"/>
      <c r="Z739" s="26"/>
      <c r="AA739" s="26"/>
      <c r="AD739" s="26"/>
      <c r="AG739" s="26"/>
      <c r="AJ739" s="26"/>
      <c r="AM739" s="26"/>
      <c r="AP739" s="26"/>
      <c r="AS739" s="26"/>
      <c r="AV739" s="26"/>
      <c r="AY739" s="26"/>
      <c r="BB739" s="26"/>
      <c r="BE739" s="26"/>
      <c r="BH739" s="26"/>
      <c r="BK739" s="26"/>
      <c r="BN739" s="26"/>
      <c r="BQ739" s="26"/>
      <c r="BT739" s="26"/>
    </row>
    <row r="740">
      <c r="I740" s="32"/>
      <c r="J740" s="26"/>
      <c r="K740" s="26"/>
      <c r="N740" s="26"/>
      <c r="O740" s="26"/>
      <c r="R740" s="26"/>
      <c r="S740" s="26"/>
      <c r="V740" s="26"/>
      <c r="W740" s="26"/>
      <c r="Z740" s="26"/>
      <c r="AA740" s="26"/>
      <c r="AD740" s="26"/>
      <c r="AG740" s="26"/>
      <c r="AJ740" s="26"/>
      <c r="AM740" s="26"/>
      <c r="AP740" s="26"/>
      <c r="AS740" s="26"/>
      <c r="AV740" s="26"/>
      <c r="AY740" s="26"/>
      <c r="BB740" s="26"/>
      <c r="BE740" s="26"/>
      <c r="BH740" s="26"/>
      <c r="BK740" s="26"/>
      <c r="BN740" s="26"/>
      <c r="BQ740" s="26"/>
      <c r="BT740" s="26"/>
    </row>
    <row r="741">
      <c r="I741" s="32"/>
      <c r="J741" s="26"/>
      <c r="K741" s="26"/>
      <c r="N741" s="26"/>
      <c r="O741" s="26"/>
      <c r="R741" s="26"/>
      <c r="S741" s="26"/>
      <c r="V741" s="26"/>
      <c r="W741" s="26"/>
      <c r="Z741" s="26"/>
      <c r="AA741" s="26"/>
      <c r="AD741" s="26"/>
      <c r="AG741" s="26"/>
      <c r="AJ741" s="26"/>
      <c r="AM741" s="26"/>
      <c r="AP741" s="26"/>
      <c r="AS741" s="26"/>
      <c r="AV741" s="26"/>
      <c r="AY741" s="26"/>
      <c r="BB741" s="26"/>
      <c r="BE741" s="26"/>
      <c r="BH741" s="26"/>
      <c r="BK741" s="26"/>
      <c r="BN741" s="26"/>
      <c r="BQ741" s="26"/>
      <c r="BT741" s="26"/>
    </row>
    <row r="742">
      <c r="I742" s="32"/>
      <c r="J742" s="26"/>
      <c r="K742" s="26"/>
      <c r="N742" s="26"/>
      <c r="O742" s="26"/>
      <c r="R742" s="26"/>
      <c r="S742" s="26"/>
      <c r="V742" s="26"/>
      <c r="W742" s="26"/>
      <c r="Z742" s="26"/>
      <c r="AA742" s="26"/>
      <c r="AD742" s="26"/>
      <c r="AG742" s="26"/>
      <c r="AJ742" s="26"/>
      <c r="AM742" s="26"/>
      <c r="AP742" s="26"/>
      <c r="AS742" s="26"/>
      <c r="AV742" s="26"/>
      <c r="AY742" s="26"/>
      <c r="BB742" s="26"/>
      <c r="BE742" s="26"/>
      <c r="BH742" s="26"/>
      <c r="BK742" s="26"/>
      <c r="BN742" s="26"/>
      <c r="BQ742" s="26"/>
      <c r="BT742" s="26"/>
    </row>
    <row r="743">
      <c r="I743" s="32"/>
      <c r="J743" s="26"/>
      <c r="K743" s="26"/>
      <c r="N743" s="26"/>
      <c r="O743" s="26"/>
      <c r="R743" s="26"/>
      <c r="S743" s="26"/>
      <c r="V743" s="26"/>
      <c r="W743" s="26"/>
      <c r="Z743" s="26"/>
      <c r="AA743" s="26"/>
      <c r="AD743" s="26"/>
      <c r="AG743" s="26"/>
      <c r="AJ743" s="26"/>
      <c r="AM743" s="26"/>
      <c r="AP743" s="26"/>
      <c r="AS743" s="26"/>
      <c r="AV743" s="26"/>
      <c r="AY743" s="26"/>
      <c r="BB743" s="26"/>
      <c r="BE743" s="26"/>
      <c r="BH743" s="26"/>
      <c r="BK743" s="26"/>
      <c r="BN743" s="26"/>
      <c r="BQ743" s="26"/>
      <c r="BT743" s="26"/>
    </row>
    <row r="744">
      <c r="I744" s="32"/>
      <c r="J744" s="26"/>
      <c r="K744" s="26"/>
      <c r="N744" s="26"/>
      <c r="O744" s="26"/>
      <c r="R744" s="26"/>
      <c r="S744" s="26"/>
      <c r="V744" s="26"/>
      <c r="W744" s="26"/>
      <c r="Z744" s="26"/>
      <c r="AA744" s="26"/>
      <c r="AD744" s="26"/>
      <c r="AG744" s="26"/>
      <c r="AJ744" s="26"/>
      <c r="AM744" s="26"/>
      <c r="AP744" s="26"/>
      <c r="AS744" s="26"/>
      <c r="AV744" s="26"/>
      <c r="AY744" s="26"/>
      <c r="BB744" s="26"/>
      <c r="BE744" s="26"/>
      <c r="BH744" s="26"/>
      <c r="BK744" s="26"/>
      <c r="BN744" s="26"/>
      <c r="BQ744" s="26"/>
      <c r="BT744" s="26"/>
    </row>
    <row r="745">
      <c r="I745" s="32"/>
      <c r="J745" s="26"/>
      <c r="K745" s="26"/>
      <c r="N745" s="26"/>
      <c r="O745" s="26"/>
      <c r="R745" s="26"/>
      <c r="S745" s="26"/>
      <c r="V745" s="26"/>
      <c r="W745" s="26"/>
      <c r="Z745" s="26"/>
      <c r="AA745" s="26"/>
      <c r="AD745" s="26"/>
      <c r="AG745" s="26"/>
      <c r="AJ745" s="26"/>
      <c r="AM745" s="26"/>
      <c r="AP745" s="26"/>
      <c r="AS745" s="26"/>
      <c r="AV745" s="26"/>
      <c r="AY745" s="26"/>
      <c r="BB745" s="26"/>
      <c r="BE745" s="26"/>
      <c r="BH745" s="26"/>
      <c r="BK745" s="26"/>
      <c r="BN745" s="26"/>
      <c r="BQ745" s="26"/>
      <c r="BT745" s="26"/>
    </row>
    <row r="746">
      <c r="I746" s="32"/>
      <c r="J746" s="26"/>
      <c r="K746" s="26"/>
      <c r="N746" s="26"/>
      <c r="O746" s="26"/>
      <c r="R746" s="26"/>
      <c r="S746" s="26"/>
      <c r="V746" s="26"/>
      <c r="W746" s="26"/>
      <c r="Z746" s="26"/>
      <c r="AA746" s="26"/>
      <c r="AD746" s="26"/>
      <c r="AG746" s="26"/>
      <c r="AJ746" s="26"/>
      <c r="AM746" s="26"/>
      <c r="AP746" s="26"/>
      <c r="AS746" s="26"/>
      <c r="AV746" s="26"/>
      <c r="AY746" s="26"/>
      <c r="BB746" s="26"/>
      <c r="BE746" s="26"/>
      <c r="BH746" s="26"/>
      <c r="BK746" s="26"/>
      <c r="BN746" s="26"/>
      <c r="BQ746" s="26"/>
      <c r="BT746" s="26"/>
    </row>
    <row r="747">
      <c r="I747" s="32"/>
      <c r="J747" s="26"/>
      <c r="K747" s="26"/>
      <c r="N747" s="26"/>
      <c r="O747" s="26"/>
      <c r="R747" s="26"/>
      <c r="S747" s="26"/>
      <c r="V747" s="26"/>
      <c r="W747" s="26"/>
      <c r="Z747" s="26"/>
      <c r="AA747" s="26"/>
      <c r="AD747" s="26"/>
      <c r="AG747" s="26"/>
      <c r="AJ747" s="26"/>
      <c r="AM747" s="26"/>
      <c r="AP747" s="26"/>
      <c r="AS747" s="26"/>
      <c r="AV747" s="26"/>
      <c r="AY747" s="26"/>
      <c r="BB747" s="26"/>
      <c r="BE747" s="26"/>
      <c r="BH747" s="26"/>
      <c r="BK747" s="26"/>
      <c r="BN747" s="26"/>
      <c r="BQ747" s="26"/>
      <c r="BT747" s="26"/>
    </row>
    <row r="748">
      <c r="I748" s="32"/>
      <c r="J748" s="26"/>
      <c r="K748" s="26"/>
      <c r="N748" s="26"/>
      <c r="O748" s="26"/>
      <c r="R748" s="26"/>
      <c r="S748" s="26"/>
      <c r="V748" s="26"/>
      <c r="W748" s="26"/>
      <c r="Z748" s="26"/>
      <c r="AA748" s="26"/>
      <c r="AD748" s="26"/>
      <c r="AG748" s="26"/>
      <c r="AJ748" s="26"/>
      <c r="AM748" s="26"/>
      <c r="AP748" s="26"/>
      <c r="AS748" s="26"/>
      <c r="AV748" s="26"/>
      <c r="AY748" s="26"/>
      <c r="BB748" s="26"/>
      <c r="BE748" s="26"/>
      <c r="BH748" s="26"/>
      <c r="BK748" s="26"/>
      <c r="BN748" s="26"/>
      <c r="BQ748" s="26"/>
      <c r="BT748" s="26"/>
    </row>
    <row r="749">
      <c r="I749" s="32"/>
      <c r="J749" s="26"/>
      <c r="K749" s="26"/>
      <c r="N749" s="26"/>
      <c r="O749" s="26"/>
      <c r="R749" s="26"/>
      <c r="S749" s="26"/>
      <c r="V749" s="26"/>
      <c r="W749" s="26"/>
      <c r="Z749" s="26"/>
      <c r="AA749" s="26"/>
      <c r="AD749" s="26"/>
      <c r="AG749" s="26"/>
      <c r="AJ749" s="26"/>
      <c r="AM749" s="26"/>
      <c r="AP749" s="26"/>
      <c r="AS749" s="26"/>
      <c r="AV749" s="26"/>
      <c r="AY749" s="26"/>
      <c r="BB749" s="26"/>
      <c r="BE749" s="26"/>
      <c r="BH749" s="26"/>
      <c r="BK749" s="26"/>
      <c r="BN749" s="26"/>
      <c r="BQ749" s="26"/>
      <c r="BT749" s="26"/>
    </row>
    <row r="750">
      <c r="I750" s="32"/>
      <c r="J750" s="26"/>
      <c r="K750" s="26"/>
      <c r="N750" s="26"/>
      <c r="O750" s="26"/>
      <c r="R750" s="26"/>
      <c r="S750" s="26"/>
      <c r="V750" s="26"/>
      <c r="W750" s="26"/>
      <c r="Z750" s="26"/>
      <c r="AA750" s="26"/>
      <c r="AD750" s="26"/>
      <c r="AG750" s="26"/>
      <c r="AJ750" s="26"/>
      <c r="AM750" s="26"/>
      <c r="AP750" s="26"/>
      <c r="AS750" s="26"/>
      <c r="AV750" s="26"/>
      <c r="AY750" s="26"/>
      <c r="BB750" s="26"/>
      <c r="BE750" s="26"/>
      <c r="BH750" s="26"/>
      <c r="BK750" s="26"/>
      <c r="BN750" s="26"/>
      <c r="BQ750" s="26"/>
      <c r="BT750" s="26"/>
    </row>
    <row r="751">
      <c r="I751" s="32"/>
      <c r="J751" s="26"/>
      <c r="K751" s="26"/>
      <c r="N751" s="26"/>
      <c r="O751" s="26"/>
      <c r="R751" s="26"/>
      <c r="S751" s="26"/>
      <c r="V751" s="26"/>
      <c r="W751" s="26"/>
      <c r="Z751" s="26"/>
      <c r="AA751" s="26"/>
      <c r="AD751" s="26"/>
      <c r="AG751" s="26"/>
      <c r="AJ751" s="26"/>
      <c r="AM751" s="26"/>
      <c r="AP751" s="26"/>
      <c r="AS751" s="26"/>
      <c r="AV751" s="26"/>
      <c r="AY751" s="26"/>
      <c r="BB751" s="26"/>
      <c r="BE751" s="26"/>
      <c r="BH751" s="26"/>
      <c r="BK751" s="26"/>
      <c r="BN751" s="26"/>
      <c r="BQ751" s="26"/>
      <c r="BT751" s="26"/>
    </row>
    <row r="752">
      <c r="I752" s="32"/>
      <c r="J752" s="26"/>
      <c r="K752" s="26"/>
      <c r="N752" s="26"/>
      <c r="O752" s="26"/>
      <c r="R752" s="26"/>
      <c r="S752" s="26"/>
      <c r="V752" s="26"/>
      <c r="W752" s="26"/>
      <c r="Z752" s="26"/>
      <c r="AA752" s="26"/>
      <c r="AD752" s="26"/>
      <c r="AG752" s="26"/>
      <c r="AJ752" s="26"/>
      <c r="AM752" s="26"/>
      <c r="AP752" s="26"/>
      <c r="AS752" s="26"/>
      <c r="AV752" s="26"/>
      <c r="AY752" s="26"/>
      <c r="BB752" s="26"/>
      <c r="BE752" s="26"/>
      <c r="BH752" s="26"/>
      <c r="BK752" s="26"/>
      <c r="BN752" s="26"/>
      <c r="BQ752" s="26"/>
      <c r="BT752" s="26"/>
    </row>
    <row r="753">
      <c r="I753" s="32"/>
      <c r="J753" s="26"/>
      <c r="K753" s="26"/>
      <c r="N753" s="26"/>
      <c r="O753" s="26"/>
      <c r="R753" s="26"/>
      <c r="S753" s="26"/>
      <c r="V753" s="26"/>
      <c r="W753" s="26"/>
      <c r="Z753" s="26"/>
      <c r="AA753" s="26"/>
      <c r="AD753" s="26"/>
      <c r="AG753" s="26"/>
      <c r="AJ753" s="26"/>
      <c r="AM753" s="26"/>
      <c r="AP753" s="26"/>
      <c r="AS753" s="26"/>
      <c r="AV753" s="26"/>
      <c r="AY753" s="26"/>
      <c r="BB753" s="26"/>
      <c r="BE753" s="26"/>
      <c r="BH753" s="26"/>
      <c r="BK753" s="26"/>
      <c r="BN753" s="26"/>
      <c r="BQ753" s="26"/>
      <c r="BT753" s="26"/>
    </row>
    <row r="754">
      <c r="I754" s="32"/>
      <c r="J754" s="26"/>
      <c r="K754" s="26"/>
      <c r="N754" s="26"/>
      <c r="O754" s="26"/>
      <c r="R754" s="26"/>
      <c r="S754" s="26"/>
      <c r="V754" s="26"/>
      <c r="W754" s="26"/>
      <c r="Z754" s="26"/>
      <c r="AA754" s="26"/>
      <c r="AD754" s="26"/>
      <c r="AG754" s="26"/>
      <c r="AJ754" s="26"/>
      <c r="AM754" s="26"/>
      <c r="AP754" s="26"/>
      <c r="AS754" s="26"/>
      <c r="AV754" s="26"/>
      <c r="AY754" s="26"/>
      <c r="BB754" s="26"/>
      <c r="BE754" s="26"/>
      <c r="BH754" s="26"/>
      <c r="BK754" s="26"/>
      <c r="BN754" s="26"/>
      <c r="BQ754" s="26"/>
      <c r="BT754" s="26"/>
    </row>
    <row r="755">
      <c r="I755" s="32"/>
      <c r="J755" s="26"/>
      <c r="K755" s="26"/>
      <c r="N755" s="26"/>
      <c r="O755" s="26"/>
      <c r="R755" s="26"/>
      <c r="S755" s="26"/>
      <c r="V755" s="26"/>
      <c r="W755" s="26"/>
      <c r="Z755" s="26"/>
      <c r="AA755" s="26"/>
      <c r="AD755" s="26"/>
      <c r="AG755" s="26"/>
      <c r="AJ755" s="26"/>
      <c r="AM755" s="26"/>
      <c r="AP755" s="26"/>
      <c r="AS755" s="26"/>
      <c r="AV755" s="26"/>
      <c r="AY755" s="26"/>
      <c r="BB755" s="26"/>
      <c r="BE755" s="26"/>
      <c r="BH755" s="26"/>
      <c r="BK755" s="26"/>
      <c r="BN755" s="26"/>
      <c r="BQ755" s="26"/>
      <c r="BT755" s="26"/>
    </row>
    <row r="756">
      <c r="I756" s="32"/>
      <c r="J756" s="26"/>
      <c r="K756" s="26"/>
      <c r="N756" s="26"/>
      <c r="O756" s="26"/>
      <c r="R756" s="26"/>
      <c r="S756" s="26"/>
      <c r="V756" s="26"/>
      <c r="W756" s="26"/>
      <c r="Z756" s="26"/>
      <c r="AA756" s="26"/>
      <c r="AD756" s="26"/>
      <c r="AG756" s="26"/>
      <c r="AJ756" s="26"/>
      <c r="AM756" s="26"/>
      <c r="AP756" s="26"/>
      <c r="AS756" s="26"/>
      <c r="AV756" s="26"/>
      <c r="AY756" s="26"/>
      <c r="BB756" s="26"/>
      <c r="BE756" s="26"/>
      <c r="BH756" s="26"/>
      <c r="BK756" s="26"/>
      <c r="BN756" s="26"/>
      <c r="BQ756" s="26"/>
      <c r="BT756" s="26"/>
    </row>
    <row r="757">
      <c r="I757" s="32"/>
      <c r="J757" s="26"/>
      <c r="K757" s="26"/>
      <c r="N757" s="26"/>
      <c r="O757" s="26"/>
      <c r="R757" s="26"/>
      <c r="S757" s="26"/>
      <c r="V757" s="26"/>
      <c r="W757" s="26"/>
      <c r="Z757" s="26"/>
      <c r="AA757" s="26"/>
      <c r="AD757" s="26"/>
      <c r="AG757" s="26"/>
      <c r="AJ757" s="26"/>
      <c r="AM757" s="26"/>
      <c r="AP757" s="26"/>
      <c r="AS757" s="26"/>
      <c r="AV757" s="26"/>
      <c r="AY757" s="26"/>
      <c r="BB757" s="26"/>
      <c r="BE757" s="26"/>
      <c r="BH757" s="26"/>
      <c r="BK757" s="26"/>
      <c r="BN757" s="26"/>
      <c r="BQ757" s="26"/>
      <c r="BT757" s="26"/>
    </row>
    <row r="758">
      <c r="I758" s="32"/>
      <c r="J758" s="26"/>
      <c r="K758" s="26"/>
      <c r="N758" s="26"/>
      <c r="O758" s="26"/>
      <c r="R758" s="26"/>
      <c r="S758" s="26"/>
      <c r="V758" s="26"/>
      <c r="W758" s="26"/>
      <c r="Z758" s="26"/>
      <c r="AA758" s="26"/>
      <c r="AD758" s="26"/>
      <c r="AG758" s="26"/>
      <c r="AJ758" s="26"/>
      <c r="AM758" s="26"/>
      <c r="AP758" s="26"/>
      <c r="AS758" s="26"/>
      <c r="AV758" s="26"/>
      <c r="AY758" s="26"/>
      <c r="BB758" s="26"/>
      <c r="BE758" s="26"/>
      <c r="BH758" s="26"/>
      <c r="BK758" s="26"/>
      <c r="BN758" s="26"/>
      <c r="BQ758" s="26"/>
      <c r="BT758" s="26"/>
    </row>
    <row r="759">
      <c r="I759" s="32"/>
      <c r="J759" s="26"/>
      <c r="K759" s="26"/>
      <c r="N759" s="26"/>
      <c r="O759" s="26"/>
      <c r="R759" s="26"/>
      <c r="S759" s="26"/>
      <c r="V759" s="26"/>
      <c r="W759" s="26"/>
      <c r="Z759" s="26"/>
      <c r="AA759" s="26"/>
      <c r="AD759" s="26"/>
      <c r="AG759" s="26"/>
      <c r="AJ759" s="26"/>
      <c r="AM759" s="26"/>
      <c r="AP759" s="26"/>
      <c r="AS759" s="26"/>
      <c r="AV759" s="26"/>
      <c r="AY759" s="26"/>
      <c r="BB759" s="26"/>
      <c r="BE759" s="26"/>
      <c r="BH759" s="26"/>
      <c r="BK759" s="26"/>
      <c r="BN759" s="26"/>
      <c r="BQ759" s="26"/>
      <c r="BT759" s="26"/>
    </row>
    <row r="760">
      <c r="I760" s="32"/>
      <c r="J760" s="26"/>
      <c r="K760" s="26"/>
      <c r="N760" s="26"/>
      <c r="O760" s="26"/>
      <c r="R760" s="26"/>
      <c r="S760" s="26"/>
      <c r="V760" s="26"/>
      <c r="W760" s="26"/>
      <c r="Z760" s="26"/>
      <c r="AA760" s="26"/>
      <c r="AD760" s="26"/>
      <c r="AG760" s="26"/>
      <c r="AJ760" s="26"/>
      <c r="AM760" s="26"/>
      <c r="AP760" s="26"/>
      <c r="AS760" s="26"/>
      <c r="AV760" s="26"/>
      <c r="AY760" s="26"/>
      <c r="BB760" s="26"/>
      <c r="BE760" s="26"/>
      <c r="BH760" s="26"/>
      <c r="BK760" s="26"/>
      <c r="BN760" s="26"/>
      <c r="BQ760" s="26"/>
      <c r="BT760" s="26"/>
    </row>
    <row r="761">
      <c r="I761" s="32"/>
      <c r="J761" s="26"/>
      <c r="K761" s="26"/>
      <c r="N761" s="26"/>
      <c r="O761" s="26"/>
      <c r="R761" s="26"/>
      <c r="S761" s="26"/>
      <c r="V761" s="26"/>
      <c r="W761" s="26"/>
      <c r="Z761" s="26"/>
      <c r="AA761" s="26"/>
      <c r="AD761" s="26"/>
      <c r="AG761" s="26"/>
      <c r="AJ761" s="26"/>
      <c r="AM761" s="26"/>
      <c r="AP761" s="26"/>
      <c r="AS761" s="26"/>
      <c r="AV761" s="26"/>
      <c r="AY761" s="26"/>
      <c r="BB761" s="26"/>
      <c r="BE761" s="26"/>
      <c r="BH761" s="26"/>
      <c r="BK761" s="26"/>
      <c r="BN761" s="26"/>
      <c r="BQ761" s="26"/>
      <c r="BT761" s="26"/>
    </row>
    <row r="762">
      <c r="I762" s="32"/>
      <c r="J762" s="26"/>
      <c r="K762" s="26"/>
      <c r="N762" s="26"/>
      <c r="O762" s="26"/>
      <c r="R762" s="26"/>
      <c r="S762" s="26"/>
      <c r="V762" s="26"/>
      <c r="W762" s="26"/>
      <c r="Z762" s="26"/>
      <c r="AA762" s="26"/>
      <c r="AD762" s="26"/>
      <c r="AG762" s="26"/>
      <c r="AJ762" s="26"/>
      <c r="AM762" s="26"/>
      <c r="AP762" s="26"/>
      <c r="AS762" s="26"/>
      <c r="AV762" s="26"/>
      <c r="AY762" s="26"/>
      <c r="BB762" s="26"/>
      <c r="BE762" s="26"/>
      <c r="BH762" s="26"/>
      <c r="BK762" s="26"/>
      <c r="BN762" s="26"/>
      <c r="BQ762" s="26"/>
      <c r="BT762" s="26"/>
    </row>
    <row r="763">
      <c r="I763" s="32"/>
      <c r="J763" s="26"/>
      <c r="K763" s="26"/>
      <c r="N763" s="26"/>
      <c r="O763" s="26"/>
      <c r="R763" s="26"/>
      <c r="S763" s="26"/>
      <c r="V763" s="26"/>
      <c r="W763" s="26"/>
      <c r="Z763" s="26"/>
      <c r="AA763" s="26"/>
      <c r="AD763" s="26"/>
      <c r="AG763" s="26"/>
      <c r="AJ763" s="26"/>
      <c r="AM763" s="26"/>
      <c r="AP763" s="26"/>
      <c r="AS763" s="26"/>
      <c r="AV763" s="26"/>
      <c r="AY763" s="26"/>
      <c r="BB763" s="26"/>
      <c r="BE763" s="26"/>
      <c r="BH763" s="26"/>
      <c r="BK763" s="26"/>
      <c r="BN763" s="26"/>
      <c r="BQ763" s="26"/>
      <c r="BT763" s="26"/>
    </row>
    <row r="764">
      <c r="I764" s="32"/>
      <c r="J764" s="26"/>
      <c r="K764" s="26"/>
      <c r="N764" s="26"/>
      <c r="O764" s="26"/>
      <c r="R764" s="26"/>
      <c r="S764" s="26"/>
      <c r="V764" s="26"/>
      <c r="W764" s="26"/>
      <c r="Z764" s="26"/>
      <c r="AA764" s="26"/>
      <c r="AD764" s="26"/>
      <c r="AG764" s="26"/>
      <c r="AJ764" s="26"/>
      <c r="AM764" s="26"/>
      <c r="AP764" s="26"/>
      <c r="AS764" s="26"/>
      <c r="AV764" s="26"/>
      <c r="AY764" s="26"/>
      <c r="BB764" s="26"/>
      <c r="BE764" s="26"/>
      <c r="BH764" s="26"/>
      <c r="BK764" s="26"/>
      <c r="BN764" s="26"/>
      <c r="BQ764" s="26"/>
      <c r="BT764" s="26"/>
    </row>
    <row r="765">
      <c r="I765" s="32"/>
      <c r="J765" s="26"/>
      <c r="K765" s="26"/>
      <c r="N765" s="26"/>
      <c r="O765" s="26"/>
      <c r="R765" s="26"/>
      <c r="S765" s="26"/>
      <c r="V765" s="26"/>
      <c r="W765" s="26"/>
      <c r="Z765" s="26"/>
      <c r="AA765" s="26"/>
      <c r="AD765" s="26"/>
      <c r="AG765" s="26"/>
      <c r="AJ765" s="26"/>
      <c r="AM765" s="26"/>
      <c r="AP765" s="26"/>
      <c r="AS765" s="26"/>
      <c r="AV765" s="26"/>
      <c r="AY765" s="26"/>
      <c r="BB765" s="26"/>
      <c r="BE765" s="26"/>
      <c r="BH765" s="26"/>
      <c r="BK765" s="26"/>
      <c r="BN765" s="26"/>
      <c r="BQ765" s="26"/>
      <c r="BT765" s="26"/>
    </row>
    <row r="766">
      <c r="I766" s="32"/>
      <c r="J766" s="26"/>
      <c r="K766" s="26"/>
      <c r="N766" s="26"/>
      <c r="O766" s="26"/>
      <c r="R766" s="26"/>
      <c r="S766" s="26"/>
      <c r="V766" s="26"/>
      <c r="W766" s="26"/>
      <c r="Z766" s="26"/>
      <c r="AA766" s="26"/>
      <c r="AD766" s="26"/>
      <c r="AG766" s="26"/>
      <c r="AJ766" s="26"/>
      <c r="AM766" s="26"/>
      <c r="AP766" s="26"/>
      <c r="AS766" s="26"/>
      <c r="AV766" s="26"/>
      <c r="AY766" s="26"/>
      <c r="BB766" s="26"/>
      <c r="BE766" s="26"/>
      <c r="BH766" s="26"/>
      <c r="BK766" s="26"/>
      <c r="BN766" s="26"/>
      <c r="BQ766" s="26"/>
      <c r="BT766" s="26"/>
    </row>
    <row r="767">
      <c r="I767" s="32"/>
      <c r="J767" s="26"/>
      <c r="K767" s="26"/>
      <c r="N767" s="26"/>
      <c r="O767" s="26"/>
      <c r="R767" s="26"/>
      <c r="S767" s="26"/>
      <c r="V767" s="26"/>
      <c r="W767" s="26"/>
      <c r="Z767" s="26"/>
      <c r="AA767" s="26"/>
      <c r="AD767" s="26"/>
      <c r="AG767" s="26"/>
      <c r="AJ767" s="26"/>
      <c r="AM767" s="26"/>
      <c r="AP767" s="26"/>
      <c r="AS767" s="26"/>
      <c r="AV767" s="26"/>
      <c r="AY767" s="26"/>
      <c r="BB767" s="26"/>
      <c r="BE767" s="26"/>
      <c r="BH767" s="26"/>
      <c r="BK767" s="26"/>
      <c r="BN767" s="26"/>
      <c r="BQ767" s="26"/>
      <c r="BT767" s="26"/>
    </row>
    <row r="768">
      <c r="I768" s="32"/>
      <c r="J768" s="26"/>
      <c r="K768" s="26"/>
      <c r="N768" s="26"/>
      <c r="O768" s="26"/>
      <c r="R768" s="26"/>
      <c r="S768" s="26"/>
      <c r="V768" s="26"/>
      <c r="W768" s="26"/>
      <c r="Z768" s="26"/>
      <c r="AA768" s="26"/>
      <c r="AD768" s="26"/>
      <c r="AG768" s="26"/>
      <c r="AJ768" s="26"/>
      <c r="AM768" s="26"/>
      <c r="AP768" s="26"/>
      <c r="AS768" s="26"/>
      <c r="AV768" s="26"/>
      <c r="AY768" s="26"/>
      <c r="BB768" s="26"/>
      <c r="BE768" s="26"/>
      <c r="BH768" s="26"/>
      <c r="BK768" s="26"/>
      <c r="BN768" s="26"/>
      <c r="BQ768" s="26"/>
      <c r="BT768" s="26"/>
    </row>
    <row r="769">
      <c r="I769" s="32"/>
      <c r="J769" s="26"/>
      <c r="K769" s="26"/>
      <c r="N769" s="26"/>
      <c r="O769" s="26"/>
      <c r="R769" s="26"/>
      <c r="S769" s="26"/>
      <c r="V769" s="26"/>
      <c r="W769" s="26"/>
      <c r="Z769" s="26"/>
      <c r="AA769" s="26"/>
      <c r="AD769" s="26"/>
      <c r="AG769" s="26"/>
      <c r="AJ769" s="26"/>
      <c r="AM769" s="26"/>
      <c r="AP769" s="26"/>
      <c r="AS769" s="26"/>
      <c r="AV769" s="26"/>
      <c r="AY769" s="26"/>
      <c r="BB769" s="26"/>
      <c r="BE769" s="26"/>
      <c r="BH769" s="26"/>
      <c r="BK769" s="26"/>
      <c r="BN769" s="26"/>
      <c r="BQ769" s="26"/>
      <c r="BT769" s="26"/>
    </row>
    <row r="770">
      <c r="I770" s="32"/>
      <c r="J770" s="26"/>
      <c r="K770" s="26"/>
      <c r="N770" s="26"/>
      <c r="O770" s="26"/>
      <c r="R770" s="26"/>
      <c r="S770" s="26"/>
      <c r="V770" s="26"/>
      <c r="W770" s="26"/>
      <c r="Z770" s="26"/>
      <c r="AA770" s="26"/>
      <c r="AD770" s="26"/>
      <c r="AG770" s="26"/>
      <c r="AJ770" s="26"/>
      <c r="AM770" s="26"/>
      <c r="AP770" s="26"/>
      <c r="AS770" s="26"/>
      <c r="AV770" s="26"/>
      <c r="AY770" s="26"/>
      <c r="BB770" s="26"/>
      <c r="BE770" s="26"/>
      <c r="BH770" s="26"/>
      <c r="BK770" s="26"/>
      <c r="BN770" s="26"/>
      <c r="BQ770" s="26"/>
      <c r="BT770" s="26"/>
    </row>
    <row r="771">
      <c r="I771" s="32"/>
      <c r="J771" s="26"/>
      <c r="K771" s="26"/>
      <c r="N771" s="26"/>
      <c r="O771" s="26"/>
      <c r="R771" s="26"/>
      <c r="S771" s="26"/>
      <c r="V771" s="26"/>
      <c r="W771" s="26"/>
      <c r="Z771" s="26"/>
      <c r="AA771" s="26"/>
      <c r="AD771" s="26"/>
      <c r="AG771" s="26"/>
      <c r="AJ771" s="26"/>
      <c r="AM771" s="26"/>
      <c r="AP771" s="26"/>
      <c r="AS771" s="26"/>
      <c r="AV771" s="26"/>
      <c r="AY771" s="26"/>
      <c r="BB771" s="26"/>
      <c r="BE771" s="26"/>
      <c r="BH771" s="26"/>
      <c r="BK771" s="26"/>
      <c r="BN771" s="26"/>
      <c r="BQ771" s="26"/>
      <c r="BT771" s="26"/>
    </row>
    <row r="772">
      <c r="I772" s="32"/>
      <c r="J772" s="26"/>
      <c r="K772" s="26"/>
      <c r="N772" s="26"/>
      <c r="O772" s="26"/>
      <c r="R772" s="26"/>
      <c r="S772" s="26"/>
      <c r="V772" s="26"/>
      <c r="W772" s="26"/>
      <c r="Z772" s="26"/>
      <c r="AA772" s="26"/>
      <c r="AD772" s="26"/>
      <c r="AG772" s="26"/>
      <c r="AJ772" s="26"/>
      <c r="AM772" s="26"/>
      <c r="AP772" s="26"/>
      <c r="AS772" s="26"/>
      <c r="AV772" s="26"/>
      <c r="AY772" s="26"/>
      <c r="BB772" s="26"/>
      <c r="BE772" s="26"/>
      <c r="BH772" s="26"/>
      <c r="BK772" s="26"/>
      <c r="BN772" s="26"/>
      <c r="BQ772" s="26"/>
      <c r="BT772" s="26"/>
    </row>
    <row r="773">
      <c r="I773" s="32"/>
      <c r="J773" s="26"/>
      <c r="K773" s="26"/>
      <c r="N773" s="26"/>
      <c r="O773" s="26"/>
      <c r="R773" s="26"/>
      <c r="S773" s="26"/>
      <c r="V773" s="26"/>
      <c r="W773" s="26"/>
      <c r="Z773" s="26"/>
      <c r="AA773" s="26"/>
      <c r="AD773" s="26"/>
      <c r="AG773" s="26"/>
      <c r="AJ773" s="26"/>
      <c r="AM773" s="26"/>
      <c r="AP773" s="26"/>
      <c r="AS773" s="26"/>
      <c r="AV773" s="26"/>
      <c r="AY773" s="26"/>
      <c r="BB773" s="26"/>
      <c r="BE773" s="26"/>
      <c r="BH773" s="26"/>
      <c r="BK773" s="26"/>
      <c r="BN773" s="26"/>
      <c r="BQ773" s="26"/>
      <c r="BT773" s="26"/>
    </row>
    <row r="774">
      <c r="I774" s="32"/>
      <c r="J774" s="26"/>
      <c r="K774" s="26"/>
      <c r="N774" s="26"/>
      <c r="O774" s="26"/>
      <c r="R774" s="26"/>
      <c r="S774" s="26"/>
      <c r="V774" s="26"/>
      <c r="W774" s="26"/>
      <c r="Z774" s="26"/>
      <c r="AA774" s="26"/>
      <c r="AD774" s="26"/>
      <c r="AG774" s="26"/>
      <c r="AJ774" s="26"/>
      <c r="AM774" s="26"/>
      <c r="AP774" s="26"/>
      <c r="AS774" s="26"/>
      <c r="AV774" s="26"/>
      <c r="AY774" s="26"/>
      <c r="BB774" s="26"/>
      <c r="BE774" s="26"/>
      <c r="BH774" s="26"/>
      <c r="BK774" s="26"/>
      <c r="BN774" s="26"/>
      <c r="BQ774" s="26"/>
      <c r="BT774" s="26"/>
    </row>
    <row r="775">
      <c r="I775" s="32"/>
      <c r="J775" s="26"/>
      <c r="K775" s="26"/>
      <c r="N775" s="26"/>
      <c r="O775" s="26"/>
      <c r="R775" s="26"/>
      <c r="S775" s="26"/>
      <c r="V775" s="26"/>
      <c r="W775" s="26"/>
      <c r="Z775" s="26"/>
      <c r="AA775" s="26"/>
      <c r="AD775" s="26"/>
      <c r="AG775" s="26"/>
      <c r="AJ775" s="26"/>
      <c r="AM775" s="26"/>
      <c r="AP775" s="26"/>
      <c r="AS775" s="26"/>
      <c r="AV775" s="26"/>
      <c r="AY775" s="26"/>
      <c r="BB775" s="26"/>
      <c r="BE775" s="26"/>
      <c r="BH775" s="26"/>
      <c r="BK775" s="26"/>
      <c r="BN775" s="26"/>
      <c r="BQ775" s="26"/>
      <c r="BT775" s="26"/>
    </row>
    <row r="776">
      <c r="I776" s="32"/>
      <c r="J776" s="26"/>
      <c r="K776" s="26"/>
      <c r="N776" s="26"/>
      <c r="O776" s="26"/>
      <c r="R776" s="26"/>
      <c r="S776" s="26"/>
      <c r="V776" s="26"/>
      <c r="W776" s="26"/>
      <c r="Z776" s="26"/>
      <c r="AA776" s="26"/>
      <c r="AD776" s="26"/>
      <c r="AG776" s="26"/>
      <c r="AJ776" s="26"/>
      <c r="AM776" s="26"/>
      <c r="AP776" s="26"/>
      <c r="AS776" s="26"/>
      <c r="AV776" s="26"/>
      <c r="AY776" s="26"/>
      <c r="BB776" s="26"/>
      <c r="BE776" s="26"/>
      <c r="BH776" s="26"/>
      <c r="BK776" s="26"/>
      <c r="BN776" s="26"/>
      <c r="BQ776" s="26"/>
      <c r="BT776" s="26"/>
    </row>
    <row r="777">
      <c r="I777" s="32"/>
      <c r="J777" s="26"/>
      <c r="K777" s="26"/>
      <c r="N777" s="26"/>
      <c r="O777" s="26"/>
      <c r="R777" s="26"/>
      <c r="S777" s="26"/>
      <c r="V777" s="26"/>
      <c r="W777" s="26"/>
      <c r="Z777" s="26"/>
      <c r="AA777" s="26"/>
      <c r="AD777" s="26"/>
      <c r="AG777" s="26"/>
      <c r="AJ777" s="26"/>
      <c r="AM777" s="26"/>
      <c r="AP777" s="26"/>
      <c r="AS777" s="26"/>
      <c r="AV777" s="26"/>
      <c r="AY777" s="26"/>
      <c r="BB777" s="26"/>
      <c r="BE777" s="26"/>
      <c r="BH777" s="26"/>
      <c r="BK777" s="26"/>
      <c r="BN777" s="26"/>
      <c r="BQ777" s="26"/>
      <c r="BT777" s="26"/>
    </row>
    <row r="778">
      <c r="I778" s="32"/>
      <c r="J778" s="26"/>
      <c r="K778" s="26"/>
      <c r="N778" s="26"/>
      <c r="O778" s="26"/>
      <c r="R778" s="26"/>
      <c r="S778" s="26"/>
      <c r="V778" s="26"/>
      <c r="W778" s="26"/>
      <c r="Z778" s="26"/>
      <c r="AA778" s="26"/>
      <c r="AD778" s="26"/>
      <c r="AG778" s="26"/>
      <c r="AJ778" s="26"/>
      <c r="AM778" s="26"/>
      <c r="AP778" s="26"/>
      <c r="AS778" s="26"/>
      <c r="AV778" s="26"/>
      <c r="AY778" s="26"/>
      <c r="BB778" s="26"/>
      <c r="BE778" s="26"/>
      <c r="BH778" s="26"/>
      <c r="BK778" s="26"/>
      <c r="BN778" s="26"/>
      <c r="BQ778" s="26"/>
      <c r="BT778" s="26"/>
    </row>
    <row r="779">
      <c r="I779" s="32"/>
      <c r="J779" s="26"/>
      <c r="K779" s="26"/>
      <c r="N779" s="26"/>
      <c r="O779" s="26"/>
      <c r="R779" s="26"/>
      <c r="S779" s="26"/>
      <c r="V779" s="26"/>
      <c r="W779" s="26"/>
      <c r="Z779" s="26"/>
      <c r="AA779" s="26"/>
      <c r="AD779" s="26"/>
      <c r="AG779" s="26"/>
      <c r="AJ779" s="26"/>
      <c r="AM779" s="26"/>
      <c r="AP779" s="26"/>
      <c r="AS779" s="26"/>
      <c r="AV779" s="26"/>
      <c r="AY779" s="26"/>
      <c r="BB779" s="26"/>
      <c r="BE779" s="26"/>
      <c r="BH779" s="26"/>
      <c r="BK779" s="26"/>
      <c r="BN779" s="26"/>
      <c r="BQ779" s="26"/>
      <c r="BT779" s="26"/>
    </row>
    <row r="780">
      <c r="I780" s="32"/>
      <c r="J780" s="26"/>
      <c r="K780" s="26"/>
      <c r="N780" s="26"/>
      <c r="O780" s="26"/>
      <c r="R780" s="26"/>
      <c r="S780" s="26"/>
      <c r="V780" s="26"/>
      <c r="W780" s="26"/>
      <c r="Z780" s="26"/>
      <c r="AA780" s="26"/>
      <c r="AD780" s="26"/>
      <c r="AG780" s="26"/>
      <c r="AJ780" s="26"/>
      <c r="AM780" s="26"/>
      <c r="AP780" s="26"/>
      <c r="AS780" s="26"/>
      <c r="AV780" s="26"/>
      <c r="AY780" s="26"/>
      <c r="BB780" s="26"/>
      <c r="BE780" s="26"/>
      <c r="BH780" s="26"/>
      <c r="BK780" s="26"/>
      <c r="BN780" s="26"/>
      <c r="BQ780" s="26"/>
      <c r="BT780" s="26"/>
    </row>
    <row r="781">
      <c r="I781" s="32"/>
      <c r="J781" s="26"/>
      <c r="K781" s="26"/>
      <c r="N781" s="26"/>
      <c r="O781" s="26"/>
      <c r="R781" s="26"/>
      <c r="S781" s="26"/>
      <c r="V781" s="26"/>
      <c r="W781" s="26"/>
      <c r="Z781" s="26"/>
      <c r="AA781" s="26"/>
      <c r="AD781" s="26"/>
      <c r="AG781" s="26"/>
      <c r="AJ781" s="26"/>
      <c r="AM781" s="26"/>
      <c r="AP781" s="26"/>
      <c r="AS781" s="26"/>
      <c r="AV781" s="26"/>
      <c r="AY781" s="26"/>
      <c r="BB781" s="26"/>
      <c r="BE781" s="26"/>
      <c r="BH781" s="26"/>
      <c r="BK781" s="26"/>
      <c r="BN781" s="26"/>
      <c r="BQ781" s="26"/>
      <c r="BT781" s="26"/>
    </row>
    <row r="782">
      <c r="I782" s="32"/>
      <c r="J782" s="26"/>
      <c r="K782" s="26"/>
      <c r="N782" s="26"/>
      <c r="O782" s="26"/>
      <c r="R782" s="26"/>
      <c r="S782" s="26"/>
      <c r="V782" s="26"/>
      <c r="W782" s="26"/>
      <c r="Z782" s="26"/>
      <c r="AA782" s="26"/>
      <c r="AD782" s="26"/>
      <c r="AG782" s="26"/>
      <c r="AJ782" s="26"/>
      <c r="AM782" s="26"/>
      <c r="AP782" s="26"/>
      <c r="AS782" s="26"/>
      <c r="AV782" s="26"/>
      <c r="AY782" s="26"/>
      <c r="BB782" s="26"/>
      <c r="BE782" s="26"/>
      <c r="BH782" s="26"/>
      <c r="BK782" s="26"/>
      <c r="BN782" s="26"/>
      <c r="BQ782" s="26"/>
      <c r="BT782" s="26"/>
    </row>
    <row r="783">
      <c r="I783" s="32"/>
      <c r="J783" s="26"/>
      <c r="K783" s="26"/>
      <c r="N783" s="26"/>
      <c r="O783" s="26"/>
      <c r="R783" s="26"/>
      <c r="S783" s="26"/>
      <c r="V783" s="26"/>
      <c r="W783" s="26"/>
      <c r="Z783" s="26"/>
      <c r="AA783" s="26"/>
      <c r="AD783" s="26"/>
      <c r="AG783" s="26"/>
      <c r="AJ783" s="26"/>
      <c r="AM783" s="26"/>
      <c r="AP783" s="26"/>
      <c r="AS783" s="26"/>
      <c r="AV783" s="26"/>
      <c r="AY783" s="26"/>
      <c r="BB783" s="26"/>
      <c r="BE783" s="26"/>
      <c r="BH783" s="26"/>
      <c r="BK783" s="26"/>
      <c r="BN783" s="26"/>
      <c r="BQ783" s="26"/>
      <c r="BT783" s="26"/>
    </row>
    <row r="784">
      <c r="I784" s="32"/>
      <c r="J784" s="26"/>
      <c r="K784" s="26"/>
      <c r="N784" s="26"/>
      <c r="O784" s="26"/>
      <c r="R784" s="26"/>
      <c r="S784" s="26"/>
      <c r="V784" s="26"/>
      <c r="W784" s="26"/>
      <c r="Z784" s="26"/>
      <c r="AA784" s="26"/>
      <c r="AD784" s="26"/>
      <c r="AG784" s="26"/>
      <c r="AJ784" s="26"/>
      <c r="AM784" s="26"/>
      <c r="AP784" s="26"/>
      <c r="AS784" s="26"/>
      <c r="AV784" s="26"/>
      <c r="AY784" s="26"/>
      <c r="BB784" s="26"/>
      <c r="BE784" s="26"/>
      <c r="BH784" s="26"/>
      <c r="BK784" s="26"/>
      <c r="BN784" s="26"/>
      <c r="BQ784" s="26"/>
      <c r="BT784" s="26"/>
    </row>
    <row r="785">
      <c r="I785" s="32"/>
      <c r="J785" s="26"/>
      <c r="K785" s="26"/>
      <c r="N785" s="26"/>
      <c r="O785" s="26"/>
      <c r="R785" s="26"/>
      <c r="S785" s="26"/>
      <c r="V785" s="26"/>
      <c r="W785" s="26"/>
      <c r="Z785" s="26"/>
      <c r="AA785" s="26"/>
      <c r="AD785" s="26"/>
      <c r="AG785" s="26"/>
      <c r="AJ785" s="26"/>
      <c r="AM785" s="26"/>
      <c r="AP785" s="26"/>
      <c r="AS785" s="26"/>
      <c r="AV785" s="26"/>
      <c r="AY785" s="26"/>
      <c r="BB785" s="26"/>
      <c r="BE785" s="26"/>
      <c r="BH785" s="26"/>
      <c r="BK785" s="26"/>
      <c r="BN785" s="26"/>
      <c r="BQ785" s="26"/>
      <c r="BT785" s="26"/>
    </row>
    <row r="786">
      <c r="I786" s="32"/>
      <c r="J786" s="26"/>
      <c r="K786" s="26"/>
      <c r="N786" s="26"/>
      <c r="O786" s="26"/>
      <c r="R786" s="26"/>
      <c r="S786" s="26"/>
      <c r="V786" s="26"/>
      <c r="W786" s="26"/>
      <c r="Z786" s="26"/>
      <c r="AA786" s="26"/>
      <c r="AD786" s="26"/>
      <c r="AG786" s="26"/>
      <c r="AJ786" s="26"/>
      <c r="AM786" s="26"/>
      <c r="AP786" s="26"/>
      <c r="AS786" s="26"/>
      <c r="AV786" s="26"/>
      <c r="AY786" s="26"/>
      <c r="BB786" s="26"/>
      <c r="BE786" s="26"/>
      <c r="BH786" s="26"/>
      <c r="BK786" s="26"/>
      <c r="BN786" s="26"/>
      <c r="BQ786" s="26"/>
      <c r="BT786" s="26"/>
    </row>
    <row r="787">
      <c r="I787" s="32"/>
      <c r="J787" s="26"/>
      <c r="K787" s="26"/>
      <c r="N787" s="26"/>
      <c r="O787" s="26"/>
      <c r="R787" s="26"/>
      <c r="S787" s="26"/>
      <c r="V787" s="26"/>
      <c r="W787" s="26"/>
      <c r="Z787" s="26"/>
      <c r="AA787" s="26"/>
      <c r="AD787" s="26"/>
      <c r="AG787" s="26"/>
      <c r="AJ787" s="26"/>
      <c r="AM787" s="26"/>
      <c r="AP787" s="26"/>
      <c r="AS787" s="26"/>
      <c r="AV787" s="26"/>
      <c r="AY787" s="26"/>
      <c r="BB787" s="26"/>
      <c r="BE787" s="26"/>
      <c r="BH787" s="26"/>
      <c r="BK787" s="26"/>
      <c r="BN787" s="26"/>
      <c r="BQ787" s="26"/>
      <c r="BT787" s="26"/>
    </row>
    <row r="788">
      <c r="I788" s="32"/>
      <c r="J788" s="26"/>
      <c r="K788" s="26"/>
      <c r="N788" s="26"/>
      <c r="O788" s="26"/>
      <c r="R788" s="26"/>
      <c r="S788" s="26"/>
      <c r="V788" s="26"/>
      <c r="W788" s="26"/>
      <c r="Z788" s="26"/>
      <c r="AA788" s="26"/>
      <c r="AD788" s="26"/>
      <c r="AG788" s="26"/>
      <c r="AJ788" s="26"/>
      <c r="AM788" s="26"/>
      <c r="AP788" s="26"/>
      <c r="AS788" s="26"/>
      <c r="AV788" s="26"/>
      <c r="AY788" s="26"/>
      <c r="BB788" s="26"/>
      <c r="BE788" s="26"/>
      <c r="BH788" s="26"/>
      <c r="BK788" s="26"/>
      <c r="BN788" s="26"/>
      <c r="BQ788" s="26"/>
      <c r="BT788" s="26"/>
    </row>
    <row r="789">
      <c r="I789" s="32"/>
      <c r="J789" s="26"/>
      <c r="K789" s="26"/>
      <c r="N789" s="26"/>
      <c r="O789" s="26"/>
      <c r="R789" s="26"/>
      <c r="S789" s="26"/>
      <c r="V789" s="26"/>
      <c r="W789" s="26"/>
      <c r="Z789" s="26"/>
      <c r="AA789" s="26"/>
      <c r="AD789" s="26"/>
      <c r="AG789" s="26"/>
      <c r="AJ789" s="26"/>
      <c r="AM789" s="26"/>
      <c r="AP789" s="26"/>
      <c r="AS789" s="26"/>
      <c r="AV789" s="26"/>
      <c r="AY789" s="26"/>
      <c r="BB789" s="26"/>
      <c r="BE789" s="26"/>
      <c r="BH789" s="26"/>
      <c r="BK789" s="26"/>
      <c r="BN789" s="26"/>
      <c r="BQ789" s="26"/>
      <c r="BT789" s="26"/>
    </row>
    <row r="790">
      <c r="I790" s="32"/>
      <c r="J790" s="26"/>
      <c r="K790" s="26"/>
      <c r="N790" s="26"/>
      <c r="O790" s="26"/>
      <c r="R790" s="26"/>
      <c r="S790" s="26"/>
      <c r="V790" s="26"/>
      <c r="W790" s="26"/>
      <c r="Z790" s="26"/>
      <c r="AA790" s="26"/>
      <c r="AD790" s="26"/>
      <c r="AG790" s="26"/>
      <c r="AJ790" s="26"/>
      <c r="AM790" s="26"/>
      <c r="AP790" s="26"/>
      <c r="AS790" s="26"/>
      <c r="AV790" s="26"/>
      <c r="AY790" s="26"/>
      <c r="BB790" s="26"/>
      <c r="BE790" s="26"/>
      <c r="BH790" s="26"/>
      <c r="BK790" s="26"/>
      <c r="BN790" s="26"/>
      <c r="BQ790" s="26"/>
      <c r="BT790" s="26"/>
    </row>
    <row r="791">
      <c r="I791" s="32"/>
      <c r="J791" s="26"/>
      <c r="K791" s="26"/>
      <c r="N791" s="26"/>
      <c r="O791" s="26"/>
      <c r="R791" s="26"/>
      <c r="S791" s="26"/>
      <c r="V791" s="26"/>
      <c r="W791" s="26"/>
      <c r="Z791" s="26"/>
      <c r="AA791" s="26"/>
      <c r="AD791" s="26"/>
      <c r="AG791" s="26"/>
      <c r="AJ791" s="26"/>
      <c r="AM791" s="26"/>
      <c r="AP791" s="26"/>
      <c r="AS791" s="26"/>
      <c r="AV791" s="26"/>
      <c r="AY791" s="26"/>
      <c r="BB791" s="26"/>
      <c r="BE791" s="26"/>
      <c r="BH791" s="26"/>
      <c r="BK791" s="26"/>
      <c r="BN791" s="26"/>
      <c r="BQ791" s="26"/>
      <c r="BT791" s="26"/>
    </row>
    <row r="792">
      <c r="I792" s="32"/>
      <c r="J792" s="26"/>
      <c r="K792" s="26"/>
      <c r="N792" s="26"/>
      <c r="O792" s="26"/>
      <c r="R792" s="26"/>
      <c r="S792" s="26"/>
      <c r="V792" s="26"/>
      <c r="W792" s="26"/>
      <c r="Z792" s="26"/>
      <c r="AA792" s="26"/>
      <c r="AD792" s="26"/>
      <c r="AG792" s="26"/>
      <c r="AJ792" s="26"/>
      <c r="AM792" s="26"/>
      <c r="AP792" s="26"/>
      <c r="AS792" s="26"/>
      <c r="AV792" s="26"/>
      <c r="AY792" s="26"/>
      <c r="BB792" s="26"/>
      <c r="BE792" s="26"/>
      <c r="BH792" s="26"/>
      <c r="BK792" s="26"/>
      <c r="BN792" s="26"/>
      <c r="BQ792" s="26"/>
      <c r="BT792" s="26"/>
    </row>
    <row r="793">
      <c r="I793" s="32"/>
      <c r="J793" s="26"/>
      <c r="K793" s="26"/>
      <c r="N793" s="26"/>
      <c r="O793" s="26"/>
      <c r="R793" s="26"/>
      <c r="S793" s="26"/>
      <c r="V793" s="26"/>
      <c r="W793" s="26"/>
      <c r="Z793" s="26"/>
      <c r="AA793" s="26"/>
      <c r="AD793" s="26"/>
      <c r="AG793" s="26"/>
      <c r="AJ793" s="26"/>
      <c r="AM793" s="26"/>
      <c r="AP793" s="26"/>
      <c r="AS793" s="26"/>
      <c r="AV793" s="26"/>
      <c r="AY793" s="26"/>
      <c r="BB793" s="26"/>
      <c r="BE793" s="26"/>
      <c r="BH793" s="26"/>
      <c r="BK793" s="26"/>
      <c r="BN793" s="26"/>
      <c r="BQ793" s="26"/>
      <c r="BT793" s="26"/>
    </row>
    <row r="794">
      <c r="I794" s="32"/>
      <c r="J794" s="26"/>
      <c r="K794" s="26"/>
      <c r="N794" s="26"/>
      <c r="O794" s="26"/>
      <c r="R794" s="26"/>
      <c r="S794" s="26"/>
      <c r="V794" s="26"/>
      <c r="W794" s="26"/>
      <c r="Z794" s="26"/>
      <c r="AA794" s="26"/>
      <c r="AD794" s="26"/>
      <c r="AG794" s="26"/>
      <c r="AJ794" s="26"/>
      <c r="AM794" s="26"/>
      <c r="AP794" s="26"/>
      <c r="AS794" s="26"/>
      <c r="AV794" s="26"/>
      <c r="AY794" s="26"/>
      <c r="BB794" s="26"/>
      <c r="BE794" s="26"/>
      <c r="BH794" s="26"/>
      <c r="BK794" s="26"/>
      <c r="BN794" s="26"/>
      <c r="BQ794" s="26"/>
      <c r="BT794" s="26"/>
    </row>
    <row r="795">
      <c r="I795" s="32"/>
      <c r="J795" s="26"/>
      <c r="K795" s="26"/>
      <c r="N795" s="26"/>
      <c r="O795" s="26"/>
      <c r="R795" s="26"/>
      <c r="S795" s="26"/>
      <c r="V795" s="26"/>
      <c r="W795" s="26"/>
      <c r="Z795" s="26"/>
      <c r="AA795" s="26"/>
      <c r="AD795" s="26"/>
      <c r="AG795" s="26"/>
      <c r="AJ795" s="26"/>
      <c r="AM795" s="26"/>
      <c r="AP795" s="26"/>
      <c r="AS795" s="26"/>
      <c r="AV795" s="26"/>
      <c r="AY795" s="26"/>
      <c r="BB795" s="26"/>
      <c r="BE795" s="26"/>
      <c r="BH795" s="26"/>
      <c r="BK795" s="26"/>
      <c r="BN795" s="26"/>
      <c r="BQ795" s="26"/>
      <c r="BT795" s="26"/>
    </row>
    <row r="796">
      <c r="I796" s="32"/>
      <c r="J796" s="26"/>
      <c r="K796" s="26"/>
      <c r="N796" s="26"/>
      <c r="O796" s="26"/>
      <c r="R796" s="26"/>
      <c r="S796" s="26"/>
      <c r="V796" s="26"/>
      <c r="W796" s="26"/>
      <c r="Z796" s="26"/>
      <c r="AA796" s="26"/>
      <c r="AD796" s="26"/>
      <c r="AG796" s="26"/>
      <c r="AJ796" s="26"/>
      <c r="AM796" s="26"/>
      <c r="AP796" s="26"/>
      <c r="AS796" s="26"/>
      <c r="AV796" s="26"/>
      <c r="AY796" s="26"/>
      <c r="BB796" s="26"/>
      <c r="BE796" s="26"/>
      <c r="BH796" s="26"/>
      <c r="BK796" s="26"/>
      <c r="BN796" s="26"/>
      <c r="BQ796" s="26"/>
      <c r="BT796" s="26"/>
    </row>
    <row r="797">
      <c r="I797" s="32"/>
      <c r="J797" s="26"/>
      <c r="K797" s="26"/>
      <c r="N797" s="26"/>
      <c r="O797" s="26"/>
      <c r="R797" s="26"/>
      <c r="S797" s="26"/>
      <c r="V797" s="26"/>
      <c r="W797" s="26"/>
      <c r="Z797" s="26"/>
      <c r="AA797" s="26"/>
      <c r="AD797" s="26"/>
      <c r="AG797" s="26"/>
      <c r="AJ797" s="26"/>
      <c r="AM797" s="26"/>
      <c r="AP797" s="26"/>
      <c r="AS797" s="26"/>
      <c r="AV797" s="26"/>
      <c r="AY797" s="26"/>
      <c r="BB797" s="26"/>
      <c r="BE797" s="26"/>
      <c r="BH797" s="26"/>
      <c r="BK797" s="26"/>
      <c r="BN797" s="26"/>
      <c r="BQ797" s="26"/>
      <c r="BT797" s="26"/>
    </row>
    <row r="798">
      <c r="I798" s="32"/>
      <c r="J798" s="26"/>
      <c r="K798" s="26"/>
      <c r="N798" s="26"/>
      <c r="O798" s="26"/>
      <c r="R798" s="26"/>
      <c r="S798" s="26"/>
      <c r="V798" s="26"/>
      <c r="W798" s="26"/>
      <c r="Z798" s="26"/>
      <c r="AA798" s="26"/>
      <c r="AD798" s="26"/>
      <c r="AG798" s="26"/>
      <c r="AJ798" s="26"/>
      <c r="AM798" s="26"/>
      <c r="AP798" s="26"/>
      <c r="AS798" s="26"/>
      <c r="AV798" s="26"/>
      <c r="AY798" s="26"/>
      <c r="BB798" s="26"/>
      <c r="BE798" s="26"/>
      <c r="BH798" s="26"/>
      <c r="BK798" s="26"/>
      <c r="BN798" s="26"/>
      <c r="BQ798" s="26"/>
      <c r="BT798" s="26"/>
    </row>
    <row r="799">
      <c r="I799" s="32"/>
      <c r="J799" s="26"/>
      <c r="K799" s="26"/>
      <c r="N799" s="26"/>
      <c r="O799" s="26"/>
      <c r="R799" s="26"/>
      <c r="S799" s="26"/>
      <c r="V799" s="26"/>
      <c r="W799" s="26"/>
      <c r="Z799" s="26"/>
      <c r="AA799" s="26"/>
      <c r="AD799" s="26"/>
      <c r="AG799" s="26"/>
      <c r="AJ799" s="26"/>
      <c r="AM799" s="26"/>
      <c r="AP799" s="26"/>
      <c r="AS799" s="26"/>
      <c r="AV799" s="26"/>
      <c r="AY799" s="26"/>
      <c r="BB799" s="26"/>
      <c r="BE799" s="26"/>
      <c r="BH799" s="26"/>
      <c r="BK799" s="26"/>
      <c r="BN799" s="26"/>
      <c r="BQ799" s="26"/>
      <c r="BT799" s="26"/>
    </row>
    <row r="800">
      <c r="I800" s="32"/>
      <c r="J800" s="26"/>
      <c r="K800" s="26"/>
      <c r="N800" s="26"/>
      <c r="O800" s="26"/>
      <c r="R800" s="26"/>
      <c r="S800" s="26"/>
      <c r="V800" s="26"/>
      <c r="W800" s="26"/>
      <c r="Z800" s="26"/>
      <c r="AA800" s="26"/>
      <c r="AD800" s="26"/>
      <c r="AG800" s="26"/>
      <c r="AJ800" s="26"/>
      <c r="AM800" s="26"/>
      <c r="AP800" s="26"/>
      <c r="AS800" s="26"/>
      <c r="AV800" s="26"/>
      <c r="AY800" s="26"/>
      <c r="BB800" s="26"/>
      <c r="BE800" s="26"/>
      <c r="BH800" s="26"/>
      <c r="BK800" s="26"/>
      <c r="BN800" s="26"/>
      <c r="BQ800" s="26"/>
      <c r="BT800" s="26"/>
    </row>
    <row r="801">
      <c r="I801" s="32"/>
      <c r="J801" s="26"/>
      <c r="K801" s="26"/>
      <c r="N801" s="26"/>
      <c r="O801" s="26"/>
      <c r="R801" s="26"/>
      <c r="S801" s="26"/>
      <c r="V801" s="26"/>
      <c r="W801" s="26"/>
      <c r="Z801" s="26"/>
      <c r="AA801" s="26"/>
      <c r="AD801" s="26"/>
      <c r="AG801" s="26"/>
      <c r="AJ801" s="26"/>
      <c r="AM801" s="26"/>
      <c r="AP801" s="26"/>
      <c r="AS801" s="26"/>
      <c r="AV801" s="26"/>
      <c r="AY801" s="26"/>
      <c r="BB801" s="26"/>
      <c r="BE801" s="26"/>
      <c r="BH801" s="26"/>
      <c r="BK801" s="26"/>
      <c r="BN801" s="26"/>
      <c r="BQ801" s="26"/>
      <c r="BT801" s="26"/>
    </row>
    <row r="802">
      <c r="I802" s="32"/>
      <c r="J802" s="26"/>
      <c r="K802" s="26"/>
      <c r="N802" s="26"/>
      <c r="O802" s="26"/>
      <c r="R802" s="26"/>
      <c r="S802" s="26"/>
      <c r="V802" s="26"/>
      <c r="W802" s="26"/>
      <c r="Z802" s="26"/>
      <c r="AA802" s="26"/>
      <c r="AD802" s="26"/>
      <c r="AG802" s="26"/>
      <c r="AJ802" s="26"/>
      <c r="AM802" s="26"/>
      <c r="AP802" s="26"/>
      <c r="AS802" s="26"/>
      <c r="AV802" s="26"/>
      <c r="AY802" s="26"/>
      <c r="BB802" s="26"/>
      <c r="BE802" s="26"/>
      <c r="BH802" s="26"/>
      <c r="BK802" s="26"/>
      <c r="BN802" s="26"/>
      <c r="BQ802" s="26"/>
      <c r="BT802" s="26"/>
    </row>
    <row r="803">
      <c r="I803" s="32"/>
      <c r="J803" s="26"/>
      <c r="K803" s="26"/>
      <c r="N803" s="26"/>
      <c r="O803" s="26"/>
      <c r="R803" s="26"/>
      <c r="S803" s="26"/>
      <c r="V803" s="26"/>
      <c r="W803" s="26"/>
      <c r="Z803" s="26"/>
      <c r="AA803" s="26"/>
      <c r="AD803" s="26"/>
      <c r="AG803" s="26"/>
      <c r="AJ803" s="26"/>
      <c r="AM803" s="26"/>
      <c r="AP803" s="26"/>
      <c r="AS803" s="26"/>
      <c r="AV803" s="26"/>
      <c r="AY803" s="26"/>
      <c r="BB803" s="26"/>
      <c r="BE803" s="26"/>
      <c r="BH803" s="26"/>
      <c r="BK803" s="26"/>
      <c r="BN803" s="26"/>
      <c r="BQ803" s="26"/>
      <c r="BT803" s="26"/>
    </row>
    <row r="804">
      <c r="I804" s="32"/>
      <c r="J804" s="26"/>
      <c r="K804" s="26"/>
      <c r="N804" s="26"/>
      <c r="O804" s="26"/>
      <c r="R804" s="26"/>
      <c r="S804" s="26"/>
      <c r="V804" s="26"/>
      <c r="W804" s="26"/>
      <c r="Z804" s="26"/>
      <c r="AA804" s="26"/>
      <c r="AD804" s="26"/>
      <c r="AG804" s="26"/>
      <c r="AJ804" s="26"/>
      <c r="AM804" s="26"/>
      <c r="AP804" s="26"/>
      <c r="AS804" s="26"/>
      <c r="AV804" s="26"/>
      <c r="AY804" s="26"/>
      <c r="BB804" s="26"/>
      <c r="BE804" s="26"/>
      <c r="BH804" s="26"/>
      <c r="BK804" s="26"/>
      <c r="BN804" s="26"/>
      <c r="BQ804" s="26"/>
      <c r="BT804" s="26"/>
    </row>
    <row r="805">
      <c r="I805" s="32"/>
      <c r="J805" s="26"/>
      <c r="K805" s="26"/>
      <c r="N805" s="26"/>
      <c r="O805" s="26"/>
      <c r="R805" s="26"/>
      <c r="S805" s="26"/>
      <c r="V805" s="26"/>
      <c r="W805" s="26"/>
      <c r="Z805" s="26"/>
      <c r="AA805" s="26"/>
      <c r="AD805" s="26"/>
      <c r="AG805" s="26"/>
      <c r="AJ805" s="26"/>
      <c r="AM805" s="26"/>
      <c r="AP805" s="26"/>
      <c r="AS805" s="26"/>
      <c r="AV805" s="26"/>
      <c r="AY805" s="26"/>
      <c r="BB805" s="26"/>
      <c r="BE805" s="26"/>
      <c r="BH805" s="26"/>
      <c r="BK805" s="26"/>
      <c r="BN805" s="26"/>
      <c r="BQ805" s="26"/>
      <c r="BT805" s="26"/>
    </row>
    <row r="806">
      <c r="I806" s="32"/>
      <c r="J806" s="26"/>
      <c r="K806" s="26"/>
      <c r="N806" s="26"/>
      <c r="O806" s="26"/>
      <c r="R806" s="26"/>
      <c r="S806" s="26"/>
      <c r="V806" s="26"/>
      <c r="W806" s="26"/>
      <c r="Z806" s="26"/>
      <c r="AA806" s="26"/>
      <c r="AD806" s="26"/>
      <c r="AG806" s="26"/>
      <c r="AJ806" s="26"/>
      <c r="AM806" s="26"/>
      <c r="AP806" s="26"/>
      <c r="AS806" s="26"/>
      <c r="AV806" s="26"/>
      <c r="AY806" s="26"/>
      <c r="BB806" s="26"/>
      <c r="BE806" s="26"/>
      <c r="BH806" s="26"/>
      <c r="BK806" s="26"/>
      <c r="BN806" s="26"/>
      <c r="BQ806" s="26"/>
      <c r="BT806" s="26"/>
    </row>
    <row r="807">
      <c r="I807" s="32"/>
      <c r="J807" s="26"/>
      <c r="K807" s="26"/>
      <c r="N807" s="26"/>
      <c r="O807" s="26"/>
      <c r="R807" s="26"/>
      <c r="S807" s="26"/>
      <c r="V807" s="26"/>
      <c r="W807" s="26"/>
      <c r="Z807" s="26"/>
      <c r="AA807" s="26"/>
      <c r="AD807" s="26"/>
      <c r="AG807" s="26"/>
      <c r="AJ807" s="26"/>
      <c r="AM807" s="26"/>
      <c r="AP807" s="26"/>
      <c r="AS807" s="26"/>
      <c r="AV807" s="26"/>
      <c r="AY807" s="26"/>
      <c r="BB807" s="26"/>
      <c r="BE807" s="26"/>
      <c r="BH807" s="26"/>
      <c r="BK807" s="26"/>
      <c r="BN807" s="26"/>
      <c r="BQ807" s="26"/>
      <c r="BT807" s="26"/>
    </row>
    <row r="808">
      <c r="I808" s="32"/>
      <c r="J808" s="26"/>
      <c r="K808" s="26"/>
      <c r="N808" s="26"/>
      <c r="O808" s="26"/>
      <c r="R808" s="26"/>
      <c r="S808" s="26"/>
      <c r="V808" s="26"/>
      <c r="W808" s="26"/>
      <c r="Z808" s="26"/>
      <c r="AA808" s="26"/>
      <c r="AD808" s="26"/>
      <c r="AG808" s="26"/>
      <c r="AJ808" s="26"/>
      <c r="AM808" s="26"/>
      <c r="AP808" s="26"/>
      <c r="AS808" s="26"/>
      <c r="AV808" s="26"/>
      <c r="AY808" s="26"/>
      <c r="BB808" s="26"/>
      <c r="BE808" s="26"/>
      <c r="BH808" s="26"/>
      <c r="BK808" s="26"/>
      <c r="BN808" s="26"/>
      <c r="BQ808" s="26"/>
      <c r="BT808" s="26"/>
    </row>
    <row r="809">
      <c r="I809" s="32"/>
      <c r="J809" s="26"/>
      <c r="K809" s="26"/>
      <c r="N809" s="26"/>
      <c r="O809" s="26"/>
      <c r="R809" s="26"/>
      <c r="S809" s="26"/>
      <c r="V809" s="26"/>
      <c r="W809" s="26"/>
      <c r="Z809" s="26"/>
      <c r="AA809" s="26"/>
      <c r="AD809" s="26"/>
      <c r="AG809" s="26"/>
      <c r="AJ809" s="26"/>
      <c r="AM809" s="26"/>
      <c r="AP809" s="26"/>
      <c r="AS809" s="26"/>
      <c r="AV809" s="26"/>
      <c r="AY809" s="26"/>
      <c r="BB809" s="26"/>
      <c r="BE809" s="26"/>
      <c r="BH809" s="26"/>
      <c r="BK809" s="26"/>
      <c r="BN809" s="26"/>
      <c r="BQ809" s="26"/>
      <c r="BT809" s="26"/>
    </row>
    <row r="810">
      <c r="I810" s="32"/>
      <c r="J810" s="26"/>
      <c r="K810" s="26"/>
      <c r="N810" s="26"/>
      <c r="O810" s="26"/>
      <c r="R810" s="26"/>
      <c r="S810" s="26"/>
      <c r="V810" s="26"/>
      <c r="W810" s="26"/>
      <c r="Z810" s="26"/>
      <c r="AA810" s="26"/>
      <c r="AD810" s="26"/>
      <c r="AG810" s="26"/>
      <c r="AJ810" s="26"/>
      <c r="AM810" s="26"/>
      <c r="AP810" s="26"/>
      <c r="AS810" s="26"/>
      <c r="AV810" s="26"/>
      <c r="AY810" s="26"/>
      <c r="BB810" s="26"/>
      <c r="BE810" s="26"/>
      <c r="BH810" s="26"/>
      <c r="BK810" s="26"/>
      <c r="BN810" s="26"/>
      <c r="BQ810" s="26"/>
      <c r="BT810" s="26"/>
    </row>
    <row r="811">
      <c r="I811" s="32"/>
      <c r="J811" s="26"/>
      <c r="K811" s="26"/>
      <c r="N811" s="26"/>
      <c r="O811" s="26"/>
      <c r="R811" s="26"/>
      <c r="S811" s="26"/>
      <c r="V811" s="26"/>
      <c r="W811" s="26"/>
      <c r="Z811" s="26"/>
      <c r="AA811" s="26"/>
      <c r="AD811" s="26"/>
      <c r="AG811" s="26"/>
      <c r="AJ811" s="26"/>
      <c r="AM811" s="26"/>
      <c r="AP811" s="26"/>
      <c r="AS811" s="26"/>
      <c r="AV811" s="26"/>
      <c r="AY811" s="26"/>
      <c r="BB811" s="26"/>
      <c r="BE811" s="26"/>
      <c r="BH811" s="26"/>
      <c r="BK811" s="26"/>
      <c r="BN811" s="26"/>
      <c r="BQ811" s="26"/>
      <c r="BT811" s="26"/>
    </row>
    <row r="812">
      <c r="I812" s="32"/>
      <c r="J812" s="26"/>
      <c r="K812" s="26"/>
      <c r="N812" s="26"/>
      <c r="O812" s="26"/>
      <c r="R812" s="26"/>
      <c r="S812" s="26"/>
      <c r="V812" s="26"/>
      <c r="W812" s="26"/>
      <c r="Z812" s="26"/>
      <c r="AA812" s="26"/>
      <c r="AD812" s="26"/>
      <c r="AG812" s="26"/>
      <c r="AJ812" s="26"/>
      <c r="AM812" s="26"/>
      <c r="AP812" s="26"/>
      <c r="AS812" s="26"/>
      <c r="AV812" s="26"/>
      <c r="AY812" s="26"/>
      <c r="BB812" s="26"/>
      <c r="BE812" s="26"/>
      <c r="BH812" s="26"/>
      <c r="BK812" s="26"/>
      <c r="BN812" s="26"/>
      <c r="BQ812" s="26"/>
      <c r="BT812" s="26"/>
    </row>
    <row r="813">
      <c r="I813" s="32"/>
      <c r="J813" s="26"/>
      <c r="K813" s="26"/>
      <c r="N813" s="26"/>
      <c r="O813" s="26"/>
      <c r="R813" s="26"/>
      <c r="S813" s="26"/>
      <c r="V813" s="26"/>
      <c r="W813" s="26"/>
      <c r="Z813" s="26"/>
      <c r="AA813" s="26"/>
      <c r="AD813" s="26"/>
      <c r="AG813" s="26"/>
      <c r="AJ813" s="26"/>
      <c r="AM813" s="26"/>
      <c r="AP813" s="26"/>
      <c r="AS813" s="26"/>
      <c r="AV813" s="26"/>
      <c r="AY813" s="26"/>
      <c r="BB813" s="26"/>
      <c r="BE813" s="26"/>
      <c r="BH813" s="26"/>
      <c r="BK813" s="26"/>
      <c r="BN813" s="26"/>
      <c r="BQ813" s="26"/>
      <c r="BT813" s="26"/>
    </row>
    <row r="814">
      <c r="I814" s="32"/>
      <c r="J814" s="26"/>
      <c r="K814" s="26"/>
      <c r="N814" s="26"/>
      <c r="O814" s="26"/>
      <c r="R814" s="26"/>
      <c r="S814" s="26"/>
      <c r="V814" s="26"/>
      <c r="W814" s="26"/>
      <c r="Z814" s="26"/>
      <c r="AA814" s="26"/>
      <c r="AD814" s="26"/>
      <c r="AG814" s="26"/>
      <c r="AJ814" s="26"/>
      <c r="AM814" s="26"/>
      <c r="AP814" s="26"/>
      <c r="AS814" s="26"/>
      <c r="AV814" s="26"/>
      <c r="AY814" s="26"/>
      <c r="BB814" s="26"/>
      <c r="BE814" s="26"/>
      <c r="BH814" s="26"/>
      <c r="BK814" s="26"/>
      <c r="BN814" s="26"/>
      <c r="BQ814" s="26"/>
      <c r="BT814" s="26"/>
    </row>
    <row r="815">
      <c r="I815" s="32"/>
      <c r="J815" s="26"/>
      <c r="K815" s="26"/>
      <c r="N815" s="26"/>
      <c r="O815" s="26"/>
      <c r="R815" s="26"/>
      <c r="S815" s="26"/>
      <c r="V815" s="26"/>
      <c r="W815" s="26"/>
      <c r="Z815" s="26"/>
      <c r="AA815" s="26"/>
      <c r="AD815" s="26"/>
      <c r="AG815" s="26"/>
      <c r="AJ815" s="26"/>
      <c r="AM815" s="26"/>
      <c r="AP815" s="26"/>
      <c r="AS815" s="26"/>
      <c r="AV815" s="26"/>
      <c r="AY815" s="26"/>
      <c r="BB815" s="26"/>
      <c r="BE815" s="26"/>
      <c r="BH815" s="26"/>
      <c r="BK815" s="26"/>
      <c r="BN815" s="26"/>
      <c r="BQ815" s="26"/>
      <c r="BT815" s="26"/>
    </row>
    <row r="816">
      <c r="I816" s="32"/>
      <c r="J816" s="26"/>
      <c r="K816" s="26"/>
      <c r="N816" s="26"/>
      <c r="O816" s="26"/>
      <c r="R816" s="26"/>
      <c r="S816" s="26"/>
      <c r="V816" s="26"/>
      <c r="W816" s="26"/>
      <c r="Z816" s="26"/>
      <c r="AA816" s="26"/>
      <c r="AD816" s="26"/>
      <c r="AG816" s="26"/>
      <c r="AJ816" s="26"/>
      <c r="AM816" s="26"/>
      <c r="AP816" s="26"/>
      <c r="AS816" s="26"/>
      <c r="AV816" s="26"/>
      <c r="AY816" s="26"/>
      <c r="BB816" s="26"/>
      <c r="BE816" s="26"/>
      <c r="BH816" s="26"/>
      <c r="BK816" s="26"/>
      <c r="BN816" s="26"/>
      <c r="BQ816" s="26"/>
      <c r="BT816" s="26"/>
    </row>
    <row r="817">
      <c r="I817" s="32"/>
      <c r="J817" s="26"/>
      <c r="K817" s="26"/>
      <c r="N817" s="26"/>
      <c r="O817" s="26"/>
      <c r="R817" s="26"/>
      <c r="S817" s="26"/>
      <c r="V817" s="26"/>
      <c r="W817" s="26"/>
      <c r="Z817" s="26"/>
      <c r="AA817" s="26"/>
      <c r="AD817" s="26"/>
      <c r="AG817" s="26"/>
      <c r="AJ817" s="26"/>
      <c r="AM817" s="26"/>
      <c r="AP817" s="26"/>
      <c r="AS817" s="26"/>
      <c r="AV817" s="26"/>
      <c r="AY817" s="26"/>
      <c r="BB817" s="26"/>
      <c r="BE817" s="26"/>
      <c r="BH817" s="26"/>
      <c r="BK817" s="26"/>
      <c r="BN817" s="26"/>
      <c r="BQ817" s="26"/>
      <c r="BT817" s="26"/>
    </row>
    <row r="818">
      <c r="I818" s="32"/>
      <c r="J818" s="26"/>
      <c r="K818" s="26"/>
      <c r="N818" s="26"/>
      <c r="O818" s="26"/>
      <c r="R818" s="26"/>
      <c r="S818" s="26"/>
      <c r="V818" s="26"/>
      <c r="W818" s="26"/>
      <c r="Z818" s="26"/>
      <c r="AA818" s="26"/>
      <c r="AD818" s="26"/>
      <c r="AG818" s="26"/>
      <c r="AJ818" s="26"/>
      <c r="AM818" s="26"/>
      <c r="AP818" s="26"/>
      <c r="AS818" s="26"/>
      <c r="AV818" s="26"/>
      <c r="AY818" s="26"/>
      <c r="BB818" s="26"/>
      <c r="BE818" s="26"/>
      <c r="BH818" s="26"/>
      <c r="BK818" s="26"/>
      <c r="BN818" s="26"/>
      <c r="BQ818" s="26"/>
      <c r="BT818" s="26"/>
    </row>
    <row r="819">
      <c r="I819" s="32"/>
      <c r="J819" s="26"/>
      <c r="K819" s="26"/>
      <c r="N819" s="26"/>
      <c r="O819" s="26"/>
      <c r="R819" s="26"/>
      <c r="S819" s="26"/>
      <c r="V819" s="26"/>
      <c r="W819" s="26"/>
      <c r="Z819" s="26"/>
      <c r="AA819" s="26"/>
      <c r="AD819" s="26"/>
      <c r="AG819" s="26"/>
      <c r="AJ819" s="26"/>
      <c r="AM819" s="26"/>
      <c r="AP819" s="26"/>
      <c r="AS819" s="26"/>
      <c r="AV819" s="26"/>
      <c r="AY819" s="26"/>
      <c r="BB819" s="26"/>
      <c r="BE819" s="26"/>
      <c r="BH819" s="26"/>
      <c r="BK819" s="26"/>
      <c r="BN819" s="26"/>
      <c r="BQ819" s="26"/>
      <c r="BT819" s="26"/>
    </row>
    <row r="820">
      <c r="I820" s="32"/>
      <c r="J820" s="26"/>
      <c r="K820" s="26"/>
      <c r="N820" s="26"/>
      <c r="O820" s="26"/>
      <c r="R820" s="26"/>
      <c r="S820" s="26"/>
      <c r="V820" s="26"/>
      <c r="W820" s="26"/>
      <c r="Z820" s="26"/>
      <c r="AA820" s="26"/>
      <c r="AD820" s="26"/>
      <c r="AG820" s="26"/>
      <c r="AJ820" s="26"/>
      <c r="AM820" s="26"/>
      <c r="AP820" s="26"/>
      <c r="AS820" s="26"/>
      <c r="AV820" s="26"/>
      <c r="AY820" s="26"/>
      <c r="BB820" s="26"/>
      <c r="BE820" s="26"/>
      <c r="BH820" s="26"/>
      <c r="BK820" s="26"/>
      <c r="BN820" s="26"/>
      <c r="BQ820" s="26"/>
      <c r="BT820" s="26"/>
    </row>
    <row r="821">
      <c r="I821" s="32"/>
      <c r="J821" s="26"/>
      <c r="K821" s="26"/>
      <c r="N821" s="26"/>
      <c r="O821" s="26"/>
      <c r="R821" s="26"/>
      <c r="S821" s="26"/>
      <c r="V821" s="26"/>
      <c r="W821" s="26"/>
      <c r="Z821" s="26"/>
      <c r="AA821" s="26"/>
      <c r="AD821" s="26"/>
      <c r="AG821" s="26"/>
      <c r="AJ821" s="26"/>
      <c r="AM821" s="26"/>
      <c r="AP821" s="26"/>
      <c r="AS821" s="26"/>
      <c r="AV821" s="26"/>
      <c r="AY821" s="26"/>
      <c r="BB821" s="26"/>
      <c r="BE821" s="26"/>
      <c r="BH821" s="26"/>
      <c r="BK821" s="26"/>
      <c r="BN821" s="26"/>
      <c r="BQ821" s="26"/>
      <c r="BT821" s="26"/>
    </row>
    <row r="822">
      <c r="I822" s="32"/>
      <c r="J822" s="26"/>
      <c r="K822" s="26"/>
      <c r="N822" s="26"/>
      <c r="O822" s="26"/>
      <c r="R822" s="26"/>
      <c r="S822" s="26"/>
      <c r="V822" s="26"/>
      <c r="W822" s="26"/>
      <c r="Z822" s="26"/>
      <c r="AA822" s="26"/>
      <c r="AD822" s="26"/>
      <c r="AG822" s="26"/>
      <c r="AJ822" s="26"/>
      <c r="AM822" s="26"/>
      <c r="AP822" s="26"/>
      <c r="AS822" s="26"/>
      <c r="AV822" s="26"/>
      <c r="AY822" s="26"/>
      <c r="BB822" s="26"/>
      <c r="BE822" s="26"/>
      <c r="BH822" s="26"/>
      <c r="BK822" s="26"/>
      <c r="BN822" s="26"/>
      <c r="BQ822" s="26"/>
      <c r="BT822" s="26"/>
    </row>
    <row r="823">
      <c r="I823" s="32"/>
      <c r="J823" s="26"/>
      <c r="K823" s="26"/>
      <c r="N823" s="26"/>
      <c r="O823" s="26"/>
      <c r="R823" s="26"/>
      <c r="S823" s="26"/>
      <c r="V823" s="26"/>
      <c r="W823" s="26"/>
      <c r="Z823" s="26"/>
      <c r="AA823" s="26"/>
      <c r="AD823" s="26"/>
      <c r="AG823" s="26"/>
      <c r="AJ823" s="26"/>
      <c r="AM823" s="26"/>
      <c r="AP823" s="26"/>
      <c r="AS823" s="26"/>
      <c r="AV823" s="26"/>
      <c r="AY823" s="26"/>
      <c r="BB823" s="26"/>
      <c r="BE823" s="26"/>
      <c r="BH823" s="26"/>
      <c r="BK823" s="26"/>
      <c r="BN823" s="26"/>
      <c r="BQ823" s="26"/>
      <c r="BT823" s="26"/>
    </row>
    <row r="824">
      <c r="I824" s="32"/>
      <c r="J824" s="26"/>
      <c r="K824" s="26"/>
      <c r="N824" s="26"/>
      <c r="O824" s="26"/>
      <c r="R824" s="26"/>
      <c r="S824" s="26"/>
      <c r="V824" s="26"/>
      <c r="W824" s="26"/>
      <c r="Z824" s="26"/>
      <c r="AA824" s="26"/>
      <c r="AD824" s="26"/>
      <c r="AG824" s="26"/>
      <c r="AJ824" s="26"/>
      <c r="AM824" s="26"/>
      <c r="AP824" s="26"/>
      <c r="AS824" s="26"/>
      <c r="AV824" s="26"/>
      <c r="AY824" s="26"/>
      <c r="BB824" s="26"/>
      <c r="BE824" s="26"/>
      <c r="BH824" s="26"/>
      <c r="BK824" s="26"/>
      <c r="BN824" s="26"/>
      <c r="BQ824" s="26"/>
      <c r="BT824" s="26"/>
    </row>
    <row r="825">
      <c r="I825" s="32"/>
      <c r="J825" s="26"/>
      <c r="K825" s="26"/>
      <c r="N825" s="26"/>
      <c r="O825" s="26"/>
      <c r="R825" s="26"/>
      <c r="S825" s="26"/>
      <c r="V825" s="26"/>
      <c r="W825" s="26"/>
      <c r="Z825" s="26"/>
      <c r="AA825" s="26"/>
      <c r="AD825" s="26"/>
      <c r="AG825" s="26"/>
      <c r="AJ825" s="26"/>
      <c r="AM825" s="26"/>
      <c r="AP825" s="26"/>
      <c r="AS825" s="26"/>
      <c r="AV825" s="26"/>
      <c r="AY825" s="26"/>
      <c r="BB825" s="26"/>
      <c r="BE825" s="26"/>
      <c r="BH825" s="26"/>
      <c r="BK825" s="26"/>
      <c r="BN825" s="26"/>
      <c r="BQ825" s="26"/>
      <c r="BT825" s="26"/>
    </row>
    <row r="826">
      <c r="I826" s="32"/>
      <c r="J826" s="26"/>
      <c r="K826" s="26"/>
      <c r="N826" s="26"/>
      <c r="O826" s="26"/>
      <c r="R826" s="26"/>
      <c r="S826" s="26"/>
      <c r="V826" s="26"/>
      <c r="W826" s="26"/>
      <c r="Z826" s="26"/>
      <c r="AA826" s="26"/>
      <c r="AD826" s="26"/>
      <c r="AG826" s="26"/>
      <c r="AJ826" s="26"/>
      <c r="AM826" s="26"/>
      <c r="AP826" s="26"/>
      <c r="AS826" s="26"/>
      <c r="AV826" s="26"/>
      <c r="AY826" s="26"/>
      <c r="BB826" s="26"/>
      <c r="BE826" s="26"/>
      <c r="BH826" s="26"/>
      <c r="BK826" s="26"/>
      <c r="BN826" s="26"/>
      <c r="BQ826" s="26"/>
      <c r="BT826" s="26"/>
    </row>
    <row r="827">
      <c r="I827" s="32"/>
      <c r="J827" s="26"/>
      <c r="K827" s="26"/>
      <c r="N827" s="26"/>
      <c r="O827" s="26"/>
      <c r="R827" s="26"/>
      <c r="S827" s="26"/>
      <c r="V827" s="26"/>
      <c r="W827" s="26"/>
      <c r="Z827" s="26"/>
      <c r="AA827" s="26"/>
      <c r="AD827" s="26"/>
      <c r="AG827" s="26"/>
      <c r="AJ827" s="26"/>
      <c r="AM827" s="26"/>
      <c r="AP827" s="26"/>
      <c r="AS827" s="26"/>
      <c r="AV827" s="26"/>
      <c r="AY827" s="26"/>
      <c r="BB827" s="26"/>
      <c r="BE827" s="26"/>
      <c r="BH827" s="26"/>
      <c r="BK827" s="26"/>
      <c r="BN827" s="26"/>
      <c r="BQ827" s="26"/>
      <c r="BT827" s="26"/>
    </row>
    <row r="828">
      <c r="I828" s="32"/>
      <c r="J828" s="26"/>
      <c r="K828" s="26"/>
      <c r="N828" s="26"/>
      <c r="O828" s="26"/>
      <c r="R828" s="26"/>
      <c r="S828" s="26"/>
      <c r="V828" s="26"/>
      <c r="W828" s="26"/>
      <c r="Z828" s="26"/>
      <c r="AA828" s="26"/>
      <c r="AD828" s="26"/>
      <c r="AG828" s="26"/>
      <c r="AJ828" s="26"/>
      <c r="AM828" s="26"/>
      <c r="AP828" s="26"/>
      <c r="AS828" s="26"/>
      <c r="AV828" s="26"/>
      <c r="AY828" s="26"/>
      <c r="BB828" s="26"/>
      <c r="BE828" s="26"/>
      <c r="BH828" s="26"/>
      <c r="BK828" s="26"/>
      <c r="BN828" s="26"/>
      <c r="BQ828" s="26"/>
      <c r="BT828" s="26"/>
    </row>
    <row r="829">
      <c r="I829" s="32"/>
      <c r="J829" s="26"/>
      <c r="K829" s="26"/>
      <c r="N829" s="26"/>
      <c r="O829" s="26"/>
      <c r="R829" s="26"/>
      <c r="S829" s="26"/>
      <c r="V829" s="26"/>
      <c r="W829" s="26"/>
      <c r="Z829" s="26"/>
      <c r="AA829" s="26"/>
      <c r="AD829" s="26"/>
      <c r="AG829" s="26"/>
      <c r="AJ829" s="26"/>
      <c r="AM829" s="26"/>
      <c r="AP829" s="26"/>
      <c r="AS829" s="26"/>
      <c r="AV829" s="26"/>
      <c r="AY829" s="26"/>
      <c r="BB829" s="26"/>
      <c r="BE829" s="26"/>
      <c r="BH829" s="26"/>
      <c r="BK829" s="26"/>
      <c r="BN829" s="26"/>
      <c r="BQ829" s="26"/>
      <c r="BT829" s="26"/>
    </row>
    <row r="830">
      <c r="I830" s="32"/>
      <c r="J830" s="26"/>
      <c r="K830" s="26"/>
      <c r="N830" s="26"/>
      <c r="O830" s="26"/>
      <c r="R830" s="26"/>
      <c r="S830" s="26"/>
      <c r="V830" s="26"/>
      <c r="W830" s="26"/>
      <c r="Z830" s="26"/>
      <c r="AA830" s="26"/>
      <c r="AD830" s="26"/>
      <c r="AG830" s="26"/>
      <c r="AJ830" s="26"/>
      <c r="AM830" s="26"/>
      <c r="AP830" s="26"/>
      <c r="AS830" s="26"/>
      <c r="AV830" s="26"/>
      <c r="AY830" s="26"/>
      <c r="BB830" s="26"/>
      <c r="BE830" s="26"/>
      <c r="BH830" s="26"/>
      <c r="BK830" s="26"/>
      <c r="BN830" s="26"/>
      <c r="BQ830" s="26"/>
      <c r="BT830" s="26"/>
    </row>
    <row r="831">
      <c r="I831" s="32"/>
      <c r="J831" s="26"/>
      <c r="K831" s="26"/>
      <c r="N831" s="26"/>
      <c r="O831" s="26"/>
      <c r="R831" s="26"/>
      <c r="S831" s="26"/>
      <c r="V831" s="26"/>
      <c r="W831" s="26"/>
      <c r="Z831" s="26"/>
      <c r="AA831" s="26"/>
      <c r="AD831" s="26"/>
      <c r="AG831" s="26"/>
      <c r="AJ831" s="26"/>
      <c r="AM831" s="26"/>
      <c r="AP831" s="26"/>
      <c r="AS831" s="26"/>
      <c r="AV831" s="26"/>
      <c r="AY831" s="26"/>
      <c r="BB831" s="26"/>
      <c r="BE831" s="26"/>
      <c r="BH831" s="26"/>
      <c r="BK831" s="26"/>
      <c r="BN831" s="26"/>
      <c r="BQ831" s="26"/>
      <c r="BT831" s="26"/>
    </row>
    <row r="832">
      <c r="I832" s="32"/>
      <c r="J832" s="26"/>
      <c r="K832" s="26"/>
      <c r="N832" s="26"/>
      <c r="O832" s="26"/>
      <c r="R832" s="26"/>
      <c r="S832" s="26"/>
      <c r="V832" s="26"/>
      <c r="W832" s="26"/>
      <c r="Z832" s="26"/>
      <c r="AA832" s="26"/>
      <c r="AD832" s="26"/>
      <c r="AG832" s="26"/>
      <c r="AJ832" s="26"/>
      <c r="AM832" s="26"/>
      <c r="AP832" s="26"/>
      <c r="AS832" s="26"/>
      <c r="AV832" s="26"/>
      <c r="AY832" s="26"/>
      <c r="BB832" s="26"/>
      <c r="BE832" s="26"/>
      <c r="BH832" s="26"/>
      <c r="BK832" s="26"/>
      <c r="BN832" s="26"/>
      <c r="BQ832" s="26"/>
      <c r="BT832" s="26"/>
    </row>
    <row r="833">
      <c r="I833" s="32"/>
      <c r="J833" s="26"/>
      <c r="K833" s="26"/>
      <c r="N833" s="26"/>
      <c r="O833" s="26"/>
      <c r="R833" s="26"/>
      <c r="S833" s="26"/>
      <c r="V833" s="26"/>
      <c r="W833" s="26"/>
      <c r="Z833" s="26"/>
      <c r="AA833" s="26"/>
      <c r="AD833" s="26"/>
      <c r="AG833" s="26"/>
      <c r="AJ833" s="26"/>
      <c r="AM833" s="26"/>
      <c r="AP833" s="26"/>
      <c r="AS833" s="26"/>
      <c r="AV833" s="26"/>
      <c r="AY833" s="26"/>
      <c r="BB833" s="26"/>
      <c r="BE833" s="26"/>
      <c r="BH833" s="26"/>
      <c r="BK833" s="26"/>
      <c r="BN833" s="26"/>
      <c r="BQ833" s="26"/>
      <c r="BT833" s="26"/>
    </row>
    <row r="834">
      <c r="I834" s="32"/>
      <c r="J834" s="26"/>
      <c r="K834" s="26"/>
      <c r="N834" s="26"/>
      <c r="O834" s="26"/>
      <c r="R834" s="26"/>
      <c r="S834" s="26"/>
      <c r="V834" s="26"/>
      <c r="W834" s="26"/>
      <c r="Z834" s="26"/>
      <c r="AA834" s="26"/>
      <c r="AD834" s="26"/>
      <c r="AG834" s="26"/>
      <c r="AJ834" s="26"/>
      <c r="AM834" s="26"/>
      <c r="AP834" s="26"/>
      <c r="AS834" s="26"/>
      <c r="AV834" s="26"/>
      <c r="AY834" s="26"/>
      <c r="BB834" s="26"/>
      <c r="BE834" s="26"/>
      <c r="BH834" s="26"/>
      <c r="BK834" s="26"/>
      <c r="BN834" s="26"/>
      <c r="BQ834" s="26"/>
      <c r="BT834" s="26"/>
    </row>
    <row r="835">
      <c r="I835" s="32"/>
      <c r="J835" s="26"/>
      <c r="K835" s="26"/>
      <c r="N835" s="26"/>
      <c r="O835" s="26"/>
      <c r="R835" s="26"/>
      <c r="S835" s="26"/>
      <c r="V835" s="26"/>
      <c r="W835" s="26"/>
      <c r="Z835" s="26"/>
      <c r="AA835" s="26"/>
      <c r="AD835" s="26"/>
      <c r="AG835" s="26"/>
      <c r="AJ835" s="26"/>
      <c r="AM835" s="26"/>
      <c r="AP835" s="26"/>
      <c r="AS835" s="26"/>
      <c r="AV835" s="26"/>
      <c r="AY835" s="26"/>
      <c r="BB835" s="26"/>
      <c r="BE835" s="26"/>
      <c r="BH835" s="26"/>
      <c r="BK835" s="26"/>
      <c r="BN835" s="26"/>
      <c r="BQ835" s="26"/>
      <c r="BT835" s="26"/>
    </row>
    <row r="836">
      <c r="I836" s="32"/>
      <c r="J836" s="26"/>
      <c r="K836" s="26"/>
      <c r="N836" s="26"/>
      <c r="O836" s="26"/>
      <c r="R836" s="26"/>
      <c r="S836" s="26"/>
      <c r="V836" s="26"/>
      <c r="W836" s="26"/>
      <c r="Z836" s="26"/>
      <c r="AA836" s="26"/>
      <c r="AD836" s="26"/>
      <c r="AG836" s="26"/>
      <c r="AJ836" s="26"/>
      <c r="AM836" s="26"/>
      <c r="AP836" s="26"/>
      <c r="AS836" s="26"/>
      <c r="AV836" s="26"/>
      <c r="AY836" s="26"/>
      <c r="BB836" s="26"/>
      <c r="BE836" s="26"/>
      <c r="BH836" s="26"/>
      <c r="BK836" s="26"/>
      <c r="BN836" s="26"/>
      <c r="BQ836" s="26"/>
      <c r="BT836" s="26"/>
    </row>
    <row r="837">
      <c r="I837" s="32"/>
      <c r="J837" s="26"/>
      <c r="K837" s="26"/>
      <c r="N837" s="26"/>
      <c r="O837" s="26"/>
      <c r="R837" s="26"/>
      <c r="S837" s="26"/>
      <c r="V837" s="26"/>
      <c r="W837" s="26"/>
      <c r="Z837" s="26"/>
      <c r="AA837" s="26"/>
      <c r="AD837" s="26"/>
      <c r="AG837" s="26"/>
      <c r="AJ837" s="26"/>
      <c r="AM837" s="26"/>
      <c r="AP837" s="26"/>
      <c r="AS837" s="26"/>
      <c r="AV837" s="26"/>
      <c r="AY837" s="26"/>
      <c r="BB837" s="26"/>
      <c r="BE837" s="26"/>
      <c r="BH837" s="26"/>
      <c r="BK837" s="26"/>
      <c r="BN837" s="26"/>
      <c r="BQ837" s="26"/>
      <c r="BT837" s="26"/>
    </row>
    <row r="838">
      <c r="I838" s="32"/>
      <c r="J838" s="26"/>
      <c r="K838" s="26"/>
      <c r="N838" s="26"/>
      <c r="O838" s="26"/>
      <c r="R838" s="26"/>
      <c r="S838" s="26"/>
      <c r="V838" s="26"/>
      <c r="W838" s="26"/>
      <c r="Z838" s="26"/>
      <c r="AA838" s="26"/>
      <c r="AD838" s="26"/>
      <c r="AG838" s="26"/>
      <c r="AJ838" s="26"/>
      <c r="AM838" s="26"/>
      <c r="AP838" s="26"/>
      <c r="AS838" s="26"/>
      <c r="AV838" s="26"/>
      <c r="AY838" s="26"/>
      <c r="BB838" s="26"/>
      <c r="BE838" s="26"/>
      <c r="BH838" s="26"/>
      <c r="BK838" s="26"/>
      <c r="BN838" s="26"/>
      <c r="BQ838" s="26"/>
      <c r="BT838" s="26"/>
    </row>
    <row r="839">
      <c r="I839" s="32"/>
      <c r="J839" s="26"/>
      <c r="K839" s="26"/>
      <c r="N839" s="26"/>
      <c r="O839" s="26"/>
      <c r="R839" s="26"/>
      <c r="S839" s="26"/>
      <c r="V839" s="26"/>
      <c r="W839" s="26"/>
      <c r="Z839" s="26"/>
      <c r="AA839" s="26"/>
      <c r="AD839" s="26"/>
      <c r="AG839" s="26"/>
      <c r="AJ839" s="26"/>
      <c r="AM839" s="26"/>
      <c r="AP839" s="26"/>
      <c r="AS839" s="26"/>
      <c r="AV839" s="26"/>
      <c r="AY839" s="26"/>
      <c r="BB839" s="26"/>
      <c r="BE839" s="26"/>
      <c r="BH839" s="26"/>
      <c r="BK839" s="26"/>
      <c r="BN839" s="26"/>
      <c r="BQ839" s="26"/>
      <c r="BT839" s="26"/>
    </row>
    <row r="840">
      <c r="I840" s="32"/>
      <c r="J840" s="26"/>
      <c r="K840" s="26"/>
      <c r="N840" s="26"/>
      <c r="O840" s="26"/>
      <c r="R840" s="26"/>
      <c r="S840" s="26"/>
      <c r="V840" s="26"/>
      <c r="W840" s="26"/>
      <c r="Z840" s="26"/>
      <c r="AA840" s="26"/>
      <c r="AD840" s="26"/>
      <c r="AG840" s="26"/>
      <c r="AJ840" s="26"/>
      <c r="AM840" s="26"/>
      <c r="AP840" s="26"/>
      <c r="AS840" s="26"/>
      <c r="AV840" s="26"/>
      <c r="AY840" s="26"/>
      <c r="BB840" s="26"/>
      <c r="BE840" s="26"/>
      <c r="BH840" s="26"/>
      <c r="BK840" s="26"/>
      <c r="BN840" s="26"/>
      <c r="BQ840" s="26"/>
      <c r="BT840" s="26"/>
    </row>
    <row r="841">
      <c r="I841" s="32"/>
      <c r="J841" s="26"/>
      <c r="K841" s="26"/>
      <c r="N841" s="26"/>
      <c r="O841" s="26"/>
      <c r="R841" s="26"/>
      <c r="S841" s="26"/>
      <c r="V841" s="26"/>
      <c r="W841" s="26"/>
      <c r="Z841" s="26"/>
      <c r="AA841" s="26"/>
      <c r="AD841" s="26"/>
      <c r="AG841" s="26"/>
      <c r="AJ841" s="26"/>
      <c r="AM841" s="26"/>
      <c r="AP841" s="26"/>
      <c r="AS841" s="26"/>
      <c r="AV841" s="26"/>
      <c r="AY841" s="26"/>
      <c r="BB841" s="26"/>
      <c r="BE841" s="26"/>
      <c r="BH841" s="26"/>
      <c r="BK841" s="26"/>
      <c r="BN841" s="26"/>
      <c r="BQ841" s="26"/>
      <c r="BT841" s="26"/>
    </row>
    <row r="842">
      <c r="I842" s="32"/>
      <c r="J842" s="26"/>
      <c r="K842" s="26"/>
      <c r="N842" s="26"/>
      <c r="O842" s="26"/>
      <c r="R842" s="26"/>
      <c r="S842" s="26"/>
      <c r="V842" s="26"/>
      <c r="W842" s="26"/>
      <c r="Z842" s="26"/>
      <c r="AA842" s="26"/>
      <c r="AD842" s="26"/>
      <c r="AG842" s="26"/>
      <c r="AJ842" s="26"/>
      <c r="AM842" s="26"/>
      <c r="AP842" s="26"/>
      <c r="AS842" s="26"/>
      <c r="AV842" s="26"/>
      <c r="AY842" s="26"/>
      <c r="BB842" s="26"/>
      <c r="BE842" s="26"/>
      <c r="BH842" s="26"/>
      <c r="BK842" s="26"/>
      <c r="BN842" s="26"/>
      <c r="BQ842" s="26"/>
      <c r="BT842" s="26"/>
    </row>
    <row r="843">
      <c r="I843" s="32"/>
      <c r="J843" s="26"/>
      <c r="K843" s="26"/>
      <c r="N843" s="26"/>
      <c r="O843" s="26"/>
      <c r="R843" s="26"/>
      <c r="S843" s="26"/>
      <c r="V843" s="26"/>
      <c r="W843" s="26"/>
      <c r="Z843" s="26"/>
      <c r="AA843" s="26"/>
      <c r="AD843" s="26"/>
      <c r="AG843" s="26"/>
      <c r="AJ843" s="26"/>
      <c r="AM843" s="26"/>
      <c r="AP843" s="26"/>
      <c r="AS843" s="26"/>
      <c r="AV843" s="26"/>
      <c r="AY843" s="26"/>
      <c r="BB843" s="26"/>
      <c r="BE843" s="26"/>
      <c r="BH843" s="26"/>
      <c r="BK843" s="26"/>
      <c r="BN843" s="26"/>
      <c r="BQ843" s="26"/>
      <c r="BT843" s="26"/>
    </row>
    <row r="844">
      <c r="I844" s="32"/>
      <c r="J844" s="26"/>
      <c r="K844" s="26"/>
      <c r="N844" s="26"/>
      <c r="O844" s="26"/>
      <c r="R844" s="26"/>
      <c r="S844" s="26"/>
      <c r="V844" s="26"/>
      <c r="W844" s="26"/>
      <c r="Z844" s="26"/>
      <c r="AA844" s="26"/>
      <c r="AD844" s="26"/>
      <c r="AG844" s="26"/>
      <c r="AJ844" s="26"/>
      <c r="AM844" s="26"/>
      <c r="AP844" s="26"/>
      <c r="AS844" s="26"/>
      <c r="AV844" s="26"/>
      <c r="AY844" s="26"/>
      <c r="BB844" s="26"/>
      <c r="BE844" s="26"/>
      <c r="BH844" s="26"/>
      <c r="BK844" s="26"/>
      <c r="BN844" s="26"/>
      <c r="BQ844" s="26"/>
      <c r="BT844" s="26"/>
    </row>
    <row r="845">
      <c r="I845" s="32"/>
      <c r="J845" s="26"/>
      <c r="K845" s="26"/>
      <c r="N845" s="26"/>
      <c r="O845" s="26"/>
      <c r="R845" s="26"/>
      <c r="S845" s="26"/>
      <c r="V845" s="26"/>
      <c r="W845" s="26"/>
      <c r="Z845" s="26"/>
      <c r="AA845" s="26"/>
      <c r="AD845" s="26"/>
      <c r="AG845" s="26"/>
      <c r="AJ845" s="26"/>
      <c r="AM845" s="26"/>
      <c r="AP845" s="26"/>
      <c r="AS845" s="26"/>
      <c r="AV845" s="26"/>
      <c r="AY845" s="26"/>
      <c r="BB845" s="26"/>
      <c r="BE845" s="26"/>
      <c r="BH845" s="26"/>
      <c r="BK845" s="26"/>
      <c r="BN845" s="26"/>
      <c r="BQ845" s="26"/>
      <c r="BT845" s="26"/>
    </row>
    <row r="846">
      <c r="I846" s="32"/>
      <c r="J846" s="26"/>
      <c r="K846" s="26"/>
      <c r="N846" s="26"/>
      <c r="O846" s="26"/>
      <c r="R846" s="26"/>
      <c r="S846" s="26"/>
      <c r="V846" s="26"/>
      <c r="W846" s="26"/>
      <c r="Z846" s="26"/>
      <c r="AA846" s="26"/>
      <c r="AD846" s="26"/>
      <c r="AG846" s="26"/>
      <c r="AJ846" s="26"/>
      <c r="AM846" s="26"/>
      <c r="AP846" s="26"/>
      <c r="AS846" s="26"/>
      <c r="AV846" s="26"/>
      <c r="AY846" s="26"/>
      <c r="BB846" s="26"/>
      <c r="BE846" s="26"/>
      <c r="BH846" s="26"/>
      <c r="BK846" s="26"/>
      <c r="BN846" s="26"/>
      <c r="BQ846" s="26"/>
      <c r="BT846" s="26"/>
    </row>
    <row r="847">
      <c r="I847" s="32"/>
      <c r="J847" s="26"/>
      <c r="K847" s="26"/>
      <c r="N847" s="26"/>
      <c r="O847" s="26"/>
      <c r="R847" s="26"/>
      <c r="S847" s="26"/>
      <c r="V847" s="26"/>
      <c r="W847" s="26"/>
      <c r="Z847" s="26"/>
      <c r="AA847" s="26"/>
      <c r="AD847" s="26"/>
      <c r="AG847" s="26"/>
      <c r="AJ847" s="26"/>
      <c r="AM847" s="26"/>
      <c r="AP847" s="26"/>
      <c r="AS847" s="26"/>
      <c r="AV847" s="26"/>
      <c r="AY847" s="26"/>
      <c r="BB847" s="26"/>
      <c r="BE847" s="26"/>
      <c r="BH847" s="26"/>
      <c r="BK847" s="26"/>
      <c r="BN847" s="26"/>
      <c r="BQ847" s="26"/>
      <c r="BT847" s="26"/>
    </row>
    <row r="848">
      <c r="I848" s="32"/>
      <c r="J848" s="26"/>
      <c r="K848" s="26"/>
      <c r="N848" s="26"/>
      <c r="O848" s="26"/>
      <c r="R848" s="26"/>
      <c r="S848" s="26"/>
      <c r="V848" s="26"/>
      <c r="W848" s="26"/>
      <c r="Z848" s="26"/>
      <c r="AA848" s="26"/>
      <c r="AD848" s="26"/>
      <c r="AG848" s="26"/>
      <c r="AJ848" s="26"/>
      <c r="AM848" s="26"/>
      <c r="AP848" s="26"/>
      <c r="AS848" s="26"/>
      <c r="AV848" s="26"/>
      <c r="AY848" s="26"/>
      <c r="BB848" s="26"/>
      <c r="BE848" s="26"/>
      <c r="BH848" s="26"/>
      <c r="BK848" s="26"/>
      <c r="BN848" s="26"/>
      <c r="BQ848" s="26"/>
      <c r="BT848" s="26"/>
    </row>
    <row r="849">
      <c r="I849" s="32"/>
      <c r="J849" s="26"/>
      <c r="K849" s="26"/>
      <c r="N849" s="26"/>
      <c r="O849" s="26"/>
      <c r="R849" s="26"/>
      <c r="S849" s="26"/>
      <c r="V849" s="26"/>
      <c r="W849" s="26"/>
      <c r="Z849" s="26"/>
      <c r="AA849" s="26"/>
      <c r="AD849" s="26"/>
      <c r="AG849" s="26"/>
      <c r="AJ849" s="26"/>
      <c r="AM849" s="26"/>
      <c r="AP849" s="26"/>
      <c r="AS849" s="26"/>
      <c r="AV849" s="26"/>
      <c r="AY849" s="26"/>
      <c r="BB849" s="26"/>
      <c r="BE849" s="26"/>
      <c r="BH849" s="26"/>
      <c r="BK849" s="26"/>
      <c r="BN849" s="26"/>
      <c r="BQ849" s="26"/>
      <c r="BT849" s="26"/>
    </row>
    <row r="850">
      <c r="I850" s="32"/>
      <c r="J850" s="26"/>
      <c r="K850" s="26"/>
      <c r="N850" s="26"/>
      <c r="O850" s="26"/>
      <c r="R850" s="26"/>
      <c r="S850" s="26"/>
      <c r="V850" s="26"/>
      <c r="W850" s="26"/>
      <c r="Z850" s="26"/>
      <c r="AA850" s="26"/>
      <c r="AD850" s="26"/>
      <c r="AG850" s="26"/>
      <c r="AJ850" s="26"/>
      <c r="AM850" s="26"/>
      <c r="AP850" s="26"/>
      <c r="AS850" s="26"/>
      <c r="AV850" s="26"/>
      <c r="AY850" s="26"/>
      <c r="BB850" s="26"/>
      <c r="BE850" s="26"/>
      <c r="BH850" s="26"/>
      <c r="BK850" s="26"/>
      <c r="BN850" s="26"/>
      <c r="BQ850" s="26"/>
      <c r="BT850" s="26"/>
    </row>
    <row r="851">
      <c r="I851" s="32"/>
      <c r="J851" s="26"/>
      <c r="K851" s="26"/>
      <c r="N851" s="26"/>
      <c r="O851" s="26"/>
      <c r="R851" s="26"/>
      <c r="S851" s="26"/>
      <c r="V851" s="26"/>
      <c r="W851" s="26"/>
      <c r="Z851" s="26"/>
      <c r="AA851" s="26"/>
      <c r="AD851" s="26"/>
      <c r="AG851" s="26"/>
      <c r="AJ851" s="26"/>
      <c r="AM851" s="26"/>
      <c r="AP851" s="26"/>
      <c r="AS851" s="26"/>
      <c r="AV851" s="26"/>
      <c r="AY851" s="26"/>
      <c r="BB851" s="26"/>
      <c r="BE851" s="26"/>
      <c r="BH851" s="26"/>
      <c r="BK851" s="26"/>
      <c r="BN851" s="26"/>
      <c r="BQ851" s="26"/>
      <c r="BT851" s="26"/>
    </row>
    <row r="852">
      <c r="I852" s="32"/>
      <c r="J852" s="26"/>
      <c r="K852" s="26"/>
      <c r="N852" s="26"/>
      <c r="O852" s="26"/>
      <c r="R852" s="26"/>
      <c r="S852" s="26"/>
      <c r="V852" s="26"/>
      <c r="W852" s="26"/>
      <c r="Z852" s="26"/>
      <c r="AA852" s="26"/>
      <c r="AD852" s="26"/>
      <c r="AG852" s="26"/>
      <c r="AJ852" s="26"/>
      <c r="AM852" s="26"/>
      <c r="AP852" s="26"/>
      <c r="AS852" s="26"/>
      <c r="AV852" s="26"/>
      <c r="AY852" s="26"/>
      <c r="BB852" s="26"/>
      <c r="BE852" s="26"/>
      <c r="BH852" s="26"/>
      <c r="BK852" s="26"/>
      <c r="BN852" s="26"/>
      <c r="BQ852" s="26"/>
      <c r="BT852" s="26"/>
    </row>
    <row r="853">
      <c r="I853" s="32"/>
      <c r="J853" s="26"/>
      <c r="K853" s="26"/>
      <c r="N853" s="26"/>
      <c r="O853" s="26"/>
      <c r="R853" s="26"/>
      <c r="S853" s="26"/>
      <c r="V853" s="26"/>
      <c r="W853" s="26"/>
      <c r="Z853" s="26"/>
      <c r="AA853" s="26"/>
      <c r="AD853" s="26"/>
      <c r="AG853" s="26"/>
      <c r="AJ853" s="26"/>
      <c r="AM853" s="26"/>
      <c r="AP853" s="26"/>
      <c r="AS853" s="26"/>
      <c r="AV853" s="26"/>
      <c r="AY853" s="26"/>
      <c r="BB853" s="26"/>
      <c r="BE853" s="26"/>
      <c r="BH853" s="26"/>
      <c r="BK853" s="26"/>
      <c r="BN853" s="26"/>
      <c r="BQ853" s="26"/>
      <c r="BT853" s="26"/>
    </row>
    <row r="854">
      <c r="I854" s="32"/>
      <c r="J854" s="26"/>
      <c r="K854" s="26"/>
      <c r="N854" s="26"/>
      <c r="O854" s="26"/>
      <c r="R854" s="26"/>
      <c r="S854" s="26"/>
      <c r="V854" s="26"/>
      <c r="W854" s="26"/>
      <c r="Z854" s="26"/>
      <c r="AA854" s="26"/>
      <c r="AD854" s="26"/>
      <c r="AG854" s="26"/>
      <c r="AJ854" s="26"/>
      <c r="AM854" s="26"/>
      <c r="AP854" s="26"/>
      <c r="AS854" s="26"/>
      <c r="AV854" s="26"/>
      <c r="AY854" s="26"/>
      <c r="BB854" s="26"/>
      <c r="BE854" s="26"/>
      <c r="BH854" s="26"/>
      <c r="BK854" s="26"/>
      <c r="BN854" s="26"/>
      <c r="BQ854" s="26"/>
      <c r="BT854" s="26"/>
    </row>
    <row r="855">
      <c r="I855" s="32"/>
      <c r="J855" s="26"/>
      <c r="K855" s="26"/>
      <c r="N855" s="26"/>
      <c r="O855" s="26"/>
      <c r="R855" s="26"/>
      <c r="S855" s="26"/>
      <c r="V855" s="26"/>
      <c r="W855" s="26"/>
      <c r="Z855" s="26"/>
      <c r="AA855" s="26"/>
      <c r="AD855" s="26"/>
      <c r="AG855" s="26"/>
      <c r="AJ855" s="26"/>
      <c r="AM855" s="26"/>
      <c r="AP855" s="26"/>
      <c r="AS855" s="26"/>
      <c r="AV855" s="26"/>
      <c r="AY855" s="26"/>
      <c r="BB855" s="26"/>
      <c r="BE855" s="26"/>
      <c r="BH855" s="26"/>
      <c r="BK855" s="26"/>
      <c r="BN855" s="26"/>
      <c r="BQ855" s="26"/>
      <c r="BT855" s="26"/>
    </row>
    <row r="856">
      <c r="I856" s="32"/>
      <c r="J856" s="26"/>
      <c r="K856" s="26"/>
      <c r="N856" s="26"/>
      <c r="O856" s="26"/>
      <c r="R856" s="26"/>
      <c r="S856" s="26"/>
      <c r="V856" s="26"/>
      <c r="W856" s="26"/>
      <c r="Z856" s="26"/>
      <c r="AA856" s="26"/>
      <c r="AD856" s="26"/>
      <c r="AG856" s="26"/>
      <c r="AJ856" s="26"/>
      <c r="AM856" s="26"/>
      <c r="AP856" s="26"/>
      <c r="AS856" s="26"/>
      <c r="AV856" s="26"/>
      <c r="AY856" s="26"/>
      <c r="BB856" s="26"/>
      <c r="BE856" s="26"/>
      <c r="BH856" s="26"/>
      <c r="BK856" s="26"/>
      <c r="BN856" s="26"/>
      <c r="BQ856" s="26"/>
      <c r="BT856" s="26"/>
    </row>
    <row r="857">
      <c r="I857" s="32"/>
      <c r="J857" s="26"/>
      <c r="K857" s="26"/>
      <c r="N857" s="26"/>
      <c r="O857" s="26"/>
      <c r="R857" s="26"/>
      <c r="S857" s="26"/>
      <c r="V857" s="26"/>
      <c r="W857" s="26"/>
      <c r="Z857" s="26"/>
      <c r="AA857" s="26"/>
      <c r="AD857" s="26"/>
      <c r="AG857" s="26"/>
      <c r="AJ857" s="26"/>
      <c r="AM857" s="26"/>
      <c r="AP857" s="26"/>
      <c r="AS857" s="26"/>
      <c r="AV857" s="26"/>
      <c r="AY857" s="26"/>
      <c r="BB857" s="26"/>
      <c r="BE857" s="26"/>
      <c r="BH857" s="26"/>
      <c r="BK857" s="26"/>
      <c r="BN857" s="26"/>
      <c r="BQ857" s="26"/>
      <c r="BT857" s="26"/>
    </row>
    <row r="858">
      <c r="I858" s="32"/>
      <c r="J858" s="26"/>
      <c r="K858" s="26"/>
      <c r="N858" s="26"/>
      <c r="O858" s="26"/>
      <c r="R858" s="26"/>
      <c r="S858" s="26"/>
      <c r="V858" s="26"/>
      <c r="W858" s="26"/>
      <c r="Z858" s="26"/>
      <c r="AA858" s="26"/>
      <c r="AD858" s="26"/>
      <c r="AG858" s="26"/>
      <c r="AJ858" s="26"/>
      <c r="AM858" s="26"/>
      <c r="AP858" s="26"/>
      <c r="AS858" s="26"/>
      <c r="AV858" s="26"/>
      <c r="AY858" s="26"/>
      <c r="BB858" s="26"/>
      <c r="BE858" s="26"/>
      <c r="BH858" s="26"/>
      <c r="BK858" s="26"/>
      <c r="BN858" s="26"/>
      <c r="BQ858" s="26"/>
      <c r="BT858" s="26"/>
    </row>
    <row r="859">
      <c r="I859" s="32"/>
      <c r="J859" s="26"/>
      <c r="K859" s="26"/>
      <c r="N859" s="26"/>
      <c r="O859" s="26"/>
      <c r="R859" s="26"/>
      <c r="S859" s="26"/>
      <c r="V859" s="26"/>
      <c r="W859" s="26"/>
      <c r="Z859" s="26"/>
      <c r="AA859" s="26"/>
      <c r="AD859" s="26"/>
      <c r="AG859" s="26"/>
      <c r="AJ859" s="26"/>
      <c r="AM859" s="26"/>
      <c r="AP859" s="26"/>
      <c r="AS859" s="26"/>
      <c r="AV859" s="26"/>
      <c r="AY859" s="26"/>
      <c r="BB859" s="26"/>
      <c r="BE859" s="26"/>
      <c r="BH859" s="26"/>
      <c r="BK859" s="26"/>
      <c r="BN859" s="26"/>
      <c r="BQ859" s="26"/>
      <c r="BT859" s="26"/>
    </row>
    <row r="860">
      <c r="I860" s="32"/>
      <c r="J860" s="26"/>
      <c r="K860" s="26"/>
      <c r="N860" s="26"/>
      <c r="O860" s="26"/>
      <c r="R860" s="26"/>
      <c r="S860" s="26"/>
      <c r="V860" s="26"/>
      <c r="W860" s="26"/>
      <c r="Z860" s="26"/>
      <c r="AA860" s="26"/>
      <c r="AD860" s="26"/>
      <c r="AG860" s="26"/>
      <c r="AJ860" s="26"/>
      <c r="AM860" s="26"/>
      <c r="AP860" s="26"/>
      <c r="AS860" s="26"/>
      <c r="AV860" s="26"/>
      <c r="AY860" s="26"/>
      <c r="BB860" s="26"/>
      <c r="BE860" s="26"/>
      <c r="BH860" s="26"/>
      <c r="BK860" s="26"/>
      <c r="BN860" s="26"/>
      <c r="BQ860" s="26"/>
      <c r="BT860" s="26"/>
    </row>
    <row r="861">
      <c r="I861" s="32"/>
      <c r="J861" s="26"/>
      <c r="K861" s="26"/>
      <c r="N861" s="26"/>
      <c r="O861" s="26"/>
      <c r="R861" s="26"/>
      <c r="S861" s="26"/>
      <c r="V861" s="26"/>
      <c r="W861" s="26"/>
      <c r="Z861" s="26"/>
      <c r="AA861" s="26"/>
      <c r="AD861" s="26"/>
      <c r="AG861" s="26"/>
      <c r="AJ861" s="26"/>
      <c r="AM861" s="26"/>
      <c r="AP861" s="26"/>
      <c r="AS861" s="26"/>
      <c r="AV861" s="26"/>
      <c r="AY861" s="26"/>
      <c r="BB861" s="26"/>
      <c r="BE861" s="26"/>
      <c r="BH861" s="26"/>
      <c r="BK861" s="26"/>
      <c r="BN861" s="26"/>
      <c r="BQ861" s="26"/>
      <c r="BT861" s="26"/>
    </row>
    <row r="862">
      <c r="I862" s="32"/>
      <c r="J862" s="26"/>
      <c r="K862" s="26"/>
      <c r="N862" s="26"/>
      <c r="O862" s="26"/>
      <c r="R862" s="26"/>
      <c r="S862" s="26"/>
      <c r="V862" s="26"/>
      <c r="W862" s="26"/>
      <c r="Z862" s="26"/>
      <c r="AA862" s="26"/>
      <c r="AD862" s="26"/>
      <c r="AG862" s="26"/>
      <c r="AJ862" s="26"/>
      <c r="AM862" s="26"/>
      <c r="AP862" s="26"/>
      <c r="AS862" s="26"/>
      <c r="AV862" s="26"/>
      <c r="AY862" s="26"/>
      <c r="BB862" s="26"/>
      <c r="BE862" s="26"/>
      <c r="BH862" s="26"/>
      <c r="BK862" s="26"/>
      <c r="BN862" s="26"/>
      <c r="BQ862" s="26"/>
      <c r="BT862" s="26"/>
    </row>
    <row r="863">
      <c r="I863" s="32"/>
      <c r="J863" s="26"/>
      <c r="K863" s="26"/>
      <c r="N863" s="26"/>
      <c r="O863" s="26"/>
      <c r="R863" s="26"/>
      <c r="S863" s="26"/>
      <c r="V863" s="26"/>
      <c r="W863" s="26"/>
      <c r="Z863" s="26"/>
      <c r="AA863" s="26"/>
      <c r="AD863" s="26"/>
      <c r="AG863" s="26"/>
      <c r="AJ863" s="26"/>
      <c r="AM863" s="26"/>
      <c r="AP863" s="26"/>
      <c r="AS863" s="26"/>
      <c r="AV863" s="26"/>
      <c r="AY863" s="26"/>
      <c r="BB863" s="26"/>
      <c r="BE863" s="26"/>
      <c r="BH863" s="26"/>
      <c r="BK863" s="26"/>
      <c r="BN863" s="26"/>
      <c r="BQ863" s="26"/>
      <c r="BT863" s="26"/>
    </row>
    <row r="864">
      <c r="I864" s="32"/>
      <c r="J864" s="26"/>
      <c r="K864" s="26"/>
      <c r="N864" s="26"/>
      <c r="O864" s="26"/>
      <c r="R864" s="26"/>
      <c r="S864" s="26"/>
      <c r="V864" s="26"/>
      <c r="W864" s="26"/>
      <c r="Z864" s="26"/>
      <c r="AA864" s="26"/>
      <c r="AD864" s="26"/>
      <c r="AG864" s="26"/>
      <c r="AJ864" s="26"/>
      <c r="AM864" s="26"/>
      <c r="AP864" s="26"/>
      <c r="AS864" s="26"/>
      <c r="AV864" s="26"/>
      <c r="AY864" s="26"/>
      <c r="BB864" s="26"/>
      <c r="BE864" s="26"/>
      <c r="BH864" s="26"/>
      <c r="BK864" s="26"/>
      <c r="BN864" s="26"/>
      <c r="BQ864" s="26"/>
      <c r="BT864" s="26"/>
    </row>
    <row r="865">
      <c r="I865" s="32"/>
      <c r="J865" s="26"/>
      <c r="K865" s="26"/>
      <c r="N865" s="26"/>
      <c r="O865" s="26"/>
      <c r="R865" s="26"/>
      <c r="S865" s="26"/>
      <c r="V865" s="26"/>
      <c r="W865" s="26"/>
      <c r="Z865" s="26"/>
      <c r="AA865" s="26"/>
      <c r="AD865" s="26"/>
      <c r="AG865" s="26"/>
      <c r="AJ865" s="26"/>
      <c r="AM865" s="26"/>
      <c r="AP865" s="26"/>
      <c r="AS865" s="26"/>
      <c r="AV865" s="26"/>
      <c r="AY865" s="26"/>
      <c r="BB865" s="26"/>
      <c r="BE865" s="26"/>
      <c r="BH865" s="26"/>
      <c r="BK865" s="26"/>
      <c r="BN865" s="26"/>
      <c r="BQ865" s="26"/>
      <c r="BT865" s="26"/>
    </row>
    <row r="866">
      <c r="I866" s="32"/>
      <c r="J866" s="26"/>
      <c r="K866" s="26"/>
      <c r="N866" s="26"/>
      <c r="O866" s="26"/>
      <c r="R866" s="26"/>
      <c r="S866" s="26"/>
      <c r="V866" s="26"/>
      <c r="W866" s="26"/>
      <c r="Z866" s="26"/>
      <c r="AA866" s="26"/>
      <c r="AD866" s="26"/>
      <c r="AG866" s="26"/>
      <c r="AJ866" s="26"/>
      <c r="AM866" s="26"/>
      <c r="AP866" s="26"/>
      <c r="AS866" s="26"/>
      <c r="AV866" s="26"/>
      <c r="AY866" s="26"/>
      <c r="BB866" s="26"/>
      <c r="BE866" s="26"/>
      <c r="BH866" s="26"/>
      <c r="BK866" s="26"/>
      <c r="BN866" s="26"/>
      <c r="BQ866" s="26"/>
      <c r="BT866" s="26"/>
    </row>
    <row r="867">
      <c r="I867" s="32"/>
      <c r="J867" s="26"/>
      <c r="K867" s="26"/>
      <c r="N867" s="26"/>
      <c r="O867" s="26"/>
      <c r="R867" s="26"/>
      <c r="S867" s="26"/>
      <c r="V867" s="26"/>
      <c r="W867" s="26"/>
      <c r="Z867" s="26"/>
      <c r="AA867" s="26"/>
      <c r="AD867" s="26"/>
      <c r="AG867" s="26"/>
      <c r="AJ867" s="26"/>
      <c r="AM867" s="26"/>
      <c r="AP867" s="26"/>
      <c r="AS867" s="26"/>
      <c r="AV867" s="26"/>
      <c r="AY867" s="26"/>
      <c r="BB867" s="26"/>
      <c r="BE867" s="26"/>
      <c r="BH867" s="26"/>
      <c r="BK867" s="26"/>
      <c r="BN867" s="26"/>
      <c r="BQ867" s="26"/>
      <c r="BT867" s="26"/>
    </row>
    <row r="868">
      <c r="I868" s="32"/>
      <c r="J868" s="26"/>
      <c r="K868" s="26"/>
      <c r="N868" s="26"/>
      <c r="O868" s="26"/>
      <c r="R868" s="26"/>
      <c r="S868" s="26"/>
      <c r="V868" s="26"/>
      <c r="W868" s="26"/>
      <c r="Z868" s="26"/>
      <c r="AA868" s="26"/>
      <c r="AD868" s="26"/>
      <c r="AG868" s="26"/>
      <c r="AJ868" s="26"/>
      <c r="AM868" s="26"/>
      <c r="AP868" s="26"/>
      <c r="AS868" s="26"/>
      <c r="AV868" s="26"/>
      <c r="AY868" s="26"/>
      <c r="BB868" s="26"/>
      <c r="BE868" s="26"/>
      <c r="BH868" s="26"/>
      <c r="BK868" s="26"/>
      <c r="BN868" s="26"/>
      <c r="BQ868" s="26"/>
      <c r="BT868" s="26"/>
    </row>
    <row r="869">
      <c r="I869" s="32"/>
      <c r="J869" s="26"/>
      <c r="K869" s="26"/>
      <c r="N869" s="26"/>
      <c r="O869" s="26"/>
      <c r="R869" s="26"/>
      <c r="S869" s="26"/>
      <c r="V869" s="26"/>
      <c r="W869" s="26"/>
      <c r="Z869" s="26"/>
      <c r="AA869" s="26"/>
      <c r="AD869" s="26"/>
      <c r="AG869" s="26"/>
      <c r="AJ869" s="26"/>
      <c r="AM869" s="26"/>
      <c r="AP869" s="26"/>
      <c r="AS869" s="26"/>
      <c r="AV869" s="26"/>
      <c r="AY869" s="26"/>
      <c r="BB869" s="26"/>
      <c r="BE869" s="26"/>
      <c r="BH869" s="26"/>
      <c r="BK869" s="26"/>
      <c r="BN869" s="26"/>
      <c r="BQ869" s="26"/>
      <c r="BT869" s="26"/>
    </row>
    <row r="870">
      <c r="I870" s="32"/>
      <c r="J870" s="26"/>
      <c r="K870" s="26"/>
      <c r="N870" s="26"/>
      <c r="O870" s="26"/>
      <c r="R870" s="26"/>
      <c r="S870" s="26"/>
      <c r="V870" s="26"/>
      <c r="W870" s="26"/>
      <c r="Z870" s="26"/>
      <c r="AA870" s="26"/>
      <c r="AD870" s="26"/>
      <c r="AG870" s="26"/>
      <c r="AJ870" s="26"/>
      <c r="AM870" s="26"/>
      <c r="AP870" s="26"/>
      <c r="AS870" s="26"/>
      <c r="AV870" s="26"/>
      <c r="AY870" s="26"/>
      <c r="BB870" s="26"/>
      <c r="BE870" s="26"/>
      <c r="BH870" s="26"/>
      <c r="BK870" s="26"/>
      <c r="BN870" s="26"/>
      <c r="BQ870" s="26"/>
      <c r="BT870" s="26"/>
    </row>
    <row r="871">
      <c r="I871" s="32"/>
      <c r="J871" s="26"/>
      <c r="K871" s="26"/>
      <c r="N871" s="26"/>
      <c r="O871" s="26"/>
      <c r="R871" s="26"/>
      <c r="S871" s="26"/>
      <c r="V871" s="26"/>
      <c r="W871" s="26"/>
      <c r="Z871" s="26"/>
      <c r="AA871" s="26"/>
      <c r="AD871" s="26"/>
      <c r="AG871" s="26"/>
      <c r="AJ871" s="26"/>
      <c r="AM871" s="26"/>
      <c r="AP871" s="26"/>
      <c r="AS871" s="26"/>
      <c r="AV871" s="26"/>
      <c r="AY871" s="26"/>
      <c r="BB871" s="26"/>
      <c r="BE871" s="26"/>
      <c r="BH871" s="26"/>
      <c r="BK871" s="26"/>
      <c r="BN871" s="26"/>
      <c r="BQ871" s="26"/>
      <c r="BT871" s="26"/>
    </row>
    <row r="872">
      <c r="I872" s="32"/>
      <c r="J872" s="26"/>
      <c r="K872" s="26"/>
      <c r="N872" s="26"/>
      <c r="O872" s="26"/>
      <c r="R872" s="26"/>
      <c r="S872" s="26"/>
      <c r="V872" s="26"/>
      <c r="W872" s="26"/>
      <c r="Z872" s="26"/>
      <c r="AA872" s="26"/>
      <c r="AD872" s="26"/>
      <c r="AG872" s="26"/>
      <c r="AJ872" s="26"/>
      <c r="AM872" s="26"/>
      <c r="AP872" s="26"/>
      <c r="AS872" s="26"/>
      <c r="AV872" s="26"/>
      <c r="AY872" s="26"/>
      <c r="BB872" s="26"/>
      <c r="BE872" s="26"/>
      <c r="BH872" s="26"/>
      <c r="BK872" s="26"/>
      <c r="BN872" s="26"/>
      <c r="BQ872" s="26"/>
      <c r="BT872" s="26"/>
    </row>
    <row r="873">
      <c r="I873" s="32"/>
      <c r="J873" s="26"/>
      <c r="K873" s="26"/>
      <c r="N873" s="26"/>
      <c r="O873" s="26"/>
      <c r="R873" s="26"/>
      <c r="S873" s="26"/>
      <c r="V873" s="26"/>
      <c r="W873" s="26"/>
      <c r="Z873" s="26"/>
      <c r="AA873" s="26"/>
      <c r="AD873" s="26"/>
      <c r="AG873" s="26"/>
      <c r="AJ873" s="26"/>
      <c r="AM873" s="26"/>
      <c r="AP873" s="26"/>
      <c r="AS873" s="26"/>
      <c r="AV873" s="26"/>
      <c r="AY873" s="26"/>
      <c r="BB873" s="26"/>
      <c r="BE873" s="26"/>
      <c r="BH873" s="26"/>
      <c r="BK873" s="26"/>
      <c r="BN873" s="26"/>
      <c r="BQ873" s="26"/>
      <c r="BT873" s="26"/>
    </row>
    <row r="874">
      <c r="I874" s="32"/>
      <c r="J874" s="26"/>
      <c r="K874" s="26"/>
      <c r="N874" s="26"/>
      <c r="O874" s="26"/>
      <c r="R874" s="26"/>
      <c r="S874" s="26"/>
      <c r="V874" s="26"/>
      <c r="W874" s="26"/>
      <c r="Z874" s="26"/>
      <c r="AA874" s="26"/>
      <c r="AD874" s="26"/>
      <c r="AG874" s="26"/>
      <c r="AJ874" s="26"/>
      <c r="AM874" s="26"/>
      <c r="AP874" s="26"/>
      <c r="AS874" s="26"/>
      <c r="AV874" s="26"/>
      <c r="AY874" s="26"/>
      <c r="BB874" s="26"/>
      <c r="BE874" s="26"/>
      <c r="BH874" s="26"/>
      <c r="BK874" s="26"/>
      <c r="BN874" s="26"/>
      <c r="BQ874" s="26"/>
      <c r="BT874" s="26"/>
    </row>
    <row r="875">
      <c r="I875" s="32"/>
      <c r="J875" s="26"/>
      <c r="K875" s="26"/>
      <c r="N875" s="26"/>
      <c r="O875" s="26"/>
      <c r="R875" s="26"/>
      <c r="S875" s="26"/>
      <c r="V875" s="26"/>
      <c r="W875" s="26"/>
      <c r="Z875" s="26"/>
      <c r="AA875" s="26"/>
      <c r="AD875" s="26"/>
      <c r="AG875" s="26"/>
      <c r="AJ875" s="26"/>
      <c r="AM875" s="26"/>
      <c r="AP875" s="26"/>
      <c r="AS875" s="26"/>
      <c r="AV875" s="26"/>
      <c r="AY875" s="26"/>
      <c r="BB875" s="26"/>
      <c r="BE875" s="26"/>
      <c r="BH875" s="26"/>
      <c r="BK875" s="26"/>
      <c r="BN875" s="26"/>
      <c r="BQ875" s="26"/>
      <c r="BT875" s="26"/>
    </row>
    <row r="876">
      <c r="I876" s="32"/>
      <c r="J876" s="26"/>
      <c r="K876" s="26"/>
      <c r="N876" s="26"/>
      <c r="O876" s="26"/>
      <c r="R876" s="26"/>
      <c r="S876" s="26"/>
      <c r="V876" s="26"/>
      <c r="W876" s="26"/>
      <c r="Z876" s="26"/>
      <c r="AA876" s="26"/>
      <c r="AD876" s="26"/>
      <c r="AG876" s="26"/>
      <c r="AJ876" s="26"/>
      <c r="AM876" s="26"/>
      <c r="AP876" s="26"/>
      <c r="AS876" s="26"/>
      <c r="AV876" s="26"/>
      <c r="AY876" s="26"/>
      <c r="BB876" s="26"/>
      <c r="BE876" s="26"/>
      <c r="BH876" s="26"/>
      <c r="BK876" s="26"/>
      <c r="BN876" s="26"/>
      <c r="BQ876" s="26"/>
      <c r="BT876" s="26"/>
    </row>
    <row r="877">
      <c r="I877" s="32"/>
      <c r="J877" s="26"/>
      <c r="K877" s="26"/>
      <c r="N877" s="26"/>
      <c r="O877" s="26"/>
      <c r="R877" s="26"/>
      <c r="S877" s="26"/>
      <c r="V877" s="26"/>
      <c r="W877" s="26"/>
      <c r="Z877" s="26"/>
      <c r="AA877" s="26"/>
      <c r="AD877" s="26"/>
      <c r="AG877" s="26"/>
      <c r="AJ877" s="26"/>
      <c r="AM877" s="26"/>
      <c r="AP877" s="26"/>
      <c r="AS877" s="26"/>
      <c r="AV877" s="26"/>
      <c r="AY877" s="26"/>
      <c r="BB877" s="26"/>
      <c r="BE877" s="26"/>
      <c r="BH877" s="26"/>
      <c r="BK877" s="26"/>
      <c r="BN877" s="26"/>
      <c r="BQ877" s="26"/>
      <c r="BT877" s="26"/>
    </row>
    <row r="878">
      <c r="I878" s="32"/>
      <c r="J878" s="26"/>
      <c r="K878" s="26"/>
      <c r="N878" s="26"/>
      <c r="O878" s="26"/>
      <c r="R878" s="26"/>
      <c r="S878" s="26"/>
      <c r="V878" s="26"/>
      <c r="W878" s="26"/>
      <c r="Z878" s="26"/>
      <c r="AA878" s="26"/>
      <c r="AD878" s="26"/>
      <c r="AG878" s="26"/>
      <c r="AJ878" s="26"/>
      <c r="AM878" s="26"/>
      <c r="AP878" s="26"/>
      <c r="AS878" s="26"/>
      <c r="AV878" s="26"/>
      <c r="AY878" s="26"/>
      <c r="BB878" s="26"/>
      <c r="BE878" s="26"/>
      <c r="BH878" s="26"/>
      <c r="BK878" s="26"/>
      <c r="BN878" s="26"/>
      <c r="BQ878" s="26"/>
      <c r="BT878" s="26"/>
    </row>
    <row r="879">
      <c r="I879" s="32"/>
      <c r="J879" s="26"/>
      <c r="K879" s="26"/>
      <c r="N879" s="26"/>
      <c r="O879" s="26"/>
      <c r="R879" s="26"/>
      <c r="S879" s="26"/>
      <c r="V879" s="26"/>
      <c r="W879" s="26"/>
      <c r="Z879" s="26"/>
      <c r="AA879" s="26"/>
      <c r="AD879" s="26"/>
      <c r="AG879" s="26"/>
      <c r="AJ879" s="26"/>
      <c r="AM879" s="26"/>
      <c r="AP879" s="26"/>
      <c r="AS879" s="26"/>
      <c r="AV879" s="26"/>
      <c r="AY879" s="26"/>
      <c r="BB879" s="26"/>
      <c r="BE879" s="26"/>
      <c r="BH879" s="26"/>
      <c r="BK879" s="26"/>
      <c r="BN879" s="26"/>
      <c r="BQ879" s="26"/>
      <c r="BT879" s="26"/>
    </row>
    <row r="880">
      <c r="I880" s="32"/>
      <c r="J880" s="26"/>
      <c r="K880" s="26"/>
      <c r="N880" s="26"/>
      <c r="O880" s="26"/>
      <c r="R880" s="26"/>
      <c r="S880" s="26"/>
      <c r="V880" s="26"/>
      <c r="W880" s="26"/>
      <c r="Z880" s="26"/>
      <c r="AA880" s="26"/>
      <c r="AD880" s="26"/>
      <c r="AG880" s="26"/>
      <c r="AJ880" s="26"/>
      <c r="AM880" s="26"/>
      <c r="AP880" s="26"/>
      <c r="AS880" s="26"/>
      <c r="AV880" s="26"/>
      <c r="AY880" s="26"/>
      <c r="BB880" s="26"/>
      <c r="BE880" s="26"/>
      <c r="BH880" s="26"/>
      <c r="BK880" s="26"/>
      <c r="BN880" s="26"/>
      <c r="BQ880" s="26"/>
      <c r="BT880" s="26"/>
    </row>
    <row r="881">
      <c r="I881" s="32"/>
      <c r="J881" s="26"/>
      <c r="K881" s="26"/>
      <c r="N881" s="26"/>
      <c r="O881" s="26"/>
      <c r="R881" s="26"/>
      <c r="S881" s="26"/>
      <c r="V881" s="26"/>
      <c r="W881" s="26"/>
      <c r="Z881" s="26"/>
      <c r="AA881" s="26"/>
      <c r="AD881" s="26"/>
      <c r="AG881" s="26"/>
      <c r="AJ881" s="26"/>
      <c r="AM881" s="26"/>
      <c r="AP881" s="26"/>
      <c r="AS881" s="26"/>
      <c r="AV881" s="26"/>
      <c r="AY881" s="26"/>
      <c r="BB881" s="26"/>
      <c r="BE881" s="26"/>
      <c r="BH881" s="26"/>
      <c r="BK881" s="26"/>
      <c r="BN881" s="26"/>
      <c r="BQ881" s="26"/>
      <c r="BT881" s="26"/>
    </row>
    <row r="882">
      <c r="I882" s="32"/>
      <c r="J882" s="26"/>
      <c r="K882" s="26"/>
      <c r="N882" s="26"/>
      <c r="O882" s="26"/>
      <c r="R882" s="26"/>
      <c r="S882" s="26"/>
      <c r="V882" s="26"/>
      <c r="W882" s="26"/>
      <c r="Z882" s="26"/>
      <c r="AA882" s="26"/>
      <c r="AD882" s="26"/>
      <c r="AG882" s="26"/>
      <c r="AJ882" s="26"/>
      <c r="AM882" s="26"/>
      <c r="AP882" s="26"/>
      <c r="AS882" s="26"/>
      <c r="AV882" s="26"/>
      <c r="AY882" s="26"/>
      <c r="BB882" s="26"/>
      <c r="BE882" s="26"/>
      <c r="BH882" s="26"/>
      <c r="BK882" s="26"/>
      <c r="BN882" s="26"/>
      <c r="BQ882" s="26"/>
      <c r="BT882" s="26"/>
    </row>
    <row r="883">
      <c r="I883" s="32"/>
      <c r="J883" s="26"/>
      <c r="K883" s="26"/>
      <c r="N883" s="26"/>
      <c r="O883" s="26"/>
      <c r="R883" s="26"/>
      <c r="S883" s="26"/>
      <c r="V883" s="26"/>
      <c r="W883" s="26"/>
      <c r="Z883" s="26"/>
      <c r="AA883" s="26"/>
      <c r="AD883" s="26"/>
      <c r="AG883" s="26"/>
      <c r="AJ883" s="26"/>
      <c r="AM883" s="26"/>
      <c r="AP883" s="26"/>
      <c r="AS883" s="26"/>
      <c r="AV883" s="26"/>
      <c r="AY883" s="26"/>
      <c r="BB883" s="26"/>
      <c r="BE883" s="26"/>
      <c r="BH883" s="26"/>
      <c r="BK883" s="26"/>
      <c r="BN883" s="26"/>
      <c r="BQ883" s="26"/>
      <c r="BT883" s="26"/>
    </row>
    <row r="884">
      <c r="I884" s="32"/>
      <c r="J884" s="26"/>
      <c r="K884" s="26"/>
      <c r="N884" s="26"/>
      <c r="O884" s="26"/>
      <c r="R884" s="26"/>
      <c r="S884" s="26"/>
      <c r="V884" s="26"/>
      <c r="W884" s="26"/>
      <c r="Z884" s="26"/>
      <c r="AA884" s="26"/>
      <c r="AD884" s="26"/>
      <c r="AG884" s="26"/>
      <c r="AJ884" s="26"/>
      <c r="AM884" s="26"/>
      <c r="AP884" s="26"/>
      <c r="AS884" s="26"/>
      <c r="AV884" s="26"/>
      <c r="AY884" s="26"/>
      <c r="BB884" s="26"/>
      <c r="BE884" s="26"/>
      <c r="BH884" s="26"/>
      <c r="BK884" s="26"/>
      <c r="BN884" s="26"/>
      <c r="BQ884" s="26"/>
      <c r="BT884" s="26"/>
    </row>
    <row r="885">
      <c r="I885" s="32"/>
      <c r="J885" s="26"/>
      <c r="K885" s="26"/>
      <c r="N885" s="26"/>
      <c r="O885" s="26"/>
      <c r="R885" s="26"/>
      <c r="S885" s="26"/>
      <c r="V885" s="26"/>
      <c r="W885" s="26"/>
      <c r="Z885" s="26"/>
      <c r="AA885" s="26"/>
      <c r="AD885" s="26"/>
      <c r="AG885" s="26"/>
      <c r="AJ885" s="26"/>
      <c r="AM885" s="26"/>
      <c r="AP885" s="26"/>
      <c r="AS885" s="26"/>
      <c r="AV885" s="26"/>
      <c r="AY885" s="26"/>
      <c r="BB885" s="26"/>
      <c r="BE885" s="26"/>
      <c r="BH885" s="26"/>
      <c r="BK885" s="26"/>
      <c r="BN885" s="26"/>
      <c r="BQ885" s="26"/>
      <c r="BT885" s="26"/>
    </row>
    <row r="886">
      <c r="I886" s="32"/>
      <c r="J886" s="26"/>
      <c r="K886" s="26"/>
      <c r="N886" s="26"/>
      <c r="O886" s="26"/>
      <c r="R886" s="26"/>
      <c r="S886" s="26"/>
      <c r="V886" s="26"/>
      <c r="W886" s="26"/>
      <c r="Z886" s="26"/>
      <c r="AA886" s="26"/>
      <c r="AD886" s="26"/>
      <c r="AG886" s="26"/>
      <c r="AJ886" s="26"/>
      <c r="AM886" s="26"/>
      <c r="AP886" s="26"/>
      <c r="AS886" s="26"/>
      <c r="AV886" s="26"/>
      <c r="AY886" s="26"/>
      <c r="BB886" s="26"/>
      <c r="BE886" s="26"/>
      <c r="BH886" s="26"/>
      <c r="BK886" s="26"/>
      <c r="BN886" s="26"/>
      <c r="BQ886" s="26"/>
      <c r="BT886" s="26"/>
    </row>
    <row r="887">
      <c r="I887" s="32"/>
      <c r="J887" s="26"/>
      <c r="K887" s="26"/>
      <c r="N887" s="26"/>
      <c r="O887" s="26"/>
      <c r="R887" s="26"/>
      <c r="S887" s="26"/>
      <c r="V887" s="26"/>
      <c r="W887" s="26"/>
      <c r="Z887" s="26"/>
      <c r="AA887" s="26"/>
      <c r="AD887" s="26"/>
      <c r="AG887" s="26"/>
      <c r="AJ887" s="26"/>
      <c r="AM887" s="26"/>
      <c r="AP887" s="26"/>
      <c r="AS887" s="26"/>
      <c r="AV887" s="26"/>
      <c r="AY887" s="26"/>
      <c r="BB887" s="26"/>
      <c r="BE887" s="26"/>
      <c r="BH887" s="26"/>
      <c r="BK887" s="26"/>
      <c r="BN887" s="26"/>
      <c r="BQ887" s="26"/>
      <c r="BT887" s="26"/>
    </row>
    <row r="888">
      <c r="I888" s="32"/>
      <c r="J888" s="26"/>
      <c r="K888" s="26"/>
      <c r="N888" s="26"/>
      <c r="O888" s="26"/>
      <c r="R888" s="26"/>
      <c r="S888" s="26"/>
      <c r="V888" s="26"/>
      <c r="W888" s="26"/>
      <c r="Z888" s="26"/>
      <c r="AA888" s="26"/>
      <c r="AD888" s="26"/>
      <c r="AG888" s="26"/>
      <c r="AJ888" s="26"/>
      <c r="AM888" s="26"/>
      <c r="AP888" s="26"/>
      <c r="AS888" s="26"/>
      <c r="AV888" s="26"/>
      <c r="AY888" s="26"/>
      <c r="BB888" s="26"/>
      <c r="BE888" s="26"/>
      <c r="BH888" s="26"/>
      <c r="BK888" s="26"/>
      <c r="BN888" s="26"/>
      <c r="BQ888" s="26"/>
      <c r="BT888" s="26"/>
    </row>
    <row r="889">
      <c r="I889" s="32"/>
      <c r="J889" s="26"/>
      <c r="K889" s="26"/>
      <c r="N889" s="26"/>
      <c r="O889" s="26"/>
      <c r="R889" s="26"/>
      <c r="S889" s="26"/>
      <c r="V889" s="26"/>
      <c r="W889" s="26"/>
      <c r="Z889" s="26"/>
      <c r="AA889" s="26"/>
      <c r="AD889" s="26"/>
      <c r="AG889" s="26"/>
      <c r="AJ889" s="26"/>
      <c r="AM889" s="26"/>
      <c r="AP889" s="26"/>
      <c r="AS889" s="26"/>
      <c r="AV889" s="26"/>
      <c r="AY889" s="26"/>
      <c r="BB889" s="26"/>
      <c r="BE889" s="26"/>
      <c r="BH889" s="26"/>
      <c r="BK889" s="26"/>
      <c r="BN889" s="26"/>
      <c r="BQ889" s="26"/>
      <c r="BT889" s="26"/>
    </row>
    <row r="890">
      <c r="I890" s="32"/>
      <c r="J890" s="26"/>
      <c r="K890" s="26"/>
      <c r="N890" s="26"/>
      <c r="O890" s="26"/>
      <c r="R890" s="26"/>
      <c r="S890" s="26"/>
      <c r="V890" s="26"/>
      <c r="W890" s="26"/>
      <c r="Z890" s="26"/>
      <c r="AA890" s="26"/>
      <c r="AD890" s="26"/>
      <c r="AG890" s="26"/>
      <c r="AJ890" s="26"/>
      <c r="AM890" s="26"/>
      <c r="AP890" s="26"/>
      <c r="AS890" s="26"/>
      <c r="AV890" s="26"/>
      <c r="AY890" s="26"/>
      <c r="BB890" s="26"/>
      <c r="BE890" s="26"/>
      <c r="BH890" s="26"/>
      <c r="BK890" s="26"/>
      <c r="BN890" s="26"/>
      <c r="BQ890" s="26"/>
      <c r="BT890" s="26"/>
    </row>
    <row r="891">
      <c r="I891" s="32"/>
      <c r="J891" s="26"/>
      <c r="K891" s="26"/>
      <c r="N891" s="26"/>
      <c r="O891" s="26"/>
      <c r="R891" s="26"/>
      <c r="S891" s="26"/>
      <c r="V891" s="26"/>
      <c r="W891" s="26"/>
      <c r="Z891" s="26"/>
      <c r="AA891" s="26"/>
      <c r="AD891" s="26"/>
      <c r="AG891" s="26"/>
      <c r="AJ891" s="26"/>
      <c r="AM891" s="26"/>
      <c r="AP891" s="26"/>
      <c r="AS891" s="26"/>
      <c r="AV891" s="26"/>
      <c r="AY891" s="26"/>
      <c r="BB891" s="26"/>
      <c r="BE891" s="26"/>
      <c r="BH891" s="26"/>
      <c r="BK891" s="26"/>
      <c r="BN891" s="26"/>
      <c r="BQ891" s="26"/>
      <c r="BT891" s="26"/>
    </row>
    <row r="892">
      <c r="I892" s="32"/>
      <c r="J892" s="26"/>
      <c r="K892" s="26"/>
      <c r="N892" s="26"/>
      <c r="O892" s="26"/>
      <c r="R892" s="26"/>
      <c r="S892" s="26"/>
      <c r="V892" s="26"/>
      <c r="W892" s="26"/>
      <c r="Z892" s="26"/>
      <c r="AA892" s="26"/>
      <c r="AD892" s="26"/>
      <c r="AG892" s="26"/>
      <c r="AJ892" s="26"/>
      <c r="AM892" s="26"/>
      <c r="AP892" s="26"/>
      <c r="AS892" s="26"/>
      <c r="AV892" s="26"/>
      <c r="AY892" s="26"/>
      <c r="BB892" s="26"/>
      <c r="BE892" s="26"/>
      <c r="BH892" s="26"/>
      <c r="BK892" s="26"/>
      <c r="BN892" s="26"/>
      <c r="BQ892" s="26"/>
      <c r="BT892" s="26"/>
    </row>
    <row r="893">
      <c r="I893" s="32"/>
      <c r="J893" s="26"/>
      <c r="K893" s="26"/>
      <c r="N893" s="26"/>
      <c r="O893" s="26"/>
      <c r="R893" s="26"/>
      <c r="S893" s="26"/>
      <c r="V893" s="26"/>
      <c r="W893" s="26"/>
      <c r="Z893" s="26"/>
      <c r="AA893" s="26"/>
      <c r="AD893" s="26"/>
      <c r="AG893" s="26"/>
      <c r="AJ893" s="26"/>
      <c r="AM893" s="26"/>
      <c r="AP893" s="26"/>
      <c r="AS893" s="26"/>
      <c r="AV893" s="26"/>
      <c r="AY893" s="26"/>
      <c r="BB893" s="26"/>
      <c r="BE893" s="26"/>
      <c r="BH893" s="26"/>
      <c r="BK893" s="26"/>
      <c r="BN893" s="26"/>
      <c r="BQ893" s="26"/>
      <c r="BT893" s="26"/>
    </row>
    <row r="894">
      <c r="I894" s="32"/>
      <c r="J894" s="26"/>
      <c r="K894" s="26"/>
      <c r="N894" s="26"/>
      <c r="O894" s="26"/>
      <c r="R894" s="26"/>
      <c r="S894" s="26"/>
      <c r="V894" s="26"/>
      <c r="W894" s="26"/>
      <c r="Z894" s="26"/>
      <c r="AA894" s="26"/>
      <c r="AD894" s="26"/>
      <c r="AG894" s="26"/>
      <c r="AJ894" s="26"/>
      <c r="AM894" s="26"/>
      <c r="AP894" s="26"/>
      <c r="AS894" s="26"/>
      <c r="AV894" s="26"/>
      <c r="AY894" s="26"/>
      <c r="BB894" s="26"/>
      <c r="BE894" s="26"/>
      <c r="BH894" s="26"/>
      <c r="BK894" s="26"/>
      <c r="BN894" s="26"/>
      <c r="BQ894" s="26"/>
      <c r="BT894" s="26"/>
    </row>
    <row r="895">
      <c r="I895" s="32"/>
      <c r="J895" s="26"/>
      <c r="K895" s="26"/>
      <c r="N895" s="26"/>
      <c r="O895" s="26"/>
      <c r="R895" s="26"/>
      <c r="S895" s="26"/>
      <c r="V895" s="26"/>
      <c r="W895" s="26"/>
      <c r="Z895" s="26"/>
      <c r="AA895" s="26"/>
      <c r="AD895" s="26"/>
      <c r="AG895" s="26"/>
      <c r="AJ895" s="26"/>
      <c r="AM895" s="26"/>
      <c r="AP895" s="26"/>
      <c r="AS895" s="26"/>
      <c r="AV895" s="26"/>
      <c r="AY895" s="26"/>
      <c r="BB895" s="26"/>
      <c r="BE895" s="26"/>
      <c r="BH895" s="26"/>
      <c r="BK895" s="26"/>
      <c r="BN895" s="26"/>
      <c r="BQ895" s="26"/>
      <c r="BT895" s="26"/>
    </row>
    <row r="896">
      <c r="I896" s="32"/>
      <c r="J896" s="26"/>
      <c r="K896" s="26"/>
      <c r="N896" s="26"/>
      <c r="O896" s="26"/>
      <c r="R896" s="26"/>
      <c r="S896" s="26"/>
      <c r="V896" s="26"/>
      <c r="W896" s="26"/>
      <c r="Z896" s="26"/>
      <c r="AA896" s="26"/>
      <c r="AD896" s="26"/>
      <c r="AG896" s="26"/>
      <c r="AJ896" s="26"/>
      <c r="AM896" s="26"/>
      <c r="AP896" s="26"/>
      <c r="AS896" s="26"/>
      <c r="AV896" s="26"/>
      <c r="AY896" s="26"/>
      <c r="BB896" s="26"/>
      <c r="BE896" s="26"/>
      <c r="BH896" s="26"/>
      <c r="BK896" s="26"/>
      <c r="BN896" s="26"/>
      <c r="BQ896" s="26"/>
      <c r="BT896" s="26"/>
    </row>
    <row r="897">
      <c r="I897" s="32"/>
      <c r="J897" s="26"/>
      <c r="K897" s="26"/>
      <c r="N897" s="26"/>
      <c r="O897" s="26"/>
      <c r="R897" s="26"/>
      <c r="S897" s="26"/>
      <c r="V897" s="26"/>
      <c r="W897" s="26"/>
      <c r="Z897" s="26"/>
      <c r="AA897" s="26"/>
      <c r="AD897" s="26"/>
      <c r="AG897" s="26"/>
      <c r="AJ897" s="26"/>
      <c r="AM897" s="26"/>
      <c r="AP897" s="26"/>
      <c r="AS897" s="26"/>
      <c r="AV897" s="26"/>
      <c r="AY897" s="26"/>
      <c r="BB897" s="26"/>
      <c r="BE897" s="26"/>
      <c r="BH897" s="26"/>
      <c r="BK897" s="26"/>
      <c r="BN897" s="26"/>
      <c r="BQ897" s="26"/>
      <c r="BT897" s="26"/>
    </row>
    <row r="898">
      <c r="I898" s="32"/>
      <c r="J898" s="26"/>
      <c r="K898" s="26"/>
      <c r="N898" s="26"/>
      <c r="O898" s="26"/>
      <c r="R898" s="26"/>
      <c r="S898" s="26"/>
      <c r="V898" s="26"/>
      <c r="W898" s="26"/>
      <c r="Z898" s="26"/>
      <c r="AA898" s="26"/>
      <c r="AD898" s="26"/>
      <c r="AG898" s="26"/>
      <c r="AJ898" s="26"/>
      <c r="AM898" s="26"/>
      <c r="AP898" s="26"/>
      <c r="AS898" s="26"/>
      <c r="AV898" s="26"/>
      <c r="AY898" s="26"/>
      <c r="BB898" s="26"/>
      <c r="BE898" s="26"/>
      <c r="BH898" s="26"/>
      <c r="BK898" s="26"/>
      <c r="BN898" s="26"/>
      <c r="BQ898" s="26"/>
      <c r="BT898" s="26"/>
    </row>
    <row r="899">
      <c r="I899" s="32"/>
      <c r="J899" s="26"/>
      <c r="K899" s="26"/>
      <c r="N899" s="26"/>
      <c r="O899" s="26"/>
      <c r="R899" s="26"/>
      <c r="S899" s="26"/>
      <c r="V899" s="26"/>
      <c r="W899" s="26"/>
      <c r="Z899" s="26"/>
      <c r="AA899" s="26"/>
      <c r="AD899" s="26"/>
      <c r="AG899" s="26"/>
      <c r="AJ899" s="26"/>
      <c r="AM899" s="26"/>
      <c r="AP899" s="26"/>
      <c r="AS899" s="26"/>
      <c r="AV899" s="26"/>
      <c r="AY899" s="26"/>
      <c r="BB899" s="26"/>
      <c r="BE899" s="26"/>
      <c r="BH899" s="26"/>
      <c r="BK899" s="26"/>
      <c r="BN899" s="26"/>
      <c r="BQ899" s="26"/>
      <c r="BT899" s="26"/>
    </row>
    <row r="900">
      <c r="I900" s="32"/>
      <c r="J900" s="26"/>
      <c r="K900" s="26"/>
      <c r="N900" s="26"/>
      <c r="O900" s="26"/>
      <c r="R900" s="26"/>
      <c r="S900" s="26"/>
      <c r="V900" s="26"/>
      <c r="W900" s="26"/>
      <c r="Z900" s="26"/>
      <c r="AA900" s="26"/>
      <c r="AD900" s="26"/>
      <c r="AG900" s="26"/>
      <c r="AJ900" s="26"/>
      <c r="AM900" s="26"/>
      <c r="AP900" s="26"/>
      <c r="AS900" s="26"/>
      <c r="AV900" s="26"/>
      <c r="AY900" s="26"/>
      <c r="BB900" s="26"/>
      <c r="BE900" s="26"/>
      <c r="BH900" s="26"/>
      <c r="BK900" s="26"/>
      <c r="BN900" s="26"/>
      <c r="BQ900" s="26"/>
      <c r="BT900" s="26"/>
    </row>
    <row r="901">
      <c r="I901" s="32"/>
      <c r="J901" s="26"/>
      <c r="K901" s="26"/>
      <c r="N901" s="26"/>
      <c r="O901" s="26"/>
      <c r="R901" s="26"/>
      <c r="S901" s="26"/>
      <c r="V901" s="26"/>
      <c r="W901" s="26"/>
      <c r="Z901" s="26"/>
      <c r="AA901" s="26"/>
      <c r="AD901" s="26"/>
      <c r="AG901" s="26"/>
      <c r="AJ901" s="26"/>
      <c r="AM901" s="26"/>
      <c r="AP901" s="26"/>
      <c r="AS901" s="26"/>
      <c r="AV901" s="26"/>
      <c r="AY901" s="26"/>
      <c r="BB901" s="26"/>
      <c r="BE901" s="26"/>
      <c r="BH901" s="26"/>
      <c r="BK901" s="26"/>
      <c r="BN901" s="26"/>
      <c r="BQ901" s="26"/>
      <c r="BT901" s="26"/>
    </row>
    <row r="902">
      <c r="I902" s="32"/>
      <c r="J902" s="26"/>
      <c r="K902" s="26"/>
      <c r="N902" s="26"/>
      <c r="O902" s="26"/>
      <c r="R902" s="26"/>
      <c r="S902" s="26"/>
      <c r="V902" s="26"/>
      <c r="W902" s="26"/>
      <c r="Z902" s="26"/>
      <c r="AA902" s="26"/>
      <c r="AD902" s="26"/>
      <c r="AG902" s="26"/>
      <c r="AJ902" s="26"/>
      <c r="AM902" s="26"/>
      <c r="AP902" s="26"/>
      <c r="AS902" s="26"/>
      <c r="AV902" s="26"/>
      <c r="AY902" s="26"/>
      <c r="BB902" s="26"/>
      <c r="BE902" s="26"/>
      <c r="BH902" s="26"/>
      <c r="BK902" s="26"/>
      <c r="BN902" s="26"/>
      <c r="BQ902" s="26"/>
      <c r="BT902" s="26"/>
    </row>
    <row r="903">
      <c r="I903" s="32"/>
      <c r="J903" s="26"/>
      <c r="K903" s="26"/>
      <c r="N903" s="26"/>
      <c r="O903" s="26"/>
      <c r="R903" s="26"/>
      <c r="S903" s="26"/>
      <c r="V903" s="26"/>
      <c r="W903" s="26"/>
      <c r="Z903" s="26"/>
      <c r="AA903" s="26"/>
      <c r="AD903" s="26"/>
      <c r="AG903" s="26"/>
      <c r="AJ903" s="26"/>
      <c r="AM903" s="26"/>
      <c r="AP903" s="26"/>
      <c r="AS903" s="26"/>
      <c r="AV903" s="26"/>
      <c r="AY903" s="26"/>
      <c r="BB903" s="26"/>
      <c r="BE903" s="26"/>
      <c r="BH903" s="26"/>
      <c r="BK903" s="26"/>
      <c r="BN903" s="26"/>
      <c r="BQ903" s="26"/>
      <c r="BT903" s="26"/>
    </row>
    <row r="904">
      <c r="I904" s="32"/>
      <c r="J904" s="26"/>
      <c r="K904" s="26"/>
      <c r="N904" s="26"/>
      <c r="O904" s="26"/>
      <c r="R904" s="26"/>
      <c r="S904" s="26"/>
      <c r="V904" s="26"/>
      <c r="W904" s="26"/>
      <c r="Z904" s="26"/>
      <c r="AA904" s="26"/>
      <c r="AD904" s="26"/>
      <c r="AG904" s="26"/>
      <c r="AJ904" s="26"/>
      <c r="AM904" s="26"/>
      <c r="AP904" s="26"/>
      <c r="AS904" s="26"/>
      <c r="AV904" s="26"/>
      <c r="AY904" s="26"/>
      <c r="BB904" s="26"/>
      <c r="BE904" s="26"/>
      <c r="BH904" s="26"/>
      <c r="BK904" s="26"/>
      <c r="BN904" s="26"/>
      <c r="BQ904" s="26"/>
      <c r="BT904" s="26"/>
    </row>
    <row r="905">
      <c r="I905" s="32"/>
      <c r="J905" s="26"/>
      <c r="K905" s="26"/>
      <c r="N905" s="26"/>
      <c r="O905" s="26"/>
      <c r="R905" s="26"/>
      <c r="S905" s="26"/>
      <c r="V905" s="26"/>
      <c r="W905" s="26"/>
      <c r="Z905" s="26"/>
      <c r="AA905" s="26"/>
      <c r="AD905" s="26"/>
      <c r="AG905" s="26"/>
      <c r="AJ905" s="26"/>
      <c r="AM905" s="26"/>
      <c r="AP905" s="26"/>
      <c r="AS905" s="26"/>
      <c r="AV905" s="26"/>
      <c r="AY905" s="26"/>
      <c r="BB905" s="26"/>
      <c r="BE905" s="26"/>
      <c r="BH905" s="26"/>
      <c r="BK905" s="26"/>
      <c r="BN905" s="26"/>
      <c r="BQ905" s="26"/>
      <c r="BT905" s="26"/>
    </row>
    <row r="906">
      <c r="I906" s="32"/>
      <c r="J906" s="26"/>
      <c r="K906" s="26"/>
      <c r="N906" s="26"/>
      <c r="O906" s="26"/>
      <c r="R906" s="26"/>
      <c r="S906" s="26"/>
      <c r="V906" s="26"/>
      <c r="W906" s="26"/>
      <c r="Z906" s="26"/>
      <c r="AA906" s="26"/>
      <c r="AD906" s="26"/>
      <c r="AG906" s="26"/>
      <c r="AJ906" s="26"/>
      <c r="AM906" s="26"/>
      <c r="AP906" s="26"/>
      <c r="AS906" s="26"/>
      <c r="AV906" s="26"/>
      <c r="AY906" s="26"/>
      <c r="BB906" s="26"/>
      <c r="BE906" s="26"/>
      <c r="BH906" s="26"/>
      <c r="BK906" s="26"/>
      <c r="BN906" s="26"/>
      <c r="BQ906" s="26"/>
      <c r="BT906" s="26"/>
    </row>
    <row r="907">
      <c r="I907" s="32"/>
      <c r="J907" s="26"/>
      <c r="K907" s="26"/>
      <c r="N907" s="26"/>
      <c r="O907" s="26"/>
      <c r="R907" s="26"/>
      <c r="S907" s="26"/>
      <c r="V907" s="26"/>
      <c r="W907" s="26"/>
      <c r="Z907" s="26"/>
      <c r="AA907" s="26"/>
      <c r="AD907" s="26"/>
      <c r="AG907" s="26"/>
      <c r="AJ907" s="26"/>
      <c r="AM907" s="26"/>
      <c r="AP907" s="26"/>
      <c r="AS907" s="26"/>
      <c r="AV907" s="26"/>
      <c r="AY907" s="26"/>
      <c r="BB907" s="26"/>
      <c r="BE907" s="26"/>
      <c r="BH907" s="26"/>
      <c r="BK907" s="26"/>
      <c r="BN907" s="26"/>
      <c r="BQ907" s="26"/>
      <c r="BT907" s="26"/>
    </row>
    <row r="908">
      <c r="I908" s="32"/>
      <c r="J908" s="26"/>
      <c r="K908" s="26"/>
      <c r="N908" s="26"/>
      <c r="O908" s="26"/>
      <c r="R908" s="26"/>
      <c r="S908" s="26"/>
      <c r="V908" s="26"/>
      <c r="W908" s="26"/>
      <c r="Z908" s="26"/>
      <c r="AA908" s="26"/>
      <c r="AD908" s="26"/>
      <c r="AG908" s="26"/>
      <c r="AJ908" s="26"/>
      <c r="AM908" s="26"/>
      <c r="AP908" s="26"/>
      <c r="AS908" s="26"/>
      <c r="AV908" s="26"/>
      <c r="AY908" s="26"/>
      <c r="BB908" s="26"/>
      <c r="BE908" s="26"/>
      <c r="BH908" s="26"/>
      <c r="BK908" s="26"/>
      <c r="BN908" s="26"/>
      <c r="BQ908" s="26"/>
      <c r="BT908" s="26"/>
    </row>
    <row r="909">
      <c r="I909" s="32"/>
      <c r="J909" s="26"/>
      <c r="K909" s="26"/>
      <c r="N909" s="26"/>
      <c r="O909" s="26"/>
      <c r="R909" s="26"/>
      <c r="S909" s="26"/>
      <c r="V909" s="26"/>
      <c r="W909" s="26"/>
      <c r="Z909" s="26"/>
      <c r="AA909" s="26"/>
      <c r="AD909" s="26"/>
      <c r="AG909" s="26"/>
      <c r="AJ909" s="26"/>
      <c r="AM909" s="26"/>
      <c r="AP909" s="26"/>
      <c r="AS909" s="26"/>
      <c r="AV909" s="26"/>
      <c r="AY909" s="26"/>
      <c r="BB909" s="26"/>
      <c r="BE909" s="26"/>
      <c r="BH909" s="26"/>
      <c r="BK909" s="26"/>
      <c r="BN909" s="26"/>
      <c r="BQ909" s="26"/>
      <c r="BT909" s="26"/>
    </row>
    <row r="910">
      <c r="I910" s="32"/>
      <c r="J910" s="26"/>
      <c r="K910" s="26"/>
      <c r="N910" s="26"/>
      <c r="O910" s="26"/>
      <c r="R910" s="26"/>
      <c r="S910" s="26"/>
      <c r="V910" s="26"/>
      <c r="W910" s="26"/>
      <c r="Z910" s="26"/>
      <c r="AA910" s="26"/>
      <c r="AD910" s="26"/>
      <c r="AG910" s="26"/>
      <c r="AJ910" s="26"/>
      <c r="AM910" s="26"/>
      <c r="AP910" s="26"/>
      <c r="AS910" s="26"/>
      <c r="AV910" s="26"/>
      <c r="AY910" s="26"/>
      <c r="BB910" s="26"/>
      <c r="BE910" s="26"/>
      <c r="BH910" s="26"/>
      <c r="BK910" s="26"/>
      <c r="BN910" s="26"/>
      <c r="BQ910" s="26"/>
      <c r="BT910" s="26"/>
    </row>
    <row r="911">
      <c r="I911" s="32"/>
      <c r="J911" s="26"/>
      <c r="K911" s="26"/>
      <c r="N911" s="26"/>
      <c r="O911" s="26"/>
      <c r="R911" s="26"/>
      <c r="S911" s="26"/>
      <c r="V911" s="26"/>
      <c r="W911" s="26"/>
      <c r="Z911" s="26"/>
      <c r="AA911" s="26"/>
      <c r="AD911" s="26"/>
      <c r="AG911" s="26"/>
      <c r="AJ911" s="26"/>
      <c r="AM911" s="26"/>
      <c r="AP911" s="26"/>
      <c r="AS911" s="26"/>
      <c r="AV911" s="26"/>
      <c r="AY911" s="26"/>
      <c r="BB911" s="26"/>
      <c r="BE911" s="26"/>
      <c r="BH911" s="26"/>
      <c r="BK911" s="26"/>
      <c r="BN911" s="26"/>
      <c r="BQ911" s="26"/>
      <c r="BT911" s="26"/>
    </row>
    <row r="912">
      <c r="I912" s="32"/>
      <c r="J912" s="26"/>
      <c r="K912" s="26"/>
      <c r="N912" s="26"/>
      <c r="O912" s="26"/>
      <c r="R912" s="26"/>
      <c r="S912" s="26"/>
      <c r="V912" s="26"/>
      <c r="W912" s="26"/>
      <c r="Z912" s="26"/>
      <c r="AA912" s="26"/>
      <c r="AD912" s="26"/>
      <c r="AG912" s="26"/>
      <c r="AJ912" s="26"/>
      <c r="AM912" s="26"/>
      <c r="AP912" s="26"/>
      <c r="AS912" s="26"/>
      <c r="AV912" s="26"/>
      <c r="AY912" s="26"/>
      <c r="BB912" s="26"/>
      <c r="BE912" s="26"/>
      <c r="BH912" s="26"/>
      <c r="BK912" s="26"/>
      <c r="BN912" s="26"/>
      <c r="BQ912" s="26"/>
      <c r="BT912" s="26"/>
    </row>
    <row r="913">
      <c r="I913" s="32"/>
      <c r="J913" s="26"/>
      <c r="K913" s="26"/>
      <c r="N913" s="26"/>
      <c r="O913" s="26"/>
      <c r="R913" s="26"/>
      <c r="S913" s="26"/>
      <c r="V913" s="26"/>
      <c r="W913" s="26"/>
      <c r="Z913" s="26"/>
      <c r="AA913" s="26"/>
      <c r="AD913" s="26"/>
      <c r="AG913" s="26"/>
      <c r="AJ913" s="26"/>
      <c r="AM913" s="26"/>
      <c r="AP913" s="26"/>
      <c r="AS913" s="26"/>
      <c r="AV913" s="26"/>
      <c r="AY913" s="26"/>
      <c r="BB913" s="26"/>
      <c r="BE913" s="26"/>
      <c r="BH913" s="26"/>
      <c r="BK913" s="26"/>
      <c r="BN913" s="26"/>
      <c r="BQ913" s="26"/>
      <c r="BT913" s="26"/>
    </row>
    <row r="914">
      <c r="I914" s="32"/>
      <c r="J914" s="26"/>
      <c r="K914" s="26"/>
      <c r="N914" s="26"/>
      <c r="O914" s="26"/>
      <c r="R914" s="26"/>
      <c r="S914" s="26"/>
      <c r="V914" s="26"/>
      <c r="W914" s="26"/>
      <c r="Z914" s="26"/>
      <c r="AA914" s="26"/>
      <c r="AD914" s="26"/>
      <c r="AG914" s="26"/>
      <c r="AJ914" s="26"/>
      <c r="AM914" s="26"/>
      <c r="AP914" s="26"/>
      <c r="AS914" s="26"/>
      <c r="AV914" s="26"/>
      <c r="AY914" s="26"/>
      <c r="BB914" s="26"/>
      <c r="BE914" s="26"/>
      <c r="BH914" s="26"/>
      <c r="BK914" s="26"/>
      <c r="BN914" s="26"/>
      <c r="BQ914" s="26"/>
      <c r="BT914" s="26"/>
    </row>
    <row r="915">
      <c r="I915" s="32"/>
      <c r="J915" s="26"/>
      <c r="K915" s="26"/>
      <c r="N915" s="26"/>
      <c r="O915" s="26"/>
      <c r="R915" s="26"/>
      <c r="S915" s="26"/>
      <c r="V915" s="26"/>
      <c r="W915" s="26"/>
      <c r="Z915" s="26"/>
      <c r="AA915" s="26"/>
      <c r="AD915" s="26"/>
      <c r="AG915" s="26"/>
      <c r="AJ915" s="26"/>
      <c r="AM915" s="26"/>
      <c r="AP915" s="26"/>
      <c r="AS915" s="26"/>
      <c r="AV915" s="26"/>
      <c r="AY915" s="26"/>
      <c r="BB915" s="26"/>
      <c r="BE915" s="26"/>
      <c r="BH915" s="26"/>
      <c r="BK915" s="26"/>
      <c r="BN915" s="26"/>
      <c r="BQ915" s="26"/>
      <c r="BT915" s="26"/>
    </row>
    <row r="916">
      <c r="I916" s="32"/>
      <c r="J916" s="26"/>
      <c r="K916" s="26"/>
      <c r="N916" s="26"/>
      <c r="O916" s="26"/>
      <c r="R916" s="26"/>
      <c r="S916" s="26"/>
      <c r="V916" s="26"/>
      <c r="W916" s="26"/>
      <c r="Z916" s="26"/>
      <c r="AA916" s="26"/>
      <c r="AD916" s="26"/>
      <c r="AG916" s="26"/>
      <c r="AJ916" s="26"/>
      <c r="AM916" s="26"/>
      <c r="AP916" s="26"/>
      <c r="AS916" s="26"/>
      <c r="AV916" s="26"/>
      <c r="AY916" s="26"/>
      <c r="BB916" s="26"/>
      <c r="BE916" s="26"/>
      <c r="BH916" s="26"/>
      <c r="BK916" s="26"/>
      <c r="BN916" s="26"/>
      <c r="BQ916" s="26"/>
      <c r="BT916" s="26"/>
    </row>
    <row r="917">
      <c r="I917" s="32"/>
      <c r="J917" s="26"/>
      <c r="K917" s="26"/>
      <c r="N917" s="26"/>
      <c r="O917" s="26"/>
      <c r="R917" s="26"/>
      <c r="S917" s="26"/>
      <c r="V917" s="26"/>
      <c r="W917" s="26"/>
      <c r="Z917" s="26"/>
      <c r="AA917" s="26"/>
      <c r="AD917" s="26"/>
      <c r="AG917" s="26"/>
      <c r="AJ917" s="26"/>
      <c r="AM917" s="26"/>
      <c r="AP917" s="26"/>
      <c r="AS917" s="26"/>
      <c r="AV917" s="26"/>
      <c r="AY917" s="26"/>
      <c r="BB917" s="26"/>
      <c r="BE917" s="26"/>
      <c r="BH917" s="26"/>
      <c r="BK917" s="26"/>
      <c r="BN917" s="26"/>
      <c r="BQ917" s="26"/>
      <c r="BT917" s="26"/>
    </row>
    <row r="918">
      <c r="I918" s="32"/>
      <c r="J918" s="26"/>
      <c r="K918" s="26"/>
      <c r="N918" s="26"/>
      <c r="O918" s="26"/>
      <c r="R918" s="26"/>
      <c r="S918" s="26"/>
      <c r="V918" s="26"/>
      <c r="W918" s="26"/>
      <c r="Z918" s="26"/>
      <c r="AA918" s="26"/>
      <c r="AD918" s="26"/>
      <c r="AG918" s="26"/>
      <c r="AJ918" s="26"/>
      <c r="AM918" s="26"/>
      <c r="AP918" s="26"/>
      <c r="AS918" s="26"/>
      <c r="AV918" s="26"/>
      <c r="AY918" s="26"/>
      <c r="BB918" s="26"/>
      <c r="BE918" s="26"/>
      <c r="BH918" s="26"/>
      <c r="BK918" s="26"/>
      <c r="BN918" s="26"/>
      <c r="BQ918" s="26"/>
      <c r="BT918" s="26"/>
    </row>
    <row r="919">
      <c r="I919" s="32"/>
      <c r="J919" s="26"/>
      <c r="K919" s="26"/>
      <c r="N919" s="26"/>
      <c r="O919" s="26"/>
      <c r="R919" s="26"/>
      <c r="S919" s="26"/>
      <c r="V919" s="26"/>
      <c r="W919" s="26"/>
      <c r="Z919" s="26"/>
      <c r="AA919" s="26"/>
      <c r="AD919" s="26"/>
      <c r="AG919" s="26"/>
      <c r="AJ919" s="26"/>
      <c r="AM919" s="26"/>
      <c r="AP919" s="26"/>
      <c r="AS919" s="26"/>
      <c r="AV919" s="26"/>
      <c r="AY919" s="26"/>
      <c r="BB919" s="26"/>
      <c r="BE919" s="26"/>
      <c r="BH919" s="26"/>
      <c r="BK919" s="26"/>
      <c r="BN919" s="26"/>
      <c r="BQ919" s="26"/>
      <c r="BT919" s="26"/>
    </row>
    <row r="920">
      <c r="I920" s="32"/>
      <c r="J920" s="26"/>
      <c r="K920" s="26"/>
      <c r="N920" s="26"/>
      <c r="O920" s="26"/>
      <c r="R920" s="26"/>
      <c r="S920" s="26"/>
      <c r="V920" s="26"/>
      <c r="W920" s="26"/>
      <c r="Z920" s="26"/>
      <c r="AA920" s="26"/>
      <c r="AD920" s="26"/>
      <c r="AG920" s="26"/>
      <c r="AJ920" s="26"/>
      <c r="AM920" s="26"/>
      <c r="AP920" s="26"/>
      <c r="AS920" s="26"/>
      <c r="AV920" s="26"/>
      <c r="AY920" s="26"/>
      <c r="BB920" s="26"/>
      <c r="BE920" s="26"/>
      <c r="BH920" s="26"/>
      <c r="BK920" s="26"/>
      <c r="BN920" s="26"/>
      <c r="BQ920" s="26"/>
      <c r="BT920" s="26"/>
    </row>
    <row r="921">
      <c r="I921" s="32"/>
      <c r="J921" s="26"/>
      <c r="K921" s="26"/>
      <c r="N921" s="26"/>
      <c r="O921" s="26"/>
      <c r="R921" s="26"/>
      <c r="S921" s="26"/>
      <c r="V921" s="26"/>
      <c r="W921" s="26"/>
      <c r="Z921" s="26"/>
      <c r="AA921" s="26"/>
      <c r="AD921" s="26"/>
      <c r="AG921" s="26"/>
      <c r="AJ921" s="26"/>
      <c r="AM921" s="26"/>
      <c r="AP921" s="26"/>
      <c r="AS921" s="26"/>
      <c r="AV921" s="26"/>
      <c r="AY921" s="26"/>
      <c r="BB921" s="26"/>
      <c r="BE921" s="26"/>
      <c r="BH921" s="26"/>
      <c r="BK921" s="26"/>
      <c r="BN921" s="26"/>
      <c r="BQ921" s="26"/>
      <c r="BT921" s="26"/>
    </row>
    <row r="922">
      <c r="I922" s="32"/>
      <c r="J922" s="26"/>
      <c r="K922" s="26"/>
      <c r="N922" s="26"/>
      <c r="O922" s="26"/>
      <c r="R922" s="26"/>
      <c r="S922" s="26"/>
      <c r="V922" s="26"/>
      <c r="W922" s="26"/>
      <c r="Z922" s="26"/>
      <c r="AA922" s="26"/>
      <c r="AD922" s="26"/>
      <c r="AG922" s="26"/>
      <c r="AJ922" s="26"/>
      <c r="AM922" s="26"/>
      <c r="AP922" s="26"/>
      <c r="AS922" s="26"/>
      <c r="AV922" s="26"/>
      <c r="AY922" s="26"/>
      <c r="BB922" s="26"/>
      <c r="BE922" s="26"/>
      <c r="BH922" s="26"/>
      <c r="BK922" s="26"/>
      <c r="BN922" s="26"/>
      <c r="BQ922" s="26"/>
      <c r="BT922" s="26"/>
    </row>
    <row r="923">
      <c r="I923" s="32"/>
      <c r="J923" s="26"/>
      <c r="K923" s="26"/>
      <c r="N923" s="26"/>
      <c r="O923" s="26"/>
      <c r="R923" s="26"/>
      <c r="S923" s="26"/>
      <c r="V923" s="26"/>
      <c r="W923" s="26"/>
      <c r="Z923" s="26"/>
      <c r="AA923" s="26"/>
      <c r="AD923" s="26"/>
      <c r="AG923" s="26"/>
      <c r="AJ923" s="26"/>
      <c r="AM923" s="26"/>
      <c r="AP923" s="26"/>
      <c r="AS923" s="26"/>
      <c r="AV923" s="26"/>
      <c r="AY923" s="26"/>
      <c r="BB923" s="26"/>
      <c r="BE923" s="26"/>
      <c r="BH923" s="26"/>
      <c r="BK923" s="26"/>
      <c r="BN923" s="26"/>
      <c r="BQ923" s="26"/>
      <c r="BT923" s="26"/>
    </row>
    <row r="924">
      <c r="I924" s="32"/>
      <c r="J924" s="26"/>
      <c r="K924" s="26"/>
      <c r="N924" s="26"/>
      <c r="O924" s="26"/>
      <c r="R924" s="26"/>
      <c r="S924" s="26"/>
      <c r="V924" s="26"/>
      <c r="W924" s="26"/>
      <c r="Z924" s="26"/>
      <c r="AA924" s="26"/>
      <c r="AD924" s="26"/>
      <c r="AG924" s="26"/>
      <c r="AJ924" s="26"/>
      <c r="AM924" s="26"/>
      <c r="AP924" s="26"/>
      <c r="AS924" s="26"/>
      <c r="AV924" s="26"/>
      <c r="AY924" s="26"/>
      <c r="BB924" s="26"/>
      <c r="BE924" s="26"/>
      <c r="BH924" s="26"/>
      <c r="BK924" s="26"/>
      <c r="BN924" s="26"/>
      <c r="BQ924" s="26"/>
      <c r="BT924" s="26"/>
    </row>
    <row r="925">
      <c r="I925" s="32"/>
      <c r="J925" s="26"/>
      <c r="K925" s="26"/>
      <c r="N925" s="26"/>
      <c r="O925" s="26"/>
      <c r="R925" s="26"/>
      <c r="S925" s="26"/>
      <c r="V925" s="26"/>
      <c r="W925" s="26"/>
      <c r="Z925" s="26"/>
      <c r="AA925" s="26"/>
      <c r="AD925" s="26"/>
      <c r="AG925" s="26"/>
      <c r="AJ925" s="26"/>
      <c r="AM925" s="26"/>
      <c r="AP925" s="26"/>
      <c r="AS925" s="26"/>
      <c r="AV925" s="26"/>
      <c r="AY925" s="26"/>
      <c r="BB925" s="26"/>
      <c r="BE925" s="26"/>
      <c r="BH925" s="26"/>
      <c r="BK925" s="26"/>
      <c r="BN925" s="26"/>
      <c r="BQ925" s="26"/>
      <c r="BT925" s="26"/>
    </row>
    <row r="926">
      <c r="I926" s="32"/>
      <c r="J926" s="26"/>
      <c r="K926" s="26"/>
      <c r="N926" s="26"/>
      <c r="O926" s="26"/>
      <c r="R926" s="26"/>
      <c r="S926" s="26"/>
      <c r="V926" s="26"/>
      <c r="W926" s="26"/>
      <c r="Z926" s="26"/>
      <c r="AA926" s="26"/>
      <c r="AD926" s="26"/>
      <c r="AG926" s="26"/>
      <c r="AJ926" s="26"/>
      <c r="AM926" s="26"/>
      <c r="AP926" s="26"/>
      <c r="AS926" s="26"/>
      <c r="AV926" s="26"/>
      <c r="AY926" s="26"/>
      <c r="BB926" s="26"/>
      <c r="BE926" s="26"/>
      <c r="BH926" s="26"/>
      <c r="BK926" s="26"/>
      <c r="BN926" s="26"/>
      <c r="BQ926" s="26"/>
      <c r="BT926" s="26"/>
    </row>
    <row r="927">
      <c r="I927" s="32"/>
      <c r="J927" s="26"/>
      <c r="K927" s="26"/>
      <c r="N927" s="26"/>
      <c r="O927" s="26"/>
      <c r="R927" s="26"/>
      <c r="S927" s="26"/>
      <c r="V927" s="26"/>
      <c r="W927" s="26"/>
      <c r="Z927" s="26"/>
      <c r="AA927" s="26"/>
      <c r="AD927" s="26"/>
      <c r="AG927" s="26"/>
      <c r="AJ927" s="26"/>
      <c r="AM927" s="26"/>
      <c r="AP927" s="26"/>
      <c r="AS927" s="26"/>
      <c r="AV927" s="26"/>
      <c r="AY927" s="26"/>
      <c r="BB927" s="26"/>
      <c r="BE927" s="26"/>
      <c r="BH927" s="26"/>
      <c r="BK927" s="26"/>
      <c r="BN927" s="26"/>
      <c r="BQ927" s="26"/>
      <c r="BT927" s="26"/>
    </row>
    <row r="928">
      <c r="I928" s="32"/>
      <c r="J928" s="26"/>
      <c r="K928" s="26"/>
      <c r="N928" s="26"/>
      <c r="O928" s="26"/>
      <c r="R928" s="26"/>
      <c r="S928" s="26"/>
      <c r="V928" s="26"/>
      <c r="W928" s="26"/>
      <c r="Z928" s="26"/>
      <c r="AA928" s="26"/>
      <c r="AD928" s="26"/>
      <c r="AG928" s="26"/>
      <c r="AJ928" s="26"/>
      <c r="AM928" s="26"/>
      <c r="AP928" s="26"/>
      <c r="AS928" s="26"/>
      <c r="AV928" s="26"/>
      <c r="AY928" s="26"/>
      <c r="BB928" s="26"/>
      <c r="BE928" s="26"/>
      <c r="BH928" s="26"/>
      <c r="BK928" s="26"/>
      <c r="BN928" s="26"/>
      <c r="BQ928" s="26"/>
      <c r="BT928" s="26"/>
    </row>
    <row r="929">
      <c r="I929" s="32"/>
      <c r="J929" s="26"/>
      <c r="K929" s="26"/>
      <c r="N929" s="26"/>
      <c r="O929" s="26"/>
      <c r="R929" s="26"/>
      <c r="S929" s="26"/>
      <c r="V929" s="26"/>
      <c r="W929" s="26"/>
      <c r="Z929" s="26"/>
      <c r="AA929" s="26"/>
      <c r="AD929" s="26"/>
      <c r="AG929" s="26"/>
      <c r="AJ929" s="26"/>
      <c r="AM929" s="26"/>
      <c r="AP929" s="26"/>
      <c r="AS929" s="26"/>
      <c r="AV929" s="26"/>
      <c r="AY929" s="26"/>
      <c r="BB929" s="26"/>
      <c r="BE929" s="26"/>
      <c r="BH929" s="26"/>
      <c r="BK929" s="26"/>
      <c r="BN929" s="26"/>
      <c r="BQ929" s="26"/>
      <c r="BT929" s="26"/>
    </row>
    <row r="930">
      <c r="I930" s="32"/>
      <c r="J930" s="26"/>
      <c r="K930" s="26"/>
      <c r="N930" s="26"/>
      <c r="O930" s="26"/>
      <c r="R930" s="26"/>
      <c r="S930" s="26"/>
      <c r="V930" s="26"/>
      <c r="W930" s="26"/>
      <c r="Z930" s="26"/>
      <c r="AA930" s="26"/>
      <c r="AD930" s="26"/>
      <c r="AG930" s="26"/>
      <c r="AJ930" s="26"/>
      <c r="AM930" s="26"/>
      <c r="AP930" s="26"/>
      <c r="AS930" s="26"/>
      <c r="AV930" s="26"/>
      <c r="AY930" s="26"/>
      <c r="BB930" s="26"/>
      <c r="BE930" s="26"/>
      <c r="BH930" s="26"/>
      <c r="BK930" s="26"/>
      <c r="BN930" s="26"/>
      <c r="BQ930" s="26"/>
      <c r="BT930" s="26"/>
    </row>
    <row r="931">
      <c r="I931" s="32"/>
      <c r="J931" s="26"/>
      <c r="K931" s="26"/>
      <c r="N931" s="26"/>
      <c r="O931" s="26"/>
      <c r="R931" s="26"/>
      <c r="S931" s="26"/>
      <c r="V931" s="26"/>
      <c r="W931" s="26"/>
      <c r="Z931" s="26"/>
      <c r="AA931" s="26"/>
      <c r="AD931" s="26"/>
      <c r="AG931" s="26"/>
      <c r="AJ931" s="26"/>
      <c r="AM931" s="26"/>
      <c r="AP931" s="26"/>
      <c r="AS931" s="26"/>
      <c r="AV931" s="26"/>
      <c r="AY931" s="26"/>
      <c r="BB931" s="26"/>
      <c r="BE931" s="26"/>
      <c r="BH931" s="26"/>
      <c r="BK931" s="26"/>
      <c r="BN931" s="26"/>
      <c r="BQ931" s="26"/>
      <c r="BT931" s="26"/>
    </row>
    <row r="932">
      <c r="I932" s="32"/>
      <c r="J932" s="26"/>
      <c r="K932" s="26"/>
      <c r="N932" s="26"/>
      <c r="O932" s="26"/>
      <c r="R932" s="26"/>
      <c r="S932" s="26"/>
      <c r="V932" s="26"/>
      <c r="W932" s="26"/>
      <c r="Z932" s="26"/>
      <c r="AA932" s="26"/>
      <c r="AD932" s="26"/>
      <c r="AG932" s="26"/>
      <c r="AJ932" s="26"/>
      <c r="AM932" s="26"/>
      <c r="AP932" s="26"/>
      <c r="AS932" s="26"/>
      <c r="AV932" s="26"/>
      <c r="AY932" s="26"/>
      <c r="BB932" s="26"/>
      <c r="BE932" s="26"/>
      <c r="BH932" s="26"/>
      <c r="BK932" s="26"/>
      <c r="BN932" s="26"/>
      <c r="BQ932" s="26"/>
      <c r="BT932" s="26"/>
    </row>
    <row r="933">
      <c r="I933" s="32"/>
      <c r="J933" s="26"/>
      <c r="K933" s="26"/>
      <c r="N933" s="26"/>
      <c r="O933" s="26"/>
      <c r="R933" s="26"/>
      <c r="S933" s="26"/>
      <c r="V933" s="26"/>
      <c r="W933" s="26"/>
      <c r="Z933" s="26"/>
      <c r="AA933" s="26"/>
      <c r="AD933" s="26"/>
      <c r="AG933" s="26"/>
      <c r="AJ933" s="26"/>
      <c r="AM933" s="26"/>
      <c r="AP933" s="26"/>
      <c r="AS933" s="26"/>
      <c r="AV933" s="26"/>
      <c r="AY933" s="26"/>
      <c r="BB933" s="26"/>
      <c r="BE933" s="26"/>
      <c r="BH933" s="26"/>
      <c r="BK933" s="26"/>
      <c r="BN933" s="26"/>
      <c r="BQ933" s="26"/>
      <c r="BT933" s="26"/>
    </row>
    <row r="934">
      <c r="I934" s="32"/>
      <c r="J934" s="26"/>
      <c r="K934" s="26"/>
      <c r="N934" s="26"/>
      <c r="O934" s="26"/>
      <c r="R934" s="26"/>
      <c r="S934" s="26"/>
      <c r="V934" s="26"/>
      <c r="W934" s="26"/>
      <c r="Z934" s="26"/>
      <c r="AA934" s="26"/>
      <c r="AD934" s="26"/>
      <c r="AG934" s="26"/>
      <c r="AJ934" s="26"/>
      <c r="AM934" s="26"/>
      <c r="AP934" s="26"/>
      <c r="AS934" s="26"/>
      <c r="AV934" s="26"/>
      <c r="AY934" s="26"/>
      <c r="BB934" s="26"/>
      <c r="BE934" s="26"/>
      <c r="BH934" s="26"/>
      <c r="BK934" s="26"/>
      <c r="BN934" s="26"/>
      <c r="BQ934" s="26"/>
      <c r="BT934" s="26"/>
    </row>
    <row r="935">
      <c r="I935" s="32"/>
      <c r="J935" s="26"/>
      <c r="K935" s="26"/>
      <c r="N935" s="26"/>
      <c r="O935" s="26"/>
      <c r="R935" s="26"/>
      <c r="S935" s="26"/>
      <c r="V935" s="26"/>
      <c r="W935" s="26"/>
      <c r="Z935" s="26"/>
      <c r="AA935" s="26"/>
      <c r="AD935" s="26"/>
      <c r="AG935" s="26"/>
      <c r="AJ935" s="26"/>
      <c r="AM935" s="26"/>
      <c r="AP935" s="26"/>
      <c r="AS935" s="26"/>
      <c r="AV935" s="26"/>
      <c r="AY935" s="26"/>
      <c r="BB935" s="26"/>
      <c r="BE935" s="26"/>
      <c r="BH935" s="26"/>
      <c r="BK935" s="26"/>
      <c r="BN935" s="26"/>
      <c r="BQ935" s="26"/>
      <c r="BT935" s="26"/>
    </row>
    <row r="936">
      <c r="I936" s="32"/>
      <c r="J936" s="26"/>
      <c r="K936" s="26"/>
      <c r="N936" s="26"/>
      <c r="O936" s="26"/>
      <c r="R936" s="26"/>
      <c r="S936" s="26"/>
      <c r="V936" s="26"/>
      <c r="W936" s="26"/>
      <c r="Z936" s="26"/>
      <c r="AA936" s="26"/>
      <c r="AD936" s="26"/>
      <c r="AG936" s="26"/>
      <c r="AJ936" s="26"/>
      <c r="AM936" s="26"/>
      <c r="AP936" s="26"/>
      <c r="AS936" s="26"/>
      <c r="AV936" s="26"/>
      <c r="AY936" s="26"/>
      <c r="BB936" s="26"/>
      <c r="BE936" s="26"/>
      <c r="BH936" s="26"/>
      <c r="BK936" s="26"/>
      <c r="BN936" s="26"/>
      <c r="BQ936" s="26"/>
      <c r="BT936" s="26"/>
    </row>
    <row r="937">
      <c r="I937" s="32"/>
      <c r="J937" s="26"/>
      <c r="K937" s="26"/>
      <c r="N937" s="26"/>
      <c r="O937" s="26"/>
      <c r="R937" s="26"/>
      <c r="S937" s="26"/>
      <c r="V937" s="26"/>
      <c r="W937" s="26"/>
      <c r="Z937" s="26"/>
      <c r="AA937" s="26"/>
      <c r="AD937" s="26"/>
      <c r="AG937" s="26"/>
      <c r="AJ937" s="26"/>
      <c r="AM937" s="26"/>
      <c r="AP937" s="26"/>
      <c r="AS937" s="26"/>
      <c r="AV937" s="26"/>
      <c r="AY937" s="26"/>
      <c r="BB937" s="26"/>
      <c r="BE937" s="26"/>
      <c r="BH937" s="26"/>
      <c r="BK937" s="26"/>
      <c r="BN937" s="26"/>
      <c r="BQ937" s="26"/>
      <c r="BT937" s="26"/>
    </row>
    <row r="938">
      <c r="I938" s="32"/>
      <c r="J938" s="26"/>
      <c r="K938" s="26"/>
      <c r="N938" s="26"/>
      <c r="O938" s="26"/>
      <c r="R938" s="26"/>
      <c r="S938" s="26"/>
      <c r="V938" s="26"/>
      <c r="W938" s="26"/>
      <c r="Z938" s="26"/>
      <c r="AA938" s="26"/>
      <c r="AD938" s="26"/>
      <c r="AG938" s="26"/>
      <c r="AJ938" s="26"/>
      <c r="AM938" s="26"/>
      <c r="AP938" s="26"/>
      <c r="AS938" s="26"/>
      <c r="AV938" s="26"/>
      <c r="AY938" s="26"/>
      <c r="BB938" s="26"/>
      <c r="BE938" s="26"/>
      <c r="BH938" s="26"/>
      <c r="BK938" s="26"/>
      <c r="BN938" s="26"/>
      <c r="BQ938" s="26"/>
      <c r="BT938" s="26"/>
    </row>
    <row r="939">
      <c r="I939" s="32"/>
      <c r="J939" s="26"/>
      <c r="K939" s="26"/>
      <c r="N939" s="26"/>
      <c r="O939" s="26"/>
      <c r="R939" s="26"/>
      <c r="S939" s="26"/>
      <c r="V939" s="26"/>
      <c r="W939" s="26"/>
      <c r="Z939" s="26"/>
      <c r="AA939" s="26"/>
      <c r="AD939" s="26"/>
      <c r="AG939" s="26"/>
      <c r="AJ939" s="26"/>
      <c r="AM939" s="26"/>
      <c r="AP939" s="26"/>
      <c r="AS939" s="26"/>
      <c r="AV939" s="26"/>
      <c r="AY939" s="26"/>
      <c r="BB939" s="26"/>
      <c r="BE939" s="26"/>
      <c r="BH939" s="26"/>
      <c r="BK939" s="26"/>
      <c r="BN939" s="26"/>
      <c r="BQ939" s="26"/>
      <c r="BT939" s="26"/>
    </row>
    <row r="940">
      <c r="I940" s="32"/>
      <c r="J940" s="26"/>
      <c r="K940" s="26"/>
      <c r="N940" s="26"/>
      <c r="O940" s="26"/>
      <c r="R940" s="26"/>
      <c r="S940" s="26"/>
      <c r="V940" s="26"/>
      <c r="W940" s="26"/>
      <c r="Z940" s="26"/>
      <c r="AA940" s="26"/>
      <c r="AD940" s="26"/>
      <c r="AG940" s="26"/>
      <c r="AJ940" s="26"/>
      <c r="AM940" s="26"/>
      <c r="AP940" s="26"/>
      <c r="AS940" s="26"/>
      <c r="AV940" s="26"/>
      <c r="AY940" s="26"/>
      <c r="BB940" s="26"/>
      <c r="BE940" s="26"/>
      <c r="BH940" s="26"/>
      <c r="BK940" s="26"/>
      <c r="BN940" s="26"/>
      <c r="BQ940" s="26"/>
      <c r="BT940" s="26"/>
    </row>
    <row r="941">
      <c r="I941" s="32"/>
      <c r="J941" s="26"/>
      <c r="K941" s="26"/>
      <c r="N941" s="26"/>
      <c r="O941" s="26"/>
      <c r="R941" s="26"/>
      <c r="S941" s="26"/>
      <c r="V941" s="26"/>
      <c r="W941" s="26"/>
      <c r="Z941" s="26"/>
      <c r="AA941" s="26"/>
      <c r="AD941" s="26"/>
      <c r="AG941" s="26"/>
      <c r="AJ941" s="26"/>
      <c r="AM941" s="26"/>
      <c r="AP941" s="26"/>
      <c r="AS941" s="26"/>
      <c r="AV941" s="26"/>
      <c r="AY941" s="26"/>
      <c r="BB941" s="26"/>
      <c r="BE941" s="26"/>
      <c r="BH941" s="26"/>
      <c r="BK941" s="26"/>
      <c r="BN941" s="26"/>
      <c r="BQ941" s="26"/>
      <c r="BT941" s="26"/>
    </row>
    <row r="942">
      <c r="I942" s="32"/>
      <c r="J942" s="26"/>
      <c r="K942" s="26"/>
      <c r="N942" s="26"/>
      <c r="O942" s="26"/>
      <c r="R942" s="26"/>
      <c r="S942" s="26"/>
      <c r="V942" s="26"/>
      <c r="W942" s="26"/>
      <c r="Z942" s="26"/>
      <c r="AA942" s="26"/>
      <c r="AD942" s="26"/>
      <c r="AG942" s="26"/>
      <c r="AJ942" s="26"/>
      <c r="AM942" s="26"/>
      <c r="AP942" s="26"/>
      <c r="AS942" s="26"/>
      <c r="AV942" s="26"/>
      <c r="AY942" s="26"/>
      <c r="BB942" s="26"/>
      <c r="BE942" s="26"/>
      <c r="BH942" s="26"/>
      <c r="BK942" s="26"/>
      <c r="BN942" s="26"/>
      <c r="BQ942" s="26"/>
      <c r="BT942" s="26"/>
    </row>
    <row r="943">
      <c r="I943" s="32"/>
      <c r="J943" s="26"/>
      <c r="K943" s="26"/>
      <c r="N943" s="26"/>
      <c r="O943" s="26"/>
      <c r="R943" s="26"/>
      <c r="S943" s="26"/>
      <c r="V943" s="26"/>
      <c r="W943" s="26"/>
      <c r="Z943" s="26"/>
      <c r="AA943" s="26"/>
      <c r="AD943" s="26"/>
      <c r="AG943" s="26"/>
      <c r="AJ943" s="26"/>
      <c r="AM943" s="26"/>
      <c r="AP943" s="26"/>
      <c r="AS943" s="26"/>
      <c r="AV943" s="26"/>
      <c r="AY943" s="26"/>
      <c r="BB943" s="26"/>
      <c r="BE943" s="26"/>
      <c r="BH943" s="26"/>
      <c r="BK943" s="26"/>
      <c r="BN943" s="26"/>
      <c r="BQ943" s="26"/>
      <c r="BT943" s="26"/>
    </row>
    <row r="944">
      <c r="I944" s="32"/>
      <c r="J944" s="26"/>
      <c r="K944" s="26"/>
      <c r="N944" s="26"/>
      <c r="O944" s="26"/>
      <c r="R944" s="26"/>
      <c r="S944" s="26"/>
      <c r="V944" s="26"/>
      <c r="W944" s="26"/>
      <c r="Z944" s="26"/>
      <c r="AA944" s="26"/>
      <c r="AD944" s="26"/>
      <c r="AG944" s="26"/>
      <c r="AJ944" s="26"/>
      <c r="AM944" s="26"/>
      <c r="AP944" s="26"/>
      <c r="AS944" s="26"/>
      <c r="AV944" s="26"/>
      <c r="AY944" s="26"/>
      <c r="BB944" s="26"/>
      <c r="BE944" s="26"/>
      <c r="BH944" s="26"/>
      <c r="BK944" s="26"/>
      <c r="BN944" s="26"/>
      <c r="BQ944" s="26"/>
      <c r="BT944" s="26"/>
    </row>
    <row r="945">
      <c r="I945" s="32"/>
      <c r="J945" s="26"/>
      <c r="K945" s="26"/>
      <c r="N945" s="26"/>
      <c r="O945" s="26"/>
      <c r="R945" s="26"/>
      <c r="S945" s="26"/>
      <c r="V945" s="26"/>
      <c r="W945" s="26"/>
      <c r="Z945" s="26"/>
      <c r="AA945" s="26"/>
      <c r="AD945" s="26"/>
      <c r="AG945" s="26"/>
      <c r="AJ945" s="26"/>
      <c r="AM945" s="26"/>
      <c r="AP945" s="26"/>
      <c r="AS945" s="26"/>
      <c r="AV945" s="26"/>
      <c r="AY945" s="26"/>
      <c r="BB945" s="26"/>
      <c r="BE945" s="26"/>
      <c r="BH945" s="26"/>
      <c r="BK945" s="26"/>
      <c r="BN945" s="26"/>
      <c r="BQ945" s="26"/>
      <c r="BT945" s="26"/>
    </row>
    <row r="946">
      <c r="I946" s="32"/>
      <c r="J946" s="26"/>
      <c r="K946" s="26"/>
      <c r="N946" s="26"/>
      <c r="O946" s="26"/>
      <c r="R946" s="26"/>
      <c r="S946" s="26"/>
      <c r="V946" s="26"/>
      <c r="W946" s="26"/>
      <c r="Z946" s="26"/>
      <c r="AA946" s="26"/>
      <c r="AD946" s="26"/>
      <c r="AG946" s="26"/>
      <c r="AJ946" s="26"/>
      <c r="AM946" s="26"/>
      <c r="AP946" s="26"/>
      <c r="AS946" s="26"/>
      <c r="AV946" s="26"/>
      <c r="AY946" s="26"/>
      <c r="BB946" s="26"/>
      <c r="BE946" s="26"/>
      <c r="BH946" s="26"/>
      <c r="BK946" s="26"/>
      <c r="BN946" s="26"/>
      <c r="BQ946" s="26"/>
      <c r="BT946" s="26"/>
    </row>
    <row r="947">
      <c r="I947" s="32"/>
      <c r="J947" s="26"/>
      <c r="K947" s="26"/>
      <c r="N947" s="26"/>
      <c r="O947" s="26"/>
      <c r="R947" s="26"/>
      <c r="S947" s="26"/>
      <c r="V947" s="26"/>
      <c r="W947" s="26"/>
      <c r="Z947" s="26"/>
      <c r="AA947" s="26"/>
      <c r="AD947" s="26"/>
      <c r="AG947" s="26"/>
      <c r="AJ947" s="26"/>
      <c r="AM947" s="26"/>
      <c r="AP947" s="26"/>
      <c r="AS947" s="26"/>
      <c r="AV947" s="26"/>
      <c r="AY947" s="26"/>
      <c r="BB947" s="26"/>
      <c r="BE947" s="26"/>
      <c r="BH947" s="26"/>
      <c r="BK947" s="26"/>
      <c r="BN947" s="26"/>
      <c r="BQ947" s="26"/>
      <c r="BT947" s="26"/>
    </row>
    <row r="948">
      <c r="I948" s="32"/>
      <c r="J948" s="26"/>
      <c r="K948" s="26"/>
      <c r="N948" s="26"/>
      <c r="O948" s="26"/>
      <c r="R948" s="26"/>
      <c r="S948" s="26"/>
      <c r="V948" s="26"/>
      <c r="W948" s="26"/>
      <c r="Z948" s="26"/>
      <c r="AA948" s="26"/>
      <c r="AD948" s="26"/>
      <c r="AG948" s="26"/>
      <c r="AJ948" s="26"/>
      <c r="AM948" s="26"/>
      <c r="AP948" s="26"/>
      <c r="AS948" s="26"/>
      <c r="AV948" s="26"/>
      <c r="AY948" s="26"/>
      <c r="BB948" s="26"/>
      <c r="BE948" s="26"/>
      <c r="BH948" s="26"/>
      <c r="BK948" s="26"/>
      <c r="BN948" s="26"/>
      <c r="BQ948" s="26"/>
      <c r="BT948" s="26"/>
    </row>
    <row r="949">
      <c r="I949" s="32"/>
      <c r="J949" s="26"/>
      <c r="K949" s="26"/>
      <c r="N949" s="26"/>
      <c r="O949" s="26"/>
      <c r="R949" s="26"/>
      <c r="S949" s="26"/>
      <c r="V949" s="26"/>
      <c r="W949" s="26"/>
      <c r="Z949" s="26"/>
      <c r="AA949" s="26"/>
      <c r="AD949" s="26"/>
      <c r="AG949" s="26"/>
      <c r="AJ949" s="26"/>
      <c r="AM949" s="26"/>
      <c r="AP949" s="26"/>
      <c r="AS949" s="26"/>
      <c r="AV949" s="26"/>
      <c r="AY949" s="26"/>
      <c r="BB949" s="26"/>
      <c r="BE949" s="26"/>
      <c r="BH949" s="26"/>
      <c r="BK949" s="26"/>
      <c r="BN949" s="26"/>
      <c r="BQ949" s="26"/>
      <c r="BT949" s="26"/>
    </row>
    <row r="950">
      <c r="I950" s="32"/>
      <c r="J950" s="26"/>
      <c r="K950" s="26"/>
      <c r="N950" s="26"/>
      <c r="O950" s="26"/>
      <c r="R950" s="26"/>
      <c r="S950" s="26"/>
      <c r="V950" s="26"/>
      <c r="W950" s="26"/>
      <c r="Z950" s="26"/>
      <c r="AA950" s="26"/>
      <c r="AD950" s="26"/>
      <c r="AG950" s="26"/>
      <c r="AJ950" s="26"/>
      <c r="AM950" s="26"/>
      <c r="AP950" s="26"/>
      <c r="AS950" s="26"/>
      <c r="AV950" s="26"/>
      <c r="AY950" s="26"/>
      <c r="BB950" s="26"/>
      <c r="BE950" s="26"/>
      <c r="BH950" s="26"/>
      <c r="BK950" s="26"/>
      <c r="BN950" s="26"/>
      <c r="BQ950" s="26"/>
      <c r="BT950" s="26"/>
    </row>
    <row r="951">
      <c r="I951" s="32"/>
      <c r="J951" s="26"/>
      <c r="K951" s="26"/>
      <c r="N951" s="26"/>
      <c r="O951" s="26"/>
      <c r="R951" s="26"/>
      <c r="S951" s="26"/>
      <c r="V951" s="26"/>
      <c r="W951" s="26"/>
      <c r="Z951" s="26"/>
      <c r="AA951" s="26"/>
      <c r="AD951" s="26"/>
      <c r="AG951" s="26"/>
      <c r="AJ951" s="26"/>
      <c r="AM951" s="26"/>
      <c r="AP951" s="26"/>
      <c r="AS951" s="26"/>
      <c r="AV951" s="26"/>
      <c r="AY951" s="26"/>
      <c r="BB951" s="26"/>
      <c r="BE951" s="26"/>
      <c r="BH951" s="26"/>
      <c r="BK951" s="26"/>
      <c r="BN951" s="26"/>
      <c r="BQ951" s="26"/>
      <c r="BT951" s="26"/>
    </row>
    <row r="952">
      <c r="I952" s="32"/>
      <c r="J952" s="26"/>
      <c r="K952" s="26"/>
      <c r="N952" s="26"/>
      <c r="O952" s="26"/>
      <c r="R952" s="26"/>
      <c r="S952" s="26"/>
      <c r="V952" s="26"/>
      <c r="W952" s="26"/>
      <c r="Z952" s="26"/>
      <c r="AA952" s="26"/>
      <c r="AD952" s="26"/>
      <c r="AG952" s="26"/>
      <c r="AJ952" s="26"/>
      <c r="AM952" s="26"/>
      <c r="AP952" s="26"/>
      <c r="AS952" s="26"/>
      <c r="AV952" s="26"/>
      <c r="AY952" s="26"/>
      <c r="BB952" s="26"/>
      <c r="BE952" s="26"/>
      <c r="BH952" s="26"/>
      <c r="BK952" s="26"/>
      <c r="BN952" s="26"/>
      <c r="BQ952" s="26"/>
      <c r="BT952" s="26"/>
    </row>
    <row r="953">
      <c r="I953" s="32"/>
      <c r="J953" s="26"/>
      <c r="K953" s="26"/>
      <c r="N953" s="26"/>
      <c r="O953" s="26"/>
      <c r="R953" s="26"/>
      <c r="S953" s="26"/>
      <c r="V953" s="26"/>
      <c r="W953" s="26"/>
      <c r="Z953" s="26"/>
      <c r="AA953" s="26"/>
      <c r="AD953" s="26"/>
      <c r="AG953" s="26"/>
      <c r="AJ953" s="26"/>
      <c r="AM953" s="26"/>
      <c r="AP953" s="26"/>
      <c r="AS953" s="26"/>
      <c r="AV953" s="26"/>
      <c r="AY953" s="26"/>
      <c r="BB953" s="26"/>
      <c r="BE953" s="26"/>
      <c r="BH953" s="26"/>
      <c r="BK953" s="26"/>
      <c r="BN953" s="26"/>
      <c r="BQ953" s="26"/>
      <c r="BT953" s="26"/>
    </row>
    <row r="954">
      <c r="I954" s="32"/>
      <c r="J954" s="26"/>
      <c r="K954" s="26"/>
      <c r="N954" s="26"/>
      <c r="O954" s="26"/>
      <c r="R954" s="26"/>
      <c r="S954" s="26"/>
      <c r="V954" s="26"/>
      <c r="W954" s="26"/>
      <c r="Z954" s="26"/>
      <c r="AA954" s="26"/>
      <c r="AD954" s="26"/>
      <c r="AG954" s="26"/>
      <c r="AJ954" s="26"/>
      <c r="AM954" s="26"/>
      <c r="AP954" s="26"/>
      <c r="AS954" s="26"/>
      <c r="AV954" s="26"/>
      <c r="AY954" s="26"/>
      <c r="BB954" s="26"/>
      <c r="BE954" s="26"/>
      <c r="BH954" s="26"/>
      <c r="BK954" s="26"/>
      <c r="BN954" s="26"/>
      <c r="BQ954" s="26"/>
      <c r="BT954" s="26"/>
    </row>
    <row r="955">
      <c r="I955" s="32"/>
      <c r="J955" s="26"/>
      <c r="K955" s="26"/>
      <c r="N955" s="26"/>
      <c r="O955" s="26"/>
      <c r="R955" s="26"/>
      <c r="S955" s="26"/>
      <c r="V955" s="26"/>
      <c r="W955" s="26"/>
      <c r="Z955" s="26"/>
      <c r="AA955" s="26"/>
      <c r="AD955" s="26"/>
      <c r="AG955" s="26"/>
      <c r="AJ955" s="26"/>
      <c r="AM955" s="26"/>
      <c r="AP955" s="26"/>
      <c r="AS955" s="26"/>
      <c r="AV955" s="26"/>
      <c r="AY955" s="26"/>
      <c r="BB955" s="26"/>
      <c r="BE955" s="26"/>
      <c r="BH955" s="26"/>
      <c r="BK955" s="26"/>
      <c r="BN955" s="26"/>
      <c r="BQ955" s="26"/>
      <c r="BT955" s="26"/>
    </row>
    <row r="956">
      <c r="I956" s="32"/>
      <c r="J956" s="26"/>
      <c r="K956" s="26"/>
      <c r="N956" s="26"/>
      <c r="O956" s="26"/>
      <c r="R956" s="26"/>
      <c r="S956" s="26"/>
      <c r="V956" s="26"/>
      <c r="W956" s="26"/>
      <c r="Z956" s="26"/>
      <c r="AA956" s="26"/>
      <c r="AD956" s="26"/>
      <c r="AG956" s="26"/>
      <c r="AJ956" s="26"/>
      <c r="AM956" s="26"/>
      <c r="AP956" s="26"/>
      <c r="AS956" s="26"/>
      <c r="AV956" s="26"/>
      <c r="AY956" s="26"/>
      <c r="BB956" s="26"/>
      <c r="BE956" s="26"/>
      <c r="BH956" s="26"/>
      <c r="BK956" s="26"/>
      <c r="BN956" s="26"/>
      <c r="BQ956" s="26"/>
      <c r="BT956" s="26"/>
    </row>
    <row r="957">
      <c r="I957" s="32"/>
      <c r="J957" s="26"/>
      <c r="K957" s="26"/>
      <c r="N957" s="26"/>
      <c r="O957" s="26"/>
      <c r="R957" s="26"/>
      <c r="S957" s="26"/>
      <c r="V957" s="26"/>
      <c r="W957" s="26"/>
      <c r="Z957" s="26"/>
      <c r="AA957" s="26"/>
      <c r="AD957" s="26"/>
      <c r="AG957" s="26"/>
      <c r="AJ957" s="26"/>
      <c r="AM957" s="26"/>
      <c r="AP957" s="26"/>
      <c r="AS957" s="26"/>
      <c r="AV957" s="26"/>
      <c r="AY957" s="26"/>
      <c r="BB957" s="26"/>
      <c r="BE957" s="26"/>
      <c r="BH957" s="26"/>
      <c r="BK957" s="26"/>
      <c r="BN957" s="26"/>
      <c r="BQ957" s="26"/>
      <c r="BT957" s="26"/>
    </row>
    <row r="958">
      <c r="I958" s="32"/>
      <c r="J958" s="26"/>
      <c r="K958" s="26"/>
      <c r="N958" s="26"/>
      <c r="O958" s="26"/>
      <c r="R958" s="26"/>
      <c r="S958" s="26"/>
      <c r="V958" s="26"/>
      <c r="W958" s="26"/>
      <c r="Z958" s="26"/>
      <c r="AA958" s="26"/>
      <c r="AD958" s="26"/>
      <c r="AG958" s="26"/>
      <c r="AJ958" s="26"/>
      <c r="AM958" s="26"/>
      <c r="AP958" s="26"/>
      <c r="AS958" s="26"/>
      <c r="AV958" s="26"/>
      <c r="AY958" s="26"/>
      <c r="BB958" s="26"/>
      <c r="BE958" s="26"/>
      <c r="BH958" s="26"/>
      <c r="BK958" s="26"/>
      <c r="BN958" s="26"/>
      <c r="BQ958" s="26"/>
      <c r="BT958" s="26"/>
    </row>
    <row r="959">
      <c r="I959" s="32"/>
      <c r="J959" s="26"/>
      <c r="K959" s="26"/>
      <c r="N959" s="26"/>
      <c r="O959" s="26"/>
      <c r="R959" s="26"/>
      <c r="S959" s="26"/>
      <c r="V959" s="26"/>
      <c r="W959" s="26"/>
      <c r="Z959" s="26"/>
      <c r="AA959" s="26"/>
      <c r="AD959" s="26"/>
      <c r="AG959" s="26"/>
      <c r="AJ959" s="26"/>
      <c r="AM959" s="26"/>
      <c r="AP959" s="26"/>
      <c r="AS959" s="26"/>
      <c r="AV959" s="26"/>
      <c r="AY959" s="26"/>
      <c r="BB959" s="26"/>
      <c r="BE959" s="26"/>
      <c r="BH959" s="26"/>
      <c r="BK959" s="26"/>
      <c r="BN959" s="26"/>
      <c r="BQ959" s="26"/>
      <c r="BT959" s="26"/>
    </row>
    <row r="960">
      <c r="I960" s="32"/>
      <c r="J960" s="26"/>
      <c r="K960" s="26"/>
      <c r="N960" s="26"/>
      <c r="O960" s="26"/>
      <c r="R960" s="26"/>
      <c r="S960" s="26"/>
      <c r="V960" s="26"/>
      <c r="W960" s="26"/>
      <c r="Z960" s="26"/>
      <c r="AA960" s="26"/>
      <c r="AD960" s="26"/>
      <c r="AG960" s="26"/>
      <c r="AJ960" s="26"/>
      <c r="AM960" s="26"/>
      <c r="AP960" s="26"/>
      <c r="AS960" s="26"/>
      <c r="AV960" s="26"/>
      <c r="AY960" s="26"/>
      <c r="BB960" s="26"/>
      <c r="BE960" s="26"/>
      <c r="BH960" s="26"/>
      <c r="BK960" s="26"/>
      <c r="BN960" s="26"/>
      <c r="BQ960" s="26"/>
      <c r="BT960" s="26"/>
    </row>
    <row r="961">
      <c r="I961" s="32"/>
      <c r="J961" s="26"/>
      <c r="K961" s="26"/>
      <c r="N961" s="26"/>
      <c r="O961" s="26"/>
      <c r="R961" s="26"/>
      <c r="S961" s="26"/>
      <c r="V961" s="26"/>
      <c r="W961" s="26"/>
      <c r="Z961" s="26"/>
      <c r="AA961" s="26"/>
      <c r="AD961" s="26"/>
      <c r="AG961" s="26"/>
      <c r="AJ961" s="26"/>
      <c r="AM961" s="26"/>
      <c r="AP961" s="26"/>
      <c r="AS961" s="26"/>
      <c r="AV961" s="26"/>
      <c r="AY961" s="26"/>
      <c r="BB961" s="26"/>
      <c r="BE961" s="26"/>
      <c r="BH961" s="26"/>
      <c r="BK961" s="26"/>
      <c r="BN961" s="26"/>
      <c r="BQ961" s="26"/>
      <c r="BT961" s="26"/>
    </row>
    <row r="962">
      <c r="I962" s="32"/>
      <c r="J962" s="26"/>
      <c r="K962" s="26"/>
      <c r="N962" s="26"/>
      <c r="O962" s="26"/>
      <c r="R962" s="26"/>
      <c r="S962" s="26"/>
      <c r="V962" s="26"/>
      <c r="W962" s="26"/>
      <c r="Z962" s="26"/>
      <c r="AA962" s="26"/>
      <c r="AD962" s="26"/>
      <c r="AG962" s="26"/>
      <c r="AJ962" s="26"/>
      <c r="AM962" s="26"/>
      <c r="AP962" s="26"/>
      <c r="AS962" s="26"/>
      <c r="AV962" s="26"/>
      <c r="AY962" s="26"/>
      <c r="BB962" s="26"/>
      <c r="BE962" s="26"/>
      <c r="BH962" s="26"/>
      <c r="BK962" s="26"/>
      <c r="BN962" s="26"/>
      <c r="BQ962" s="26"/>
      <c r="BT962" s="26"/>
    </row>
    <row r="963">
      <c r="I963" s="32"/>
      <c r="J963" s="26"/>
      <c r="K963" s="26"/>
      <c r="N963" s="26"/>
      <c r="O963" s="26"/>
      <c r="R963" s="26"/>
      <c r="S963" s="26"/>
      <c r="V963" s="26"/>
      <c r="W963" s="26"/>
      <c r="Z963" s="26"/>
      <c r="AA963" s="26"/>
      <c r="AD963" s="26"/>
      <c r="AG963" s="26"/>
      <c r="AJ963" s="26"/>
      <c r="AM963" s="26"/>
      <c r="AP963" s="26"/>
      <c r="AS963" s="26"/>
      <c r="AV963" s="26"/>
      <c r="AY963" s="26"/>
      <c r="BB963" s="26"/>
      <c r="BE963" s="26"/>
      <c r="BH963" s="26"/>
      <c r="BK963" s="26"/>
      <c r="BN963" s="26"/>
      <c r="BQ963" s="26"/>
      <c r="BT963" s="26"/>
    </row>
    <row r="964">
      <c r="I964" s="32"/>
      <c r="J964" s="26"/>
      <c r="K964" s="26"/>
      <c r="N964" s="26"/>
      <c r="O964" s="26"/>
      <c r="R964" s="26"/>
      <c r="S964" s="26"/>
      <c r="V964" s="26"/>
      <c r="W964" s="26"/>
      <c r="Z964" s="26"/>
      <c r="AA964" s="26"/>
      <c r="AD964" s="26"/>
      <c r="AG964" s="26"/>
      <c r="AJ964" s="26"/>
      <c r="AM964" s="26"/>
      <c r="AP964" s="26"/>
      <c r="AS964" s="26"/>
      <c r="AV964" s="26"/>
      <c r="AY964" s="26"/>
      <c r="BB964" s="26"/>
      <c r="BE964" s="26"/>
      <c r="BH964" s="26"/>
      <c r="BK964" s="26"/>
      <c r="BN964" s="26"/>
      <c r="BQ964" s="26"/>
      <c r="BT964" s="26"/>
    </row>
    <row r="965">
      <c r="I965" s="32"/>
      <c r="J965" s="26"/>
      <c r="K965" s="26"/>
      <c r="N965" s="26"/>
      <c r="O965" s="26"/>
      <c r="R965" s="26"/>
      <c r="S965" s="26"/>
      <c r="V965" s="26"/>
      <c r="W965" s="26"/>
      <c r="Z965" s="26"/>
      <c r="AA965" s="26"/>
      <c r="AD965" s="26"/>
      <c r="AG965" s="26"/>
      <c r="AJ965" s="26"/>
      <c r="AM965" s="26"/>
      <c r="AP965" s="26"/>
      <c r="AS965" s="26"/>
      <c r="AV965" s="26"/>
      <c r="AY965" s="26"/>
      <c r="BB965" s="26"/>
      <c r="BE965" s="26"/>
      <c r="BH965" s="26"/>
      <c r="BK965" s="26"/>
      <c r="BN965" s="26"/>
      <c r="BQ965" s="26"/>
      <c r="BT965" s="26"/>
    </row>
    <row r="966">
      <c r="I966" s="32"/>
      <c r="J966" s="26"/>
      <c r="K966" s="26"/>
      <c r="N966" s="26"/>
      <c r="O966" s="26"/>
      <c r="R966" s="26"/>
      <c r="S966" s="26"/>
      <c r="V966" s="26"/>
      <c r="W966" s="26"/>
      <c r="Z966" s="26"/>
      <c r="AA966" s="26"/>
      <c r="AD966" s="26"/>
      <c r="AG966" s="26"/>
      <c r="AJ966" s="26"/>
      <c r="AM966" s="26"/>
      <c r="AP966" s="26"/>
      <c r="AS966" s="26"/>
      <c r="AV966" s="26"/>
      <c r="AY966" s="26"/>
      <c r="BB966" s="26"/>
      <c r="BE966" s="26"/>
      <c r="BH966" s="26"/>
      <c r="BK966" s="26"/>
      <c r="BN966" s="26"/>
      <c r="BQ966" s="26"/>
      <c r="BT966" s="26"/>
    </row>
    <row r="967">
      <c r="I967" s="32"/>
      <c r="J967" s="26"/>
      <c r="K967" s="26"/>
      <c r="N967" s="26"/>
      <c r="O967" s="26"/>
      <c r="R967" s="26"/>
      <c r="S967" s="26"/>
      <c r="V967" s="26"/>
      <c r="W967" s="26"/>
      <c r="Z967" s="26"/>
      <c r="AA967" s="26"/>
      <c r="AD967" s="26"/>
      <c r="AG967" s="26"/>
      <c r="AJ967" s="26"/>
      <c r="AM967" s="26"/>
      <c r="AP967" s="26"/>
      <c r="AS967" s="26"/>
      <c r="AV967" s="26"/>
      <c r="AY967" s="26"/>
      <c r="BB967" s="26"/>
      <c r="BE967" s="26"/>
      <c r="BH967" s="26"/>
      <c r="BK967" s="26"/>
      <c r="BN967" s="26"/>
      <c r="BQ967" s="26"/>
      <c r="BT967" s="26"/>
    </row>
    <row r="968">
      <c r="I968" s="32"/>
      <c r="J968" s="26"/>
      <c r="K968" s="26"/>
      <c r="N968" s="26"/>
      <c r="O968" s="26"/>
      <c r="R968" s="26"/>
      <c r="S968" s="26"/>
      <c r="V968" s="26"/>
      <c r="W968" s="26"/>
      <c r="Z968" s="26"/>
      <c r="AA968" s="26"/>
      <c r="AD968" s="26"/>
      <c r="AG968" s="26"/>
      <c r="AJ968" s="26"/>
      <c r="AM968" s="26"/>
      <c r="AP968" s="26"/>
      <c r="AS968" s="26"/>
      <c r="AV968" s="26"/>
      <c r="AY968" s="26"/>
      <c r="BB968" s="26"/>
      <c r="BE968" s="26"/>
      <c r="BH968" s="26"/>
      <c r="BK968" s="26"/>
      <c r="BN968" s="26"/>
      <c r="BQ968" s="26"/>
      <c r="BT968" s="26"/>
    </row>
    <row r="969">
      <c r="I969" s="32"/>
      <c r="J969" s="26"/>
      <c r="K969" s="26"/>
      <c r="N969" s="26"/>
      <c r="O969" s="26"/>
      <c r="R969" s="26"/>
      <c r="S969" s="26"/>
      <c r="V969" s="26"/>
      <c r="W969" s="26"/>
      <c r="Z969" s="26"/>
      <c r="AA969" s="26"/>
      <c r="AD969" s="26"/>
      <c r="AG969" s="26"/>
      <c r="AJ969" s="26"/>
      <c r="AM969" s="26"/>
      <c r="AP969" s="26"/>
      <c r="AS969" s="26"/>
      <c r="AV969" s="26"/>
      <c r="AY969" s="26"/>
      <c r="BB969" s="26"/>
      <c r="BE969" s="26"/>
      <c r="BH969" s="26"/>
      <c r="BK969" s="26"/>
      <c r="BN969" s="26"/>
      <c r="BQ969" s="26"/>
      <c r="BT969" s="26"/>
    </row>
    <row r="970">
      <c r="I970" s="32"/>
      <c r="J970" s="26"/>
      <c r="K970" s="26"/>
      <c r="N970" s="26"/>
      <c r="O970" s="26"/>
      <c r="R970" s="26"/>
      <c r="S970" s="26"/>
      <c r="V970" s="26"/>
      <c r="W970" s="26"/>
      <c r="Z970" s="26"/>
      <c r="AA970" s="26"/>
      <c r="AD970" s="26"/>
      <c r="AG970" s="26"/>
      <c r="AJ970" s="26"/>
      <c r="AM970" s="26"/>
      <c r="AP970" s="26"/>
      <c r="AS970" s="26"/>
      <c r="AV970" s="26"/>
      <c r="AY970" s="26"/>
      <c r="BB970" s="26"/>
      <c r="BE970" s="26"/>
      <c r="BH970" s="26"/>
      <c r="BK970" s="26"/>
      <c r="BN970" s="26"/>
      <c r="BQ970" s="26"/>
      <c r="BT970" s="26"/>
    </row>
    <row r="971">
      <c r="I971" s="32"/>
      <c r="J971" s="26"/>
      <c r="K971" s="26"/>
      <c r="N971" s="26"/>
      <c r="O971" s="26"/>
      <c r="R971" s="26"/>
      <c r="S971" s="26"/>
      <c r="V971" s="26"/>
      <c r="W971" s="26"/>
      <c r="Z971" s="26"/>
      <c r="AA971" s="26"/>
      <c r="AD971" s="26"/>
      <c r="AG971" s="26"/>
      <c r="AJ971" s="26"/>
      <c r="AM971" s="26"/>
      <c r="AP971" s="26"/>
      <c r="AS971" s="26"/>
      <c r="AV971" s="26"/>
      <c r="AY971" s="26"/>
      <c r="BB971" s="26"/>
      <c r="BE971" s="26"/>
      <c r="BH971" s="26"/>
      <c r="BK971" s="26"/>
      <c r="BN971" s="26"/>
      <c r="BQ971" s="26"/>
      <c r="BT971" s="26"/>
    </row>
    <row r="972">
      <c r="I972" s="32"/>
      <c r="J972" s="26"/>
      <c r="K972" s="26"/>
      <c r="N972" s="26"/>
      <c r="O972" s="26"/>
      <c r="R972" s="26"/>
      <c r="S972" s="26"/>
      <c r="V972" s="26"/>
      <c r="W972" s="26"/>
      <c r="Z972" s="26"/>
      <c r="AA972" s="26"/>
      <c r="AD972" s="26"/>
      <c r="AG972" s="26"/>
      <c r="AJ972" s="26"/>
      <c r="AM972" s="26"/>
      <c r="AP972" s="26"/>
      <c r="AS972" s="26"/>
      <c r="AV972" s="26"/>
      <c r="AY972" s="26"/>
      <c r="BB972" s="26"/>
      <c r="BE972" s="26"/>
      <c r="BH972" s="26"/>
      <c r="BK972" s="26"/>
      <c r="BN972" s="26"/>
      <c r="BQ972" s="26"/>
      <c r="BT972" s="26"/>
    </row>
    <row r="973">
      <c r="I973" s="32"/>
      <c r="J973" s="26"/>
      <c r="K973" s="26"/>
      <c r="N973" s="26"/>
      <c r="O973" s="26"/>
      <c r="R973" s="26"/>
      <c r="S973" s="26"/>
      <c r="V973" s="26"/>
      <c r="W973" s="26"/>
      <c r="Z973" s="26"/>
      <c r="AA973" s="26"/>
      <c r="AD973" s="26"/>
      <c r="AG973" s="26"/>
      <c r="AJ973" s="26"/>
      <c r="AM973" s="26"/>
      <c r="AP973" s="26"/>
      <c r="AS973" s="26"/>
      <c r="AV973" s="26"/>
      <c r="AY973" s="26"/>
      <c r="BB973" s="26"/>
      <c r="BE973" s="26"/>
      <c r="BH973" s="26"/>
      <c r="BK973" s="26"/>
      <c r="BN973" s="26"/>
      <c r="BQ973" s="26"/>
      <c r="BT973" s="26"/>
    </row>
    <row r="974">
      <c r="I974" s="32"/>
      <c r="J974" s="26"/>
      <c r="K974" s="26"/>
      <c r="N974" s="26"/>
      <c r="O974" s="26"/>
      <c r="R974" s="26"/>
      <c r="S974" s="26"/>
      <c r="V974" s="26"/>
      <c r="W974" s="26"/>
      <c r="Z974" s="26"/>
      <c r="AA974" s="26"/>
      <c r="AD974" s="26"/>
      <c r="AG974" s="26"/>
      <c r="AJ974" s="26"/>
      <c r="AM974" s="26"/>
      <c r="AP974" s="26"/>
      <c r="AS974" s="26"/>
      <c r="AV974" s="26"/>
      <c r="AY974" s="26"/>
      <c r="BB974" s="26"/>
      <c r="BE974" s="26"/>
      <c r="BH974" s="26"/>
      <c r="BK974" s="26"/>
      <c r="BN974" s="26"/>
      <c r="BQ974" s="26"/>
      <c r="BT974" s="26"/>
    </row>
    <row r="975">
      <c r="I975" s="32"/>
      <c r="J975" s="26"/>
      <c r="K975" s="26"/>
      <c r="N975" s="26"/>
      <c r="O975" s="26"/>
      <c r="R975" s="26"/>
      <c r="S975" s="26"/>
      <c r="V975" s="26"/>
      <c r="W975" s="26"/>
      <c r="Z975" s="26"/>
      <c r="AA975" s="26"/>
      <c r="AD975" s="26"/>
      <c r="AG975" s="26"/>
      <c r="AJ975" s="26"/>
      <c r="AM975" s="26"/>
      <c r="AP975" s="26"/>
      <c r="AS975" s="26"/>
      <c r="AV975" s="26"/>
      <c r="AY975" s="26"/>
      <c r="BB975" s="26"/>
      <c r="BE975" s="26"/>
      <c r="BH975" s="26"/>
      <c r="BK975" s="26"/>
      <c r="BN975" s="26"/>
      <c r="BQ975" s="26"/>
      <c r="BT975" s="26"/>
    </row>
    <row r="976">
      <c r="I976" s="32"/>
      <c r="J976" s="26"/>
      <c r="K976" s="26"/>
      <c r="N976" s="26"/>
      <c r="O976" s="26"/>
      <c r="R976" s="26"/>
      <c r="S976" s="26"/>
      <c r="V976" s="26"/>
      <c r="W976" s="26"/>
      <c r="Z976" s="26"/>
      <c r="AA976" s="26"/>
      <c r="AD976" s="26"/>
      <c r="AG976" s="26"/>
      <c r="AJ976" s="26"/>
      <c r="AM976" s="26"/>
      <c r="AP976" s="26"/>
      <c r="AS976" s="26"/>
      <c r="AV976" s="26"/>
      <c r="AY976" s="26"/>
      <c r="BB976" s="26"/>
      <c r="BE976" s="26"/>
      <c r="BH976" s="26"/>
      <c r="BK976" s="26"/>
      <c r="BN976" s="26"/>
      <c r="BQ976" s="26"/>
      <c r="BT976" s="26"/>
    </row>
    <row r="977">
      <c r="I977" s="32"/>
      <c r="J977" s="26"/>
      <c r="K977" s="26"/>
      <c r="N977" s="26"/>
      <c r="O977" s="26"/>
      <c r="R977" s="26"/>
      <c r="S977" s="26"/>
      <c r="V977" s="26"/>
      <c r="W977" s="26"/>
      <c r="Z977" s="26"/>
      <c r="AA977" s="26"/>
      <c r="AD977" s="26"/>
      <c r="AG977" s="26"/>
      <c r="AJ977" s="26"/>
      <c r="AM977" s="26"/>
      <c r="AP977" s="26"/>
      <c r="AS977" s="26"/>
      <c r="AV977" s="26"/>
      <c r="AY977" s="26"/>
      <c r="BB977" s="26"/>
      <c r="BE977" s="26"/>
      <c r="BH977" s="26"/>
      <c r="BK977" s="26"/>
      <c r="BN977" s="26"/>
      <c r="BQ977" s="26"/>
      <c r="BT977" s="26"/>
    </row>
    <row r="978">
      <c r="I978" s="32"/>
      <c r="J978" s="26"/>
      <c r="K978" s="26"/>
      <c r="N978" s="26"/>
      <c r="O978" s="26"/>
      <c r="R978" s="26"/>
      <c r="S978" s="26"/>
      <c r="V978" s="26"/>
      <c r="W978" s="26"/>
      <c r="Z978" s="26"/>
      <c r="AA978" s="26"/>
      <c r="AD978" s="26"/>
      <c r="AG978" s="26"/>
      <c r="AJ978" s="26"/>
      <c r="AM978" s="26"/>
      <c r="AP978" s="26"/>
      <c r="AS978" s="26"/>
      <c r="AV978" s="26"/>
      <c r="AY978" s="26"/>
      <c r="BB978" s="26"/>
      <c r="BE978" s="26"/>
      <c r="BH978" s="26"/>
      <c r="BK978" s="26"/>
      <c r="BN978" s="26"/>
      <c r="BQ978" s="26"/>
      <c r="BT978" s="26"/>
    </row>
    <row r="979">
      <c r="I979" s="32"/>
      <c r="J979" s="26"/>
      <c r="K979" s="26"/>
      <c r="N979" s="26"/>
      <c r="O979" s="26"/>
      <c r="R979" s="26"/>
      <c r="S979" s="26"/>
      <c r="V979" s="26"/>
      <c r="W979" s="26"/>
      <c r="Z979" s="26"/>
      <c r="AA979" s="26"/>
      <c r="AD979" s="26"/>
      <c r="AG979" s="26"/>
      <c r="AJ979" s="26"/>
      <c r="AM979" s="26"/>
      <c r="AP979" s="26"/>
      <c r="AS979" s="26"/>
      <c r="AV979" s="26"/>
      <c r="AY979" s="26"/>
      <c r="BB979" s="26"/>
      <c r="BE979" s="26"/>
      <c r="BH979" s="26"/>
      <c r="BK979" s="26"/>
      <c r="BN979" s="26"/>
      <c r="BQ979" s="26"/>
      <c r="BT979" s="26"/>
    </row>
    <row r="980">
      <c r="I980" s="32"/>
      <c r="J980" s="26"/>
      <c r="K980" s="26"/>
      <c r="N980" s="26"/>
      <c r="O980" s="26"/>
      <c r="R980" s="26"/>
      <c r="S980" s="26"/>
      <c r="V980" s="26"/>
      <c r="W980" s="26"/>
      <c r="Z980" s="26"/>
      <c r="AA980" s="26"/>
      <c r="AD980" s="26"/>
      <c r="AG980" s="26"/>
      <c r="AJ980" s="26"/>
      <c r="AM980" s="26"/>
      <c r="AP980" s="26"/>
      <c r="AS980" s="26"/>
      <c r="AV980" s="26"/>
      <c r="AY980" s="26"/>
      <c r="BB980" s="26"/>
      <c r="BE980" s="26"/>
      <c r="BH980" s="26"/>
      <c r="BK980" s="26"/>
      <c r="BN980" s="26"/>
      <c r="BQ980" s="26"/>
      <c r="BT980" s="26"/>
    </row>
    <row r="981">
      <c r="I981" s="32"/>
      <c r="J981" s="26"/>
      <c r="K981" s="26"/>
      <c r="N981" s="26"/>
      <c r="O981" s="26"/>
      <c r="R981" s="26"/>
      <c r="S981" s="26"/>
      <c r="V981" s="26"/>
      <c r="W981" s="26"/>
      <c r="Z981" s="26"/>
      <c r="AA981" s="26"/>
      <c r="AD981" s="26"/>
      <c r="AG981" s="26"/>
      <c r="AJ981" s="26"/>
      <c r="AM981" s="26"/>
      <c r="AP981" s="26"/>
      <c r="AS981" s="26"/>
      <c r="AV981" s="26"/>
      <c r="AY981" s="26"/>
      <c r="BB981" s="26"/>
      <c r="BE981" s="26"/>
      <c r="BH981" s="26"/>
      <c r="BK981" s="26"/>
      <c r="BN981" s="26"/>
      <c r="BQ981" s="26"/>
      <c r="BT981" s="26"/>
    </row>
    <row r="982">
      <c r="I982" s="32"/>
      <c r="J982" s="26"/>
      <c r="K982" s="26"/>
      <c r="N982" s="26"/>
      <c r="O982" s="26"/>
      <c r="R982" s="26"/>
      <c r="S982" s="26"/>
      <c r="V982" s="26"/>
      <c r="W982" s="26"/>
      <c r="Z982" s="26"/>
      <c r="AA982" s="26"/>
      <c r="AD982" s="26"/>
      <c r="AG982" s="26"/>
      <c r="AJ982" s="26"/>
      <c r="AM982" s="26"/>
      <c r="AP982" s="26"/>
      <c r="AS982" s="26"/>
      <c r="AV982" s="26"/>
      <c r="AY982" s="26"/>
      <c r="BB982" s="26"/>
      <c r="BE982" s="26"/>
      <c r="BH982" s="26"/>
      <c r="BK982" s="26"/>
      <c r="BN982" s="26"/>
      <c r="BQ982" s="26"/>
      <c r="BT982" s="26"/>
    </row>
    <row r="983">
      <c r="I983" s="32"/>
      <c r="J983" s="26"/>
      <c r="K983" s="26"/>
      <c r="N983" s="26"/>
      <c r="O983" s="26"/>
      <c r="R983" s="26"/>
      <c r="S983" s="26"/>
      <c r="V983" s="26"/>
      <c r="W983" s="26"/>
      <c r="Z983" s="26"/>
      <c r="AA983" s="26"/>
      <c r="AD983" s="26"/>
      <c r="AG983" s="26"/>
      <c r="AJ983" s="26"/>
      <c r="AM983" s="26"/>
      <c r="AP983" s="26"/>
      <c r="AS983" s="26"/>
      <c r="AV983" s="26"/>
      <c r="AY983" s="26"/>
      <c r="BB983" s="26"/>
      <c r="BE983" s="26"/>
      <c r="BH983" s="26"/>
      <c r="BK983" s="26"/>
      <c r="BN983" s="26"/>
      <c r="BQ983" s="26"/>
      <c r="BT983" s="26"/>
    </row>
    <row r="984">
      <c r="I984" s="32"/>
      <c r="J984" s="26"/>
      <c r="K984" s="26"/>
      <c r="N984" s="26"/>
      <c r="O984" s="26"/>
      <c r="R984" s="26"/>
      <c r="S984" s="26"/>
      <c r="V984" s="26"/>
      <c r="W984" s="26"/>
      <c r="Z984" s="26"/>
      <c r="AA984" s="26"/>
      <c r="AD984" s="26"/>
      <c r="AG984" s="26"/>
      <c r="AJ984" s="26"/>
      <c r="AM984" s="26"/>
      <c r="AP984" s="26"/>
      <c r="AS984" s="26"/>
      <c r="AV984" s="26"/>
      <c r="AY984" s="26"/>
      <c r="BB984" s="26"/>
      <c r="BE984" s="26"/>
      <c r="BH984" s="26"/>
      <c r="BK984" s="26"/>
      <c r="BN984" s="26"/>
      <c r="BQ984" s="26"/>
      <c r="BT984" s="26"/>
    </row>
    <row r="985">
      <c r="I985" s="32"/>
      <c r="J985" s="26"/>
      <c r="K985" s="26"/>
      <c r="N985" s="26"/>
      <c r="O985" s="26"/>
      <c r="R985" s="26"/>
      <c r="S985" s="26"/>
      <c r="V985" s="26"/>
      <c r="W985" s="26"/>
      <c r="Z985" s="26"/>
      <c r="AA985" s="26"/>
      <c r="AD985" s="26"/>
      <c r="AG985" s="26"/>
      <c r="AJ985" s="26"/>
      <c r="AM985" s="26"/>
      <c r="AP985" s="26"/>
      <c r="AS985" s="26"/>
      <c r="AV985" s="26"/>
      <c r="AY985" s="26"/>
      <c r="BB985" s="26"/>
      <c r="BE985" s="26"/>
      <c r="BH985" s="26"/>
      <c r="BK985" s="26"/>
      <c r="BN985" s="26"/>
      <c r="BQ985" s="26"/>
      <c r="BT985" s="26"/>
    </row>
    <row r="986">
      <c r="I986" s="32"/>
      <c r="J986" s="26"/>
      <c r="K986" s="26"/>
      <c r="N986" s="26"/>
      <c r="O986" s="26"/>
      <c r="R986" s="26"/>
      <c r="S986" s="26"/>
      <c r="V986" s="26"/>
      <c r="W986" s="26"/>
      <c r="Z986" s="26"/>
      <c r="AA986" s="26"/>
      <c r="AD986" s="26"/>
      <c r="AG986" s="26"/>
      <c r="AJ986" s="26"/>
      <c r="AM986" s="26"/>
      <c r="AP986" s="26"/>
      <c r="AS986" s="26"/>
      <c r="AV986" s="26"/>
      <c r="AY986" s="26"/>
      <c r="BB986" s="26"/>
      <c r="BE986" s="26"/>
      <c r="BH986" s="26"/>
      <c r="BK986" s="26"/>
      <c r="BN986" s="26"/>
      <c r="BQ986" s="26"/>
      <c r="BT986" s="26"/>
    </row>
    <row r="987">
      <c r="I987" s="32"/>
      <c r="J987" s="26"/>
      <c r="K987" s="26"/>
      <c r="N987" s="26"/>
      <c r="O987" s="26"/>
      <c r="R987" s="26"/>
      <c r="S987" s="26"/>
      <c r="V987" s="26"/>
      <c r="W987" s="26"/>
      <c r="Z987" s="26"/>
      <c r="AA987" s="26"/>
      <c r="AD987" s="26"/>
      <c r="AG987" s="26"/>
      <c r="AJ987" s="26"/>
      <c r="AM987" s="26"/>
      <c r="AP987" s="26"/>
      <c r="AS987" s="26"/>
      <c r="AV987" s="26"/>
      <c r="AY987" s="26"/>
      <c r="BB987" s="26"/>
      <c r="BE987" s="26"/>
      <c r="BH987" s="26"/>
      <c r="BK987" s="26"/>
      <c r="BN987" s="26"/>
      <c r="BQ987" s="26"/>
      <c r="BT987" s="26"/>
    </row>
    <row r="988">
      <c r="I988" s="32"/>
      <c r="J988" s="26"/>
      <c r="K988" s="26"/>
      <c r="N988" s="26"/>
      <c r="O988" s="26"/>
      <c r="R988" s="26"/>
      <c r="S988" s="26"/>
      <c r="V988" s="26"/>
      <c r="W988" s="26"/>
      <c r="Z988" s="26"/>
      <c r="AA988" s="26"/>
      <c r="AD988" s="26"/>
      <c r="AG988" s="26"/>
      <c r="AJ988" s="26"/>
      <c r="AM988" s="26"/>
      <c r="AP988" s="26"/>
      <c r="AS988" s="26"/>
      <c r="AV988" s="26"/>
      <c r="AY988" s="26"/>
      <c r="BB988" s="26"/>
      <c r="BE988" s="26"/>
      <c r="BH988" s="26"/>
      <c r="BK988" s="26"/>
      <c r="BN988" s="26"/>
      <c r="BQ988" s="26"/>
      <c r="BT988" s="26"/>
    </row>
    <row r="989">
      <c r="I989" s="32"/>
      <c r="J989" s="26"/>
      <c r="K989" s="26"/>
      <c r="N989" s="26"/>
      <c r="O989" s="26"/>
      <c r="R989" s="26"/>
      <c r="S989" s="26"/>
      <c r="V989" s="26"/>
      <c r="W989" s="26"/>
      <c r="Z989" s="26"/>
      <c r="AA989" s="26"/>
      <c r="AD989" s="26"/>
      <c r="AG989" s="26"/>
      <c r="AJ989" s="26"/>
      <c r="AM989" s="26"/>
      <c r="AP989" s="26"/>
      <c r="AS989" s="26"/>
      <c r="AV989" s="26"/>
      <c r="AY989" s="26"/>
      <c r="BB989" s="26"/>
      <c r="BE989" s="26"/>
      <c r="BH989" s="26"/>
      <c r="BK989" s="26"/>
      <c r="BN989" s="26"/>
      <c r="BQ989" s="26"/>
      <c r="BT989" s="26"/>
    </row>
    <row r="990">
      <c r="I990" s="32"/>
      <c r="J990" s="26"/>
      <c r="K990" s="26"/>
      <c r="N990" s="26"/>
      <c r="O990" s="26"/>
      <c r="R990" s="26"/>
      <c r="S990" s="26"/>
      <c r="V990" s="26"/>
      <c r="W990" s="26"/>
      <c r="Z990" s="26"/>
      <c r="AA990" s="26"/>
      <c r="AD990" s="26"/>
      <c r="AG990" s="26"/>
      <c r="AJ990" s="26"/>
      <c r="AM990" s="26"/>
      <c r="AP990" s="26"/>
      <c r="AS990" s="26"/>
      <c r="AV990" s="26"/>
      <c r="AY990" s="26"/>
      <c r="BB990" s="26"/>
      <c r="BE990" s="26"/>
      <c r="BH990" s="26"/>
      <c r="BK990" s="26"/>
      <c r="BN990" s="26"/>
      <c r="BQ990" s="26"/>
      <c r="BT990" s="26"/>
    </row>
    <row r="991">
      <c r="I991" s="32"/>
      <c r="J991" s="26"/>
      <c r="K991" s="26"/>
      <c r="N991" s="26"/>
      <c r="O991" s="26"/>
      <c r="R991" s="26"/>
      <c r="S991" s="26"/>
      <c r="V991" s="26"/>
      <c r="W991" s="26"/>
      <c r="Z991" s="26"/>
      <c r="AA991" s="26"/>
      <c r="AD991" s="26"/>
      <c r="AG991" s="26"/>
      <c r="AJ991" s="26"/>
      <c r="AM991" s="26"/>
      <c r="AP991" s="26"/>
      <c r="AS991" s="26"/>
      <c r="AV991" s="26"/>
      <c r="AY991" s="26"/>
      <c r="BB991" s="26"/>
      <c r="BE991" s="26"/>
      <c r="BH991" s="26"/>
      <c r="BK991" s="26"/>
      <c r="BN991" s="26"/>
      <c r="BQ991" s="26"/>
      <c r="BT991" s="26"/>
    </row>
    <row r="992">
      <c r="I992" s="32"/>
      <c r="J992" s="26"/>
      <c r="K992" s="26"/>
      <c r="N992" s="26"/>
      <c r="O992" s="26"/>
      <c r="R992" s="26"/>
      <c r="S992" s="26"/>
      <c r="V992" s="26"/>
      <c r="W992" s="26"/>
      <c r="Z992" s="26"/>
      <c r="AA992" s="26"/>
      <c r="AD992" s="26"/>
      <c r="AG992" s="26"/>
      <c r="AJ992" s="26"/>
      <c r="AM992" s="26"/>
      <c r="AP992" s="26"/>
      <c r="AS992" s="26"/>
      <c r="AV992" s="26"/>
      <c r="AY992" s="26"/>
      <c r="BB992" s="26"/>
      <c r="BE992" s="26"/>
      <c r="BH992" s="26"/>
      <c r="BK992" s="26"/>
      <c r="BN992" s="26"/>
      <c r="BQ992" s="26"/>
      <c r="BT992" s="26"/>
    </row>
    <row r="993">
      <c r="I993" s="32"/>
      <c r="J993" s="26"/>
      <c r="K993" s="26"/>
      <c r="N993" s="26"/>
      <c r="O993" s="26"/>
      <c r="R993" s="26"/>
      <c r="S993" s="26"/>
      <c r="V993" s="26"/>
      <c r="W993" s="26"/>
      <c r="Z993" s="26"/>
      <c r="AA993" s="26"/>
      <c r="AD993" s="26"/>
      <c r="AG993" s="26"/>
      <c r="AJ993" s="26"/>
      <c r="AM993" s="26"/>
      <c r="AP993" s="26"/>
      <c r="AS993" s="26"/>
      <c r="AV993" s="26"/>
      <c r="AY993" s="26"/>
      <c r="BB993" s="26"/>
      <c r="BE993" s="26"/>
      <c r="BH993" s="26"/>
      <c r="BK993" s="26"/>
      <c r="BN993" s="26"/>
      <c r="BQ993" s="26"/>
      <c r="BT993" s="26"/>
    </row>
    <row r="994">
      <c r="I994" s="32"/>
      <c r="J994" s="26"/>
      <c r="K994" s="26"/>
      <c r="N994" s="26"/>
      <c r="O994" s="26"/>
      <c r="R994" s="26"/>
      <c r="S994" s="26"/>
      <c r="V994" s="26"/>
      <c r="W994" s="26"/>
      <c r="Z994" s="26"/>
      <c r="AA994" s="26"/>
      <c r="AD994" s="26"/>
      <c r="AG994" s="26"/>
      <c r="AJ994" s="26"/>
      <c r="AM994" s="26"/>
      <c r="AP994" s="26"/>
      <c r="AS994" s="26"/>
      <c r="AV994" s="26"/>
      <c r="AY994" s="26"/>
      <c r="BB994" s="26"/>
      <c r="BE994" s="26"/>
      <c r="BH994" s="26"/>
      <c r="BK994" s="26"/>
      <c r="BN994" s="26"/>
      <c r="BQ994" s="26"/>
      <c r="BT994" s="26"/>
    </row>
    <row r="995">
      <c r="I995" s="32"/>
      <c r="J995" s="26"/>
      <c r="K995" s="26"/>
      <c r="N995" s="26"/>
      <c r="O995" s="26"/>
      <c r="R995" s="26"/>
      <c r="S995" s="26"/>
      <c r="V995" s="26"/>
      <c r="W995" s="26"/>
      <c r="Z995" s="26"/>
      <c r="AA995" s="26"/>
      <c r="AD995" s="26"/>
      <c r="AG995" s="26"/>
      <c r="AJ995" s="26"/>
      <c r="AM995" s="26"/>
      <c r="AP995" s="26"/>
      <c r="AS995" s="26"/>
      <c r="AV995" s="26"/>
      <c r="AY995" s="26"/>
      <c r="BB995" s="26"/>
      <c r="BE995" s="26"/>
      <c r="BH995" s="26"/>
      <c r="BK995" s="26"/>
      <c r="BN995" s="26"/>
      <c r="BQ995" s="26"/>
      <c r="BT995" s="26"/>
    </row>
    <row r="996">
      <c r="I996" s="32"/>
      <c r="J996" s="26"/>
      <c r="K996" s="26"/>
      <c r="N996" s="26"/>
      <c r="O996" s="26"/>
      <c r="R996" s="26"/>
      <c r="S996" s="26"/>
      <c r="V996" s="26"/>
      <c r="W996" s="26"/>
      <c r="Z996" s="26"/>
      <c r="AA996" s="26"/>
      <c r="AD996" s="26"/>
      <c r="AG996" s="26"/>
      <c r="AJ996" s="26"/>
      <c r="AM996" s="26"/>
      <c r="AP996" s="26"/>
      <c r="AS996" s="26"/>
      <c r="AV996" s="26"/>
      <c r="AY996" s="26"/>
      <c r="BB996" s="26"/>
      <c r="BE996" s="26"/>
      <c r="BH996" s="26"/>
      <c r="BK996" s="26"/>
      <c r="BN996" s="26"/>
      <c r="BQ996" s="26"/>
      <c r="BT996" s="26"/>
    </row>
    <row r="997">
      <c r="I997" s="32"/>
      <c r="J997" s="26"/>
      <c r="K997" s="26"/>
      <c r="N997" s="26"/>
      <c r="O997" s="26"/>
      <c r="R997" s="26"/>
      <c r="S997" s="26"/>
      <c r="V997" s="26"/>
      <c r="W997" s="26"/>
      <c r="Z997" s="26"/>
      <c r="AA997" s="26"/>
      <c r="AD997" s="26"/>
      <c r="AG997" s="26"/>
      <c r="AJ997" s="26"/>
      <c r="AM997" s="26"/>
      <c r="AP997" s="26"/>
      <c r="AS997" s="26"/>
      <c r="AV997" s="26"/>
      <c r="AY997" s="26"/>
      <c r="BB997" s="26"/>
      <c r="BE997" s="26"/>
      <c r="BH997" s="26"/>
      <c r="BK997" s="26"/>
      <c r="BN997" s="26"/>
      <c r="BQ997" s="26"/>
      <c r="BT997" s="26"/>
    </row>
    <row r="998">
      <c r="I998" s="32"/>
      <c r="J998" s="26"/>
      <c r="K998" s="26"/>
      <c r="N998" s="26"/>
      <c r="O998" s="26"/>
      <c r="R998" s="26"/>
      <c r="S998" s="26"/>
      <c r="V998" s="26"/>
      <c r="W998" s="26"/>
      <c r="Z998" s="26"/>
      <c r="AA998" s="26"/>
      <c r="AD998" s="26"/>
      <c r="AG998" s="26"/>
      <c r="AJ998" s="26"/>
      <c r="AM998" s="26"/>
      <c r="AP998" s="26"/>
      <c r="AS998" s="26"/>
      <c r="AV998" s="26"/>
      <c r="AY998" s="26"/>
      <c r="BB998" s="26"/>
      <c r="BE998" s="26"/>
      <c r="BH998" s="26"/>
      <c r="BK998" s="26"/>
      <c r="BN998" s="26"/>
      <c r="BQ998" s="26"/>
      <c r="BT998" s="26"/>
    </row>
    <row r="999">
      <c r="I999" s="32"/>
      <c r="J999" s="26"/>
      <c r="K999" s="26"/>
      <c r="N999" s="26"/>
      <c r="O999" s="26"/>
      <c r="R999" s="26"/>
      <c r="S999" s="26"/>
      <c r="V999" s="26"/>
      <c r="W999" s="26"/>
      <c r="Z999" s="26"/>
      <c r="AA999" s="26"/>
      <c r="AD999" s="26"/>
      <c r="AG999" s="26"/>
      <c r="AJ999" s="26"/>
      <c r="AM999" s="26"/>
      <c r="AP999" s="26"/>
      <c r="AS999" s="26"/>
      <c r="AV999" s="26"/>
      <c r="AY999" s="26"/>
      <c r="BB999" s="26"/>
      <c r="BE999" s="26"/>
      <c r="BH999" s="26"/>
      <c r="BK999" s="26"/>
      <c r="BN999" s="26"/>
      <c r="BQ999" s="26"/>
      <c r="BT999" s="26"/>
    </row>
    <row r="1000">
      <c r="I1000" s="32"/>
      <c r="J1000" s="26"/>
      <c r="K1000" s="26"/>
      <c r="N1000" s="26"/>
      <c r="O1000" s="26"/>
      <c r="R1000" s="26"/>
      <c r="S1000" s="26"/>
      <c r="V1000" s="26"/>
      <c r="W1000" s="26"/>
      <c r="Z1000" s="26"/>
      <c r="AA1000" s="26"/>
      <c r="AD1000" s="26"/>
      <c r="AG1000" s="26"/>
      <c r="AJ1000" s="26"/>
      <c r="AM1000" s="26"/>
      <c r="AP1000" s="26"/>
      <c r="AS1000" s="26"/>
      <c r="AV1000" s="26"/>
      <c r="AY1000" s="26"/>
      <c r="BB1000" s="26"/>
      <c r="BE1000" s="26"/>
      <c r="BH1000" s="26"/>
      <c r="BK1000" s="26"/>
      <c r="BN1000" s="26"/>
      <c r="BQ1000" s="26"/>
      <c r="BT1000" s="26"/>
    </row>
    <row r="1001">
      <c r="I1001" s="32"/>
      <c r="J1001" s="26"/>
      <c r="K1001" s="26"/>
      <c r="N1001" s="26"/>
      <c r="O1001" s="26"/>
      <c r="R1001" s="26"/>
      <c r="S1001" s="26"/>
      <c r="V1001" s="26"/>
      <c r="W1001" s="26"/>
      <c r="Z1001" s="26"/>
      <c r="AA1001" s="26"/>
      <c r="AD1001" s="26"/>
      <c r="AG1001" s="26"/>
      <c r="AJ1001" s="26"/>
      <c r="AM1001" s="26"/>
      <c r="AP1001" s="26"/>
      <c r="AS1001" s="26"/>
      <c r="AV1001" s="26"/>
      <c r="AY1001" s="26"/>
      <c r="BB1001" s="26"/>
      <c r="BE1001" s="26"/>
      <c r="BH1001" s="26"/>
      <c r="BK1001" s="26"/>
      <c r="BN1001" s="26"/>
      <c r="BQ1001" s="26"/>
      <c r="BT1001" s="26"/>
    </row>
    <row r="1002">
      <c r="I1002" s="32"/>
      <c r="J1002" s="26"/>
      <c r="K1002" s="26"/>
      <c r="N1002" s="26"/>
      <c r="O1002" s="26"/>
      <c r="R1002" s="26"/>
      <c r="S1002" s="26"/>
      <c r="V1002" s="26"/>
      <c r="W1002" s="26"/>
      <c r="Z1002" s="26"/>
      <c r="AA1002" s="26"/>
      <c r="AD1002" s="26"/>
      <c r="AG1002" s="26"/>
      <c r="AJ1002" s="26"/>
      <c r="AM1002" s="26"/>
      <c r="AP1002" s="26"/>
      <c r="AS1002" s="26"/>
      <c r="AV1002" s="26"/>
      <c r="AY1002" s="26"/>
      <c r="BB1002" s="26"/>
      <c r="BE1002" s="26"/>
      <c r="BH1002" s="26"/>
      <c r="BK1002" s="26"/>
      <c r="BN1002" s="26"/>
      <c r="BQ1002" s="26"/>
      <c r="BT1002" s="26"/>
    </row>
    <row r="1003">
      <c r="I1003" s="32"/>
      <c r="J1003" s="26"/>
      <c r="K1003" s="26"/>
      <c r="N1003" s="26"/>
      <c r="O1003" s="26"/>
      <c r="R1003" s="26"/>
      <c r="S1003" s="26"/>
      <c r="V1003" s="26"/>
      <c r="W1003" s="26"/>
      <c r="Z1003" s="26"/>
      <c r="AA1003" s="26"/>
      <c r="AD1003" s="26"/>
      <c r="AG1003" s="26"/>
      <c r="AJ1003" s="26"/>
      <c r="AM1003" s="26"/>
      <c r="AP1003" s="26"/>
      <c r="AS1003" s="26"/>
      <c r="AV1003" s="26"/>
      <c r="AY1003" s="26"/>
      <c r="BB1003" s="26"/>
      <c r="BE1003" s="26"/>
      <c r="BH1003" s="26"/>
      <c r="BK1003" s="26"/>
      <c r="BN1003" s="26"/>
      <c r="BQ1003" s="26"/>
      <c r="BT1003" s="26"/>
    </row>
    <row r="1004">
      <c r="I1004" s="32"/>
      <c r="J1004" s="26"/>
      <c r="K1004" s="26"/>
      <c r="N1004" s="26"/>
      <c r="O1004" s="26"/>
      <c r="R1004" s="26"/>
      <c r="S1004" s="26"/>
      <c r="V1004" s="26"/>
      <c r="W1004" s="26"/>
      <c r="Z1004" s="26"/>
      <c r="AA1004" s="26"/>
      <c r="AD1004" s="26"/>
      <c r="AG1004" s="26"/>
      <c r="AJ1004" s="26"/>
      <c r="AM1004" s="26"/>
      <c r="AP1004" s="26"/>
      <c r="AS1004" s="26"/>
      <c r="AV1004" s="26"/>
      <c r="AY1004" s="26"/>
      <c r="BB1004" s="26"/>
      <c r="BE1004" s="26"/>
      <c r="BH1004" s="26"/>
      <c r="BK1004" s="26"/>
      <c r="BN1004" s="26"/>
      <c r="BQ1004" s="26"/>
      <c r="BT1004" s="2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21.421875"/>
    <col customWidth="1" min="2" max="2" width="2.8515625"/>
    <col customWidth="1" min="3" max="3" width="21.421875"/>
    <col customWidth="1" min="4" max="4" width="2.8515625"/>
    <col customWidth="1" min="5" max="5" width="17.57421875"/>
    <col customWidth="1" min="6" max="6" width="2.8515625"/>
    <col customWidth="1" min="7" max="7" width="21.421875"/>
    <col customWidth="1" min="8" max="8" width="2.8515625"/>
    <col customWidth="1" min="9" max="9" width="21.421875"/>
  </cols>
  <sheetData>
    <row r="1" s="70" customFormat="1">
      <c r="A1" s="70" t="s">
        <v>327</v>
      </c>
      <c r="B1" s="70"/>
      <c r="C1" s="70" t="s">
        <v>328</v>
      </c>
      <c r="E1" s="70" t="s">
        <v>329</v>
      </c>
      <c r="G1" s="70" t="s">
        <v>330</v>
      </c>
      <c r="I1" s="70" t="s">
        <v>331</v>
      </c>
    </row>
    <row r="2" ht="12.75">
      <c r="A2" t="s">
        <v>332</v>
      </c>
      <c r="C2" t="s">
        <v>150</v>
      </c>
      <c r="E2" t="s">
        <v>293</v>
      </c>
      <c r="G2" t="s">
        <v>333</v>
      </c>
      <c r="I2" t="s">
        <v>334</v>
      </c>
    </row>
    <row r="3" ht="12.75">
      <c r="A3" t="s">
        <v>335</v>
      </c>
      <c r="C3" t="s">
        <v>243</v>
      </c>
      <c r="E3" t="s">
        <v>166</v>
      </c>
      <c r="G3" t="s">
        <v>103</v>
      </c>
      <c r="I3" t="s">
        <v>336</v>
      </c>
    </row>
    <row r="4" ht="12.75">
      <c r="A4" t="s">
        <v>237</v>
      </c>
      <c r="C4" t="s">
        <v>303</v>
      </c>
      <c r="E4" t="s">
        <v>337</v>
      </c>
      <c r="G4" t="s">
        <v>338</v>
      </c>
      <c r="I4" t="s">
        <v>339</v>
      </c>
    </row>
    <row r="5" ht="12.75">
      <c r="A5" t="s">
        <v>233</v>
      </c>
      <c r="C5" t="s">
        <v>340</v>
      </c>
      <c r="E5" t="s">
        <v>341</v>
      </c>
      <c r="G5" t="s">
        <v>252</v>
      </c>
      <c r="I5" t="s">
        <v>342</v>
      </c>
    </row>
    <row r="6" ht="12.75">
      <c r="A6" t="s">
        <v>298</v>
      </c>
      <c r="C6" t="s">
        <v>343</v>
      </c>
      <c r="E6" t="s">
        <v>344</v>
      </c>
      <c r="I6" t="s">
        <v>345</v>
      </c>
    </row>
    <row r="7" ht="12.75">
      <c r="A7" t="s">
        <v>346</v>
      </c>
      <c r="C7" t="s">
        <v>347</v>
      </c>
    </row>
    <row r="8" ht="12.75">
      <c r="A8" t="s">
        <v>229</v>
      </c>
      <c r="C8" t="s">
        <v>169</v>
      </c>
    </row>
    <row r="9" ht="12.75">
      <c r="A9" t="s">
        <v>258</v>
      </c>
      <c r="C9" t="s">
        <v>348</v>
      </c>
    </row>
    <row r="10" ht="12.75">
      <c r="A10" t="s">
        <v>192</v>
      </c>
      <c r="C10" t="s">
        <v>349</v>
      </c>
    </row>
    <row r="11" ht="12.75">
      <c r="A11" t="s">
        <v>350</v>
      </c>
      <c r="C11" t="s">
        <v>351</v>
      </c>
    </row>
    <row r="12" ht="12.75">
      <c r="A12" t="s">
        <v>306</v>
      </c>
      <c r="C12" t="s">
        <v>352</v>
      </c>
    </row>
    <row r="13" ht="12.75">
      <c r="A13" t="s">
        <v>173</v>
      </c>
      <c r="C13" t="s">
        <v>322</v>
      </c>
    </row>
    <row r="14" ht="12.75">
      <c r="A14" t="s">
        <v>353</v>
      </c>
    </row>
    <row r="15" ht="12.75">
      <c r="A15" t="s">
        <v>178</v>
      </c>
    </row>
    <row r="16" ht="12.75">
      <c r="A16" t="s">
        <v>354</v>
      </c>
    </row>
    <row r="17" ht="12.75">
      <c r="A17" t="s">
        <v>355</v>
      </c>
    </row>
    <row r="18" ht="12.75">
      <c r="A18" t="s">
        <v>271</v>
      </c>
    </row>
    <row r="19" ht="12.75">
      <c r="A19" t="s">
        <v>136</v>
      </c>
    </row>
    <row r="20" ht="12.75">
      <c r="A20" t="s">
        <v>282</v>
      </c>
    </row>
    <row r="21" ht="12.75">
      <c r="A21" t="s">
        <v>356</v>
      </c>
    </row>
    <row r="22" ht="12.75">
      <c r="A22" t="s">
        <v>357</v>
      </c>
    </row>
    <row r="23" ht="12.75">
      <c r="A23" t="s">
        <v>200</v>
      </c>
    </row>
    <row r="24" ht="12.75">
      <c r="A24" t="s">
        <v>317</v>
      </c>
    </row>
    <row r="25" ht="12.75">
      <c r="A25" t="s">
        <v>358</v>
      </c>
    </row>
    <row r="26" ht="12.75">
      <c r="A26" t="s">
        <v>359</v>
      </c>
    </row>
    <row r="27" ht="12.75">
      <c r="A27" t="s">
        <v>360</v>
      </c>
    </row>
    <row r="28" ht="12.75">
      <c r="A28" t="s">
        <v>93</v>
      </c>
    </row>
    <row r="29" ht="12.75">
      <c r="A29" t="s">
        <v>112</v>
      </c>
    </row>
    <row r="30" ht="12.75">
      <c r="A30" t="s">
        <v>249</v>
      </c>
    </row>
    <row r="31" ht="12.75">
      <c r="A31" t="s">
        <v>124</v>
      </c>
    </row>
    <row r="32" ht="12.75">
      <c r="A32" t="s">
        <v>146</v>
      </c>
    </row>
    <row r="33" ht="12.75">
      <c r="A33" t="s">
        <v>265</v>
      </c>
    </row>
    <row r="34" ht="12.75">
      <c r="A34" t="s">
        <v>76</v>
      </c>
    </row>
    <row r="35" ht="12.75">
      <c r="A35" t="s">
        <v>174</v>
      </c>
    </row>
    <row r="36" ht="12.75">
      <c r="A36" t="s">
        <v>361</v>
      </c>
    </row>
    <row r="37" ht="12.75">
      <c r="A37" t="s">
        <v>278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6.75"/>
  </cols>
  <sheetData>
    <row r="1">
      <c r="A1" s="71" t="s">
        <v>362</v>
      </c>
      <c r="B1" s="71" t="s">
        <v>363</v>
      </c>
      <c r="C1" s="71" t="s">
        <v>364</v>
      </c>
      <c r="D1" s="71" t="s">
        <v>365</v>
      </c>
      <c r="I1" s="71" t="s">
        <v>366</v>
      </c>
      <c r="N1" s="72"/>
      <c r="O1" s="72"/>
      <c r="P1" s="72"/>
      <c r="Q1" s="72"/>
      <c r="R1" s="72"/>
      <c r="S1" s="72"/>
      <c r="T1" s="72"/>
      <c r="U1" s="72"/>
      <c r="V1" s="72"/>
      <c r="W1" s="72"/>
      <c r="X1" s="72"/>
      <c r="Y1" s="72"/>
      <c r="Z1" s="72"/>
    </row>
  </sheetData>
  <mergeCells count="2000">
    <mergeCell ref="I113:M113"/>
    <mergeCell ref="I114:M114"/>
    <mergeCell ref="I106:M106"/>
    <mergeCell ref="I107:M107"/>
    <mergeCell ref="I108:M108"/>
    <mergeCell ref="I109:M109"/>
    <mergeCell ref="I110:M110"/>
    <mergeCell ref="I111:M111"/>
    <mergeCell ref="I112:M112"/>
    <mergeCell ref="D88:H88"/>
    <mergeCell ref="I88:M88"/>
    <mergeCell ref="D89:H89"/>
    <mergeCell ref="I89:M89"/>
    <mergeCell ref="D90:H90"/>
    <mergeCell ref="I90:M90"/>
    <mergeCell ref="I91:M91"/>
    <mergeCell ref="D91:H91"/>
    <mergeCell ref="D92:H92"/>
    <mergeCell ref="D93:H93"/>
    <mergeCell ref="D94:H94"/>
    <mergeCell ref="D95:H95"/>
    <mergeCell ref="D96:H96"/>
    <mergeCell ref="D97:H97"/>
    <mergeCell ref="I92:M92"/>
    <mergeCell ref="I93:M93"/>
    <mergeCell ref="I94:M94"/>
    <mergeCell ref="I95:M95"/>
    <mergeCell ref="I96:M96"/>
    <mergeCell ref="I97:M97"/>
    <mergeCell ref="I98:M98"/>
    <mergeCell ref="D98:H98"/>
    <mergeCell ref="D99:H99"/>
    <mergeCell ref="D100:H100"/>
    <mergeCell ref="D101:H101"/>
    <mergeCell ref="D102:H102"/>
    <mergeCell ref="D103:H103"/>
    <mergeCell ref="D104:H104"/>
    <mergeCell ref="I99:M99"/>
    <mergeCell ref="I100:M100"/>
    <mergeCell ref="I101:M101"/>
    <mergeCell ref="I102:M102"/>
    <mergeCell ref="I103:M103"/>
    <mergeCell ref="I104:M104"/>
    <mergeCell ref="I105:M105"/>
    <mergeCell ref="D105:H105"/>
    <mergeCell ref="D106:H106"/>
    <mergeCell ref="D107:H107"/>
    <mergeCell ref="D108:H108"/>
    <mergeCell ref="D109:H109"/>
    <mergeCell ref="D110:H110"/>
    <mergeCell ref="D111:H111"/>
    <mergeCell ref="D112:H112"/>
    <mergeCell ref="D113:H113"/>
    <mergeCell ref="D114:H114"/>
    <mergeCell ref="D115:H115"/>
    <mergeCell ref="I115:M115"/>
    <mergeCell ref="D116:H116"/>
    <mergeCell ref="I116:M116"/>
    <mergeCell ref="I142:M142"/>
    <mergeCell ref="I143:M143"/>
    <mergeCell ref="I135:M135"/>
    <mergeCell ref="I136:M136"/>
    <mergeCell ref="I137:M137"/>
    <mergeCell ref="I138:M138"/>
    <mergeCell ref="I139:M139"/>
    <mergeCell ref="I140:M140"/>
    <mergeCell ref="I141:M141"/>
    <mergeCell ref="D117:H117"/>
    <mergeCell ref="I117:M117"/>
    <mergeCell ref="D118:H118"/>
    <mergeCell ref="I118:M118"/>
    <mergeCell ref="D119:H119"/>
    <mergeCell ref="I119:M119"/>
    <mergeCell ref="I120:M120"/>
    <mergeCell ref="D120:H120"/>
    <mergeCell ref="D121:H121"/>
    <mergeCell ref="D122:H122"/>
    <mergeCell ref="D123:H123"/>
    <mergeCell ref="D124:H124"/>
    <mergeCell ref="D125:H125"/>
    <mergeCell ref="D126:H126"/>
    <mergeCell ref="I121:M121"/>
    <mergeCell ref="I122:M122"/>
    <mergeCell ref="I123:M123"/>
    <mergeCell ref="I124:M124"/>
    <mergeCell ref="I125:M125"/>
    <mergeCell ref="I126:M126"/>
    <mergeCell ref="I127:M127"/>
    <mergeCell ref="D127:H127"/>
    <mergeCell ref="D128:H128"/>
    <mergeCell ref="D129:H129"/>
    <mergeCell ref="D130:H130"/>
    <mergeCell ref="D131:H131"/>
    <mergeCell ref="D132:H132"/>
    <mergeCell ref="D133:H133"/>
    <mergeCell ref="I128:M128"/>
    <mergeCell ref="I129:M129"/>
    <mergeCell ref="I130:M130"/>
    <mergeCell ref="I131:M131"/>
    <mergeCell ref="I132:M132"/>
    <mergeCell ref="I133:M133"/>
    <mergeCell ref="I134:M134"/>
    <mergeCell ref="D134:H134"/>
    <mergeCell ref="D135:H135"/>
    <mergeCell ref="D136:H136"/>
    <mergeCell ref="D137:H137"/>
    <mergeCell ref="D138:H138"/>
    <mergeCell ref="D139:H139"/>
    <mergeCell ref="D140:H140"/>
    <mergeCell ref="D141:H141"/>
    <mergeCell ref="D142:H142"/>
    <mergeCell ref="D143:H143"/>
    <mergeCell ref="D144:H144"/>
    <mergeCell ref="I144:M144"/>
    <mergeCell ref="D145:H145"/>
    <mergeCell ref="I145:M145"/>
    <mergeCell ref="I171:M171"/>
    <mergeCell ref="I172:M172"/>
    <mergeCell ref="I164:M164"/>
    <mergeCell ref="I165:M165"/>
    <mergeCell ref="I166:M166"/>
    <mergeCell ref="I167:M167"/>
    <mergeCell ref="I168:M168"/>
    <mergeCell ref="I169:M169"/>
    <mergeCell ref="I170:M170"/>
    <mergeCell ref="D146:H146"/>
    <mergeCell ref="I146:M146"/>
    <mergeCell ref="D147:H147"/>
    <mergeCell ref="I147:M147"/>
    <mergeCell ref="D148:H148"/>
    <mergeCell ref="I148:M148"/>
    <mergeCell ref="I149:M149"/>
    <mergeCell ref="D149:H149"/>
    <mergeCell ref="D150:H150"/>
    <mergeCell ref="D151:H151"/>
    <mergeCell ref="D152:H152"/>
    <mergeCell ref="D153:H153"/>
    <mergeCell ref="D154:H154"/>
    <mergeCell ref="D155:H155"/>
    <mergeCell ref="I150:M150"/>
    <mergeCell ref="I151:M151"/>
    <mergeCell ref="I152:M152"/>
    <mergeCell ref="I153:M153"/>
    <mergeCell ref="I154:M154"/>
    <mergeCell ref="I155:M155"/>
    <mergeCell ref="I156:M156"/>
    <mergeCell ref="D156:H156"/>
    <mergeCell ref="D157:H157"/>
    <mergeCell ref="D158:H158"/>
    <mergeCell ref="D159:H159"/>
    <mergeCell ref="D160:H160"/>
    <mergeCell ref="D161:H161"/>
    <mergeCell ref="D162:H162"/>
    <mergeCell ref="I157:M157"/>
    <mergeCell ref="I158:M158"/>
    <mergeCell ref="I159:M159"/>
    <mergeCell ref="I160:M160"/>
    <mergeCell ref="I161:M161"/>
    <mergeCell ref="I162:M162"/>
    <mergeCell ref="I163:M163"/>
    <mergeCell ref="D163:H163"/>
    <mergeCell ref="D164:H164"/>
    <mergeCell ref="D165:H165"/>
    <mergeCell ref="D166:H166"/>
    <mergeCell ref="D167:H167"/>
    <mergeCell ref="D168:H168"/>
    <mergeCell ref="D169:H169"/>
    <mergeCell ref="D170:H170"/>
    <mergeCell ref="D171:H171"/>
    <mergeCell ref="D172:H172"/>
    <mergeCell ref="D173:H173"/>
    <mergeCell ref="I173:M173"/>
    <mergeCell ref="D174:H174"/>
    <mergeCell ref="I174:M174"/>
    <mergeCell ref="I200:M200"/>
    <mergeCell ref="I201:M201"/>
    <mergeCell ref="I193:M193"/>
    <mergeCell ref="I194:M194"/>
    <mergeCell ref="I195:M195"/>
    <mergeCell ref="I196:M196"/>
    <mergeCell ref="I197:M197"/>
    <mergeCell ref="I198:M198"/>
    <mergeCell ref="I199:M199"/>
    <mergeCell ref="D175:H175"/>
    <mergeCell ref="I175:M175"/>
    <mergeCell ref="D176:H176"/>
    <mergeCell ref="I176:M176"/>
    <mergeCell ref="D177:H177"/>
    <mergeCell ref="I177:M177"/>
    <mergeCell ref="I178:M178"/>
    <mergeCell ref="D178:H178"/>
    <mergeCell ref="D179:H179"/>
    <mergeCell ref="D180:H180"/>
    <mergeCell ref="D181:H181"/>
    <mergeCell ref="D182:H182"/>
    <mergeCell ref="D183:H183"/>
    <mergeCell ref="D184:H184"/>
    <mergeCell ref="I179:M179"/>
    <mergeCell ref="I180:M180"/>
    <mergeCell ref="I181:M181"/>
    <mergeCell ref="I182:M182"/>
    <mergeCell ref="I183:M183"/>
    <mergeCell ref="I184:M184"/>
    <mergeCell ref="I185:M185"/>
    <mergeCell ref="D185:H185"/>
    <mergeCell ref="D186:H186"/>
    <mergeCell ref="D187:H187"/>
    <mergeCell ref="D188:H188"/>
    <mergeCell ref="D189:H189"/>
    <mergeCell ref="D190:H190"/>
    <mergeCell ref="D191:H191"/>
    <mergeCell ref="I186:M186"/>
    <mergeCell ref="I187:M187"/>
    <mergeCell ref="I188:M188"/>
    <mergeCell ref="I189:M189"/>
    <mergeCell ref="I190:M190"/>
    <mergeCell ref="I191:M191"/>
    <mergeCell ref="I192:M192"/>
    <mergeCell ref="D192:H192"/>
    <mergeCell ref="D193:H193"/>
    <mergeCell ref="D194:H194"/>
    <mergeCell ref="D195:H195"/>
    <mergeCell ref="D196:H196"/>
    <mergeCell ref="D197:H197"/>
    <mergeCell ref="D198:H198"/>
    <mergeCell ref="D199:H199"/>
    <mergeCell ref="D200:H200"/>
    <mergeCell ref="D201:H201"/>
    <mergeCell ref="D202:H202"/>
    <mergeCell ref="I202:M202"/>
    <mergeCell ref="D203:H203"/>
    <mergeCell ref="I203:M203"/>
    <mergeCell ref="I229:M229"/>
    <mergeCell ref="I230:M230"/>
    <mergeCell ref="I222:M222"/>
    <mergeCell ref="I223:M223"/>
    <mergeCell ref="I224:M224"/>
    <mergeCell ref="I225:M225"/>
    <mergeCell ref="I226:M226"/>
    <mergeCell ref="I227:M227"/>
    <mergeCell ref="I228:M228"/>
    <mergeCell ref="D204:H204"/>
    <mergeCell ref="I204:M204"/>
    <mergeCell ref="D205:H205"/>
    <mergeCell ref="I205:M205"/>
    <mergeCell ref="D206:H206"/>
    <mergeCell ref="I206:M206"/>
    <mergeCell ref="I207:M207"/>
    <mergeCell ref="D207:H207"/>
    <mergeCell ref="D208:H208"/>
    <mergeCell ref="D209:H209"/>
    <mergeCell ref="D210:H210"/>
    <mergeCell ref="D211:H211"/>
    <mergeCell ref="D212:H212"/>
    <mergeCell ref="D213:H213"/>
    <mergeCell ref="I208:M208"/>
    <mergeCell ref="I209:M209"/>
    <mergeCell ref="I210:M210"/>
    <mergeCell ref="I211:M211"/>
    <mergeCell ref="I212:M212"/>
    <mergeCell ref="I213:M213"/>
    <mergeCell ref="I214:M214"/>
    <mergeCell ref="D214:H214"/>
    <mergeCell ref="D215:H215"/>
    <mergeCell ref="D216:H216"/>
    <mergeCell ref="D217:H217"/>
    <mergeCell ref="D218:H218"/>
    <mergeCell ref="D219:H219"/>
    <mergeCell ref="D220:H220"/>
    <mergeCell ref="I215:M215"/>
    <mergeCell ref="I216:M216"/>
    <mergeCell ref="I217:M217"/>
    <mergeCell ref="I218:M218"/>
    <mergeCell ref="I219:M219"/>
    <mergeCell ref="I220:M220"/>
    <mergeCell ref="I221:M221"/>
    <mergeCell ref="D221:H221"/>
    <mergeCell ref="D222:H222"/>
    <mergeCell ref="D223:H223"/>
    <mergeCell ref="D224:H224"/>
    <mergeCell ref="D225:H225"/>
    <mergeCell ref="D226:H226"/>
    <mergeCell ref="D227:H227"/>
    <mergeCell ref="D228:H228"/>
    <mergeCell ref="D229:H229"/>
    <mergeCell ref="D230:H230"/>
    <mergeCell ref="D231:H231"/>
    <mergeCell ref="I231:M231"/>
    <mergeCell ref="D232:H232"/>
    <mergeCell ref="I232:M232"/>
    <mergeCell ref="I258:M258"/>
    <mergeCell ref="I259:M259"/>
    <mergeCell ref="I251:M251"/>
    <mergeCell ref="I252:M252"/>
    <mergeCell ref="I253:M253"/>
    <mergeCell ref="I254:M254"/>
    <mergeCell ref="I255:M255"/>
    <mergeCell ref="I256:M256"/>
    <mergeCell ref="I257:M257"/>
    <mergeCell ref="D233:H233"/>
    <mergeCell ref="I233:M233"/>
    <mergeCell ref="D234:H234"/>
    <mergeCell ref="I234:M234"/>
    <mergeCell ref="D235:H235"/>
    <mergeCell ref="I235:M235"/>
    <mergeCell ref="I236:M236"/>
    <mergeCell ref="D236:H236"/>
    <mergeCell ref="D237:H237"/>
    <mergeCell ref="D238:H238"/>
    <mergeCell ref="D239:H239"/>
    <mergeCell ref="D240:H240"/>
    <mergeCell ref="D241:H241"/>
    <mergeCell ref="D242:H242"/>
    <mergeCell ref="I237:M237"/>
    <mergeCell ref="I238:M238"/>
    <mergeCell ref="I239:M239"/>
    <mergeCell ref="I240:M240"/>
    <mergeCell ref="I241:M241"/>
    <mergeCell ref="I242:M242"/>
    <mergeCell ref="I243:M243"/>
    <mergeCell ref="D243:H243"/>
    <mergeCell ref="D244:H244"/>
    <mergeCell ref="D245:H245"/>
    <mergeCell ref="D246:H246"/>
    <mergeCell ref="D247:H247"/>
    <mergeCell ref="D248:H248"/>
    <mergeCell ref="D249:H249"/>
    <mergeCell ref="I244:M244"/>
    <mergeCell ref="I245:M245"/>
    <mergeCell ref="I246:M246"/>
    <mergeCell ref="I247:M247"/>
    <mergeCell ref="I248:M248"/>
    <mergeCell ref="I249:M249"/>
    <mergeCell ref="I250:M250"/>
    <mergeCell ref="D250:H250"/>
    <mergeCell ref="D251:H251"/>
    <mergeCell ref="D252:H252"/>
    <mergeCell ref="D253:H253"/>
    <mergeCell ref="D254:H254"/>
    <mergeCell ref="D255:H255"/>
    <mergeCell ref="D256:H256"/>
    <mergeCell ref="D257:H257"/>
    <mergeCell ref="D258:H258"/>
    <mergeCell ref="D259:H259"/>
    <mergeCell ref="D260:H260"/>
    <mergeCell ref="I260:M260"/>
    <mergeCell ref="D261:H261"/>
    <mergeCell ref="I261:M261"/>
    <mergeCell ref="I287:M287"/>
    <mergeCell ref="I288:M288"/>
    <mergeCell ref="I280:M280"/>
    <mergeCell ref="I281:M281"/>
    <mergeCell ref="I282:M282"/>
    <mergeCell ref="I283:M283"/>
    <mergeCell ref="I284:M284"/>
    <mergeCell ref="I285:M285"/>
    <mergeCell ref="I286:M286"/>
    <mergeCell ref="D262:H262"/>
    <mergeCell ref="I262:M262"/>
    <mergeCell ref="D263:H263"/>
    <mergeCell ref="I263:M263"/>
    <mergeCell ref="D264:H264"/>
    <mergeCell ref="I264:M264"/>
    <mergeCell ref="I265:M265"/>
    <mergeCell ref="D265:H265"/>
    <mergeCell ref="D266:H266"/>
    <mergeCell ref="D267:H267"/>
    <mergeCell ref="D268:H268"/>
    <mergeCell ref="D269:H269"/>
    <mergeCell ref="D270:H270"/>
    <mergeCell ref="D271:H271"/>
    <mergeCell ref="I266:M266"/>
    <mergeCell ref="I267:M267"/>
    <mergeCell ref="I268:M268"/>
    <mergeCell ref="I269:M269"/>
    <mergeCell ref="I270:M270"/>
    <mergeCell ref="I271:M271"/>
    <mergeCell ref="I272:M272"/>
    <mergeCell ref="D272:H272"/>
    <mergeCell ref="D273:H273"/>
    <mergeCell ref="D274:H274"/>
    <mergeCell ref="D275:H275"/>
    <mergeCell ref="D276:H276"/>
    <mergeCell ref="D277:H277"/>
    <mergeCell ref="D278:H278"/>
    <mergeCell ref="I273:M273"/>
    <mergeCell ref="I274:M274"/>
    <mergeCell ref="I275:M275"/>
    <mergeCell ref="I276:M276"/>
    <mergeCell ref="I277:M277"/>
    <mergeCell ref="I278:M278"/>
    <mergeCell ref="I279:M279"/>
    <mergeCell ref="D279:H279"/>
    <mergeCell ref="D280:H280"/>
    <mergeCell ref="D281:H281"/>
    <mergeCell ref="D282:H282"/>
    <mergeCell ref="D283:H283"/>
    <mergeCell ref="D284:H284"/>
    <mergeCell ref="D285:H285"/>
    <mergeCell ref="D286:H286"/>
    <mergeCell ref="D287:H287"/>
    <mergeCell ref="D288:H288"/>
    <mergeCell ref="D289:H289"/>
    <mergeCell ref="I289:M289"/>
    <mergeCell ref="D290:H290"/>
    <mergeCell ref="I290:M290"/>
    <mergeCell ref="I316:M316"/>
    <mergeCell ref="I317:M317"/>
    <mergeCell ref="I309:M309"/>
    <mergeCell ref="I310:M310"/>
    <mergeCell ref="I311:M311"/>
    <mergeCell ref="I312:M312"/>
    <mergeCell ref="I313:M313"/>
    <mergeCell ref="I314:M314"/>
    <mergeCell ref="I315:M315"/>
    <mergeCell ref="D291:H291"/>
    <mergeCell ref="I291:M291"/>
    <mergeCell ref="D292:H292"/>
    <mergeCell ref="I292:M292"/>
    <mergeCell ref="D293:H293"/>
    <mergeCell ref="I293:M293"/>
    <mergeCell ref="I294:M294"/>
    <mergeCell ref="D294:H294"/>
    <mergeCell ref="D295:H295"/>
    <mergeCell ref="D296:H296"/>
    <mergeCell ref="D297:H297"/>
    <mergeCell ref="D298:H298"/>
    <mergeCell ref="D299:H299"/>
    <mergeCell ref="D300:H300"/>
    <mergeCell ref="I295:M295"/>
    <mergeCell ref="I296:M296"/>
    <mergeCell ref="I297:M297"/>
    <mergeCell ref="I298:M298"/>
    <mergeCell ref="I299:M299"/>
    <mergeCell ref="I300:M300"/>
    <mergeCell ref="I301:M301"/>
    <mergeCell ref="D301:H301"/>
    <mergeCell ref="D302:H302"/>
    <mergeCell ref="D303:H303"/>
    <mergeCell ref="D304:H304"/>
    <mergeCell ref="D305:H305"/>
    <mergeCell ref="D306:H306"/>
    <mergeCell ref="D307:H307"/>
    <mergeCell ref="I302:M302"/>
    <mergeCell ref="I303:M303"/>
    <mergeCell ref="I304:M304"/>
    <mergeCell ref="I305:M305"/>
    <mergeCell ref="I306:M306"/>
    <mergeCell ref="I307:M307"/>
    <mergeCell ref="I308:M308"/>
    <mergeCell ref="D308:H308"/>
    <mergeCell ref="D309:H309"/>
    <mergeCell ref="D310:H310"/>
    <mergeCell ref="D311:H311"/>
    <mergeCell ref="D312:H312"/>
    <mergeCell ref="D313:H313"/>
    <mergeCell ref="D314:H314"/>
    <mergeCell ref="D315:H315"/>
    <mergeCell ref="D316:H316"/>
    <mergeCell ref="D317:H317"/>
    <mergeCell ref="D318:H318"/>
    <mergeCell ref="I318:M318"/>
    <mergeCell ref="D319:H319"/>
    <mergeCell ref="I319:M319"/>
    <mergeCell ref="I345:M345"/>
    <mergeCell ref="I346:M346"/>
    <mergeCell ref="I338:M338"/>
    <mergeCell ref="I339:M339"/>
    <mergeCell ref="I340:M340"/>
    <mergeCell ref="I341:M341"/>
    <mergeCell ref="I342:M342"/>
    <mergeCell ref="I343:M343"/>
    <mergeCell ref="I344:M344"/>
    <mergeCell ref="D320:H320"/>
    <mergeCell ref="I320:M320"/>
    <mergeCell ref="D321:H321"/>
    <mergeCell ref="I321:M321"/>
    <mergeCell ref="D322:H322"/>
    <mergeCell ref="I322:M322"/>
    <mergeCell ref="I323:M323"/>
    <mergeCell ref="D323:H323"/>
    <mergeCell ref="D324:H324"/>
    <mergeCell ref="D325:H325"/>
    <mergeCell ref="D326:H326"/>
    <mergeCell ref="D327:H327"/>
    <mergeCell ref="D328:H328"/>
    <mergeCell ref="D329:H329"/>
    <mergeCell ref="I324:M324"/>
    <mergeCell ref="I325:M325"/>
    <mergeCell ref="I326:M326"/>
    <mergeCell ref="I327:M327"/>
    <mergeCell ref="I328:M328"/>
    <mergeCell ref="I329:M329"/>
    <mergeCell ref="I330:M330"/>
    <mergeCell ref="D330:H330"/>
    <mergeCell ref="D331:H331"/>
    <mergeCell ref="D332:H332"/>
    <mergeCell ref="D333:H333"/>
    <mergeCell ref="D334:H334"/>
    <mergeCell ref="D335:H335"/>
    <mergeCell ref="D336:H336"/>
    <mergeCell ref="I331:M331"/>
    <mergeCell ref="I332:M332"/>
    <mergeCell ref="I333:M333"/>
    <mergeCell ref="I334:M334"/>
    <mergeCell ref="I335:M335"/>
    <mergeCell ref="I336:M336"/>
    <mergeCell ref="I337:M337"/>
    <mergeCell ref="D337:H337"/>
    <mergeCell ref="D338:H338"/>
    <mergeCell ref="D339:H339"/>
    <mergeCell ref="D340:H340"/>
    <mergeCell ref="D341:H341"/>
    <mergeCell ref="D342:H342"/>
    <mergeCell ref="D343:H343"/>
    <mergeCell ref="D344:H344"/>
    <mergeCell ref="D345:H345"/>
    <mergeCell ref="D346:H346"/>
    <mergeCell ref="D347:H347"/>
    <mergeCell ref="I347:M347"/>
    <mergeCell ref="D348:H348"/>
    <mergeCell ref="I348:M348"/>
    <mergeCell ref="I374:M374"/>
    <mergeCell ref="I375:M375"/>
    <mergeCell ref="I367:M367"/>
    <mergeCell ref="I368:M368"/>
    <mergeCell ref="I369:M369"/>
    <mergeCell ref="I370:M370"/>
    <mergeCell ref="I371:M371"/>
    <mergeCell ref="I372:M372"/>
    <mergeCell ref="I373:M373"/>
    <mergeCell ref="D349:H349"/>
    <mergeCell ref="I349:M349"/>
    <mergeCell ref="D350:H350"/>
    <mergeCell ref="I350:M350"/>
    <mergeCell ref="D351:H351"/>
    <mergeCell ref="I351:M351"/>
    <mergeCell ref="I352:M352"/>
    <mergeCell ref="D352:H352"/>
    <mergeCell ref="D353:H353"/>
    <mergeCell ref="D354:H354"/>
    <mergeCell ref="D355:H355"/>
    <mergeCell ref="D356:H356"/>
    <mergeCell ref="D357:H357"/>
    <mergeCell ref="D358:H358"/>
    <mergeCell ref="I353:M353"/>
    <mergeCell ref="I354:M354"/>
    <mergeCell ref="I355:M355"/>
    <mergeCell ref="I356:M356"/>
    <mergeCell ref="I357:M357"/>
    <mergeCell ref="I358:M358"/>
    <mergeCell ref="I359:M359"/>
    <mergeCell ref="D359:H359"/>
    <mergeCell ref="D360:H360"/>
    <mergeCell ref="D361:H361"/>
    <mergeCell ref="D362:H362"/>
    <mergeCell ref="D363:H363"/>
    <mergeCell ref="D364:H364"/>
    <mergeCell ref="D365:H365"/>
    <mergeCell ref="I360:M360"/>
    <mergeCell ref="I361:M361"/>
    <mergeCell ref="I362:M362"/>
    <mergeCell ref="I363:M363"/>
    <mergeCell ref="I364:M364"/>
    <mergeCell ref="I365:M365"/>
    <mergeCell ref="I366:M366"/>
    <mergeCell ref="D366:H366"/>
    <mergeCell ref="D367:H367"/>
    <mergeCell ref="D368:H368"/>
    <mergeCell ref="D369:H369"/>
    <mergeCell ref="D370:H370"/>
    <mergeCell ref="D371:H371"/>
    <mergeCell ref="D372:H372"/>
    <mergeCell ref="D373:H373"/>
    <mergeCell ref="D374:H374"/>
    <mergeCell ref="D375:H375"/>
    <mergeCell ref="D376:H376"/>
    <mergeCell ref="I376:M376"/>
    <mergeCell ref="D377:H377"/>
    <mergeCell ref="I377:M377"/>
    <mergeCell ref="I403:M403"/>
    <mergeCell ref="I404:M404"/>
    <mergeCell ref="I396:M396"/>
    <mergeCell ref="I397:M397"/>
    <mergeCell ref="I398:M398"/>
    <mergeCell ref="I399:M399"/>
    <mergeCell ref="I400:M400"/>
    <mergeCell ref="I401:M401"/>
    <mergeCell ref="I402:M402"/>
    <mergeCell ref="D378:H378"/>
    <mergeCell ref="I378:M378"/>
    <mergeCell ref="D379:H379"/>
    <mergeCell ref="I379:M379"/>
    <mergeCell ref="D380:H380"/>
    <mergeCell ref="I380:M380"/>
    <mergeCell ref="I381:M381"/>
    <mergeCell ref="D381:H381"/>
    <mergeCell ref="D382:H382"/>
    <mergeCell ref="D383:H383"/>
    <mergeCell ref="D384:H384"/>
    <mergeCell ref="D385:H385"/>
    <mergeCell ref="D386:H386"/>
    <mergeCell ref="D387:H387"/>
    <mergeCell ref="I382:M382"/>
    <mergeCell ref="I383:M383"/>
    <mergeCell ref="I384:M384"/>
    <mergeCell ref="I385:M385"/>
    <mergeCell ref="I386:M386"/>
    <mergeCell ref="I387:M387"/>
    <mergeCell ref="I388:M388"/>
    <mergeCell ref="D388:H388"/>
    <mergeCell ref="D389:H389"/>
    <mergeCell ref="D390:H390"/>
    <mergeCell ref="D391:H391"/>
    <mergeCell ref="D392:H392"/>
    <mergeCell ref="D393:H393"/>
    <mergeCell ref="D394:H394"/>
    <mergeCell ref="I389:M389"/>
    <mergeCell ref="I390:M390"/>
    <mergeCell ref="I391:M391"/>
    <mergeCell ref="I392:M392"/>
    <mergeCell ref="I393:M393"/>
    <mergeCell ref="I394:M394"/>
    <mergeCell ref="I395:M395"/>
    <mergeCell ref="D395:H395"/>
    <mergeCell ref="D396:H396"/>
    <mergeCell ref="D397:H397"/>
    <mergeCell ref="D398:H398"/>
    <mergeCell ref="D399:H399"/>
    <mergeCell ref="D400:H400"/>
    <mergeCell ref="D401:H401"/>
    <mergeCell ref="D402:H402"/>
    <mergeCell ref="D403:H403"/>
    <mergeCell ref="D404:H404"/>
    <mergeCell ref="D405:H405"/>
    <mergeCell ref="I405:M405"/>
    <mergeCell ref="D406:H406"/>
    <mergeCell ref="I406:M406"/>
    <mergeCell ref="I432:M432"/>
    <mergeCell ref="I433:M433"/>
    <mergeCell ref="I425:M425"/>
    <mergeCell ref="I426:M426"/>
    <mergeCell ref="I427:M427"/>
    <mergeCell ref="I428:M428"/>
    <mergeCell ref="I429:M429"/>
    <mergeCell ref="I430:M430"/>
    <mergeCell ref="I431:M431"/>
    <mergeCell ref="D407:H407"/>
    <mergeCell ref="I407:M407"/>
    <mergeCell ref="D408:H408"/>
    <mergeCell ref="I408:M408"/>
    <mergeCell ref="D409:H409"/>
    <mergeCell ref="I409:M409"/>
    <mergeCell ref="I410:M410"/>
    <mergeCell ref="D410:H410"/>
    <mergeCell ref="D411:H411"/>
    <mergeCell ref="D412:H412"/>
    <mergeCell ref="D413:H413"/>
    <mergeCell ref="D414:H414"/>
    <mergeCell ref="D415:H415"/>
    <mergeCell ref="D416:H416"/>
    <mergeCell ref="I411:M411"/>
    <mergeCell ref="I412:M412"/>
    <mergeCell ref="I413:M413"/>
    <mergeCell ref="I414:M414"/>
    <mergeCell ref="I415:M415"/>
    <mergeCell ref="I416:M416"/>
    <mergeCell ref="I417:M417"/>
    <mergeCell ref="D417:H417"/>
    <mergeCell ref="D418:H418"/>
    <mergeCell ref="D419:H419"/>
    <mergeCell ref="D420:H420"/>
    <mergeCell ref="D421:H421"/>
    <mergeCell ref="D422:H422"/>
    <mergeCell ref="D423:H423"/>
    <mergeCell ref="I418:M418"/>
    <mergeCell ref="I419:M419"/>
    <mergeCell ref="I420:M420"/>
    <mergeCell ref="I421:M421"/>
    <mergeCell ref="I422:M422"/>
    <mergeCell ref="I423:M423"/>
    <mergeCell ref="I424:M424"/>
    <mergeCell ref="D424:H424"/>
    <mergeCell ref="D425:H425"/>
    <mergeCell ref="D426:H426"/>
    <mergeCell ref="D427:H427"/>
    <mergeCell ref="D428:H428"/>
    <mergeCell ref="D429:H429"/>
    <mergeCell ref="D430:H430"/>
    <mergeCell ref="D431:H431"/>
    <mergeCell ref="D432:H432"/>
    <mergeCell ref="D433:H433"/>
    <mergeCell ref="D434:H434"/>
    <mergeCell ref="I434:M434"/>
    <mergeCell ref="D435:H435"/>
    <mergeCell ref="I435:M435"/>
    <mergeCell ref="I461:M461"/>
    <mergeCell ref="I462:M462"/>
    <mergeCell ref="I454:M454"/>
    <mergeCell ref="I455:M455"/>
    <mergeCell ref="I456:M456"/>
    <mergeCell ref="I457:M457"/>
    <mergeCell ref="I458:M458"/>
    <mergeCell ref="I459:M459"/>
    <mergeCell ref="I460:M460"/>
    <mergeCell ref="D436:H436"/>
    <mergeCell ref="I436:M436"/>
    <mergeCell ref="D437:H437"/>
    <mergeCell ref="I437:M437"/>
    <mergeCell ref="D438:H438"/>
    <mergeCell ref="I438:M438"/>
    <mergeCell ref="I439:M439"/>
    <mergeCell ref="D439:H439"/>
    <mergeCell ref="D440:H440"/>
    <mergeCell ref="D441:H441"/>
    <mergeCell ref="D442:H442"/>
    <mergeCell ref="D443:H443"/>
    <mergeCell ref="D444:H444"/>
    <mergeCell ref="D445:H445"/>
    <mergeCell ref="I440:M440"/>
    <mergeCell ref="I441:M441"/>
    <mergeCell ref="I442:M442"/>
    <mergeCell ref="I443:M443"/>
    <mergeCell ref="I444:M444"/>
    <mergeCell ref="I445:M445"/>
    <mergeCell ref="I446:M446"/>
    <mergeCell ref="D446:H446"/>
    <mergeCell ref="D447:H447"/>
    <mergeCell ref="D448:H448"/>
    <mergeCell ref="D449:H449"/>
    <mergeCell ref="D450:H450"/>
    <mergeCell ref="D451:H451"/>
    <mergeCell ref="D452:H452"/>
    <mergeCell ref="I447:M447"/>
    <mergeCell ref="I448:M448"/>
    <mergeCell ref="I449:M449"/>
    <mergeCell ref="I450:M450"/>
    <mergeCell ref="I451:M451"/>
    <mergeCell ref="I452:M452"/>
    <mergeCell ref="I453:M453"/>
    <mergeCell ref="D453:H453"/>
    <mergeCell ref="D454:H454"/>
    <mergeCell ref="D455:H455"/>
    <mergeCell ref="D456:H456"/>
    <mergeCell ref="D457:H457"/>
    <mergeCell ref="D458:H458"/>
    <mergeCell ref="D459:H459"/>
    <mergeCell ref="D460:H460"/>
    <mergeCell ref="D461:H461"/>
    <mergeCell ref="D462:H462"/>
    <mergeCell ref="D463:H463"/>
    <mergeCell ref="I463:M463"/>
    <mergeCell ref="D464:H464"/>
    <mergeCell ref="I464:M464"/>
    <mergeCell ref="I490:M490"/>
    <mergeCell ref="I491:M491"/>
    <mergeCell ref="I483:M483"/>
    <mergeCell ref="I484:M484"/>
    <mergeCell ref="I485:M485"/>
    <mergeCell ref="I486:M486"/>
    <mergeCell ref="I487:M487"/>
    <mergeCell ref="I488:M488"/>
    <mergeCell ref="I489:M489"/>
    <mergeCell ref="D465:H465"/>
    <mergeCell ref="I465:M465"/>
    <mergeCell ref="D466:H466"/>
    <mergeCell ref="I466:M466"/>
    <mergeCell ref="D467:H467"/>
    <mergeCell ref="I467:M467"/>
    <mergeCell ref="I468:M468"/>
    <mergeCell ref="D468:H468"/>
    <mergeCell ref="D469:H469"/>
    <mergeCell ref="D470:H470"/>
    <mergeCell ref="D471:H471"/>
    <mergeCell ref="D472:H472"/>
    <mergeCell ref="D473:H473"/>
    <mergeCell ref="D474:H474"/>
    <mergeCell ref="I469:M469"/>
    <mergeCell ref="I470:M470"/>
    <mergeCell ref="I471:M471"/>
    <mergeCell ref="I472:M472"/>
    <mergeCell ref="I473:M473"/>
    <mergeCell ref="I474:M474"/>
    <mergeCell ref="I475:M475"/>
    <mergeCell ref="D475:H475"/>
    <mergeCell ref="D476:H476"/>
    <mergeCell ref="D477:H477"/>
    <mergeCell ref="D478:H478"/>
    <mergeCell ref="D479:H479"/>
    <mergeCell ref="D480:H480"/>
    <mergeCell ref="D481:H481"/>
    <mergeCell ref="I476:M476"/>
    <mergeCell ref="I477:M477"/>
    <mergeCell ref="I478:M478"/>
    <mergeCell ref="I479:M479"/>
    <mergeCell ref="I480:M480"/>
    <mergeCell ref="I481:M481"/>
    <mergeCell ref="I482:M482"/>
    <mergeCell ref="D482:H482"/>
    <mergeCell ref="D483:H483"/>
    <mergeCell ref="D484:H484"/>
    <mergeCell ref="D485:H485"/>
    <mergeCell ref="D486:H486"/>
    <mergeCell ref="D487:H487"/>
    <mergeCell ref="D488:H488"/>
    <mergeCell ref="D489:H489"/>
    <mergeCell ref="D490:H490"/>
    <mergeCell ref="D491:H491"/>
    <mergeCell ref="D492:H492"/>
    <mergeCell ref="I492:M492"/>
    <mergeCell ref="D493:H493"/>
    <mergeCell ref="I493:M493"/>
    <mergeCell ref="I519:M519"/>
    <mergeCell ref="I520:M520"/>
    <mergeCell ref="I512:M512"/>
    <mergeCell ref="I513:M513"/>
    <mergeCell ref="I514:M514"/>
    <mergeCell ref="I515:M515"/>
    <mergeCell ref="I516:M516"/>
    <mergeCell ref="I517:M517"/>
    <mergeCell ref="I518:M518"/>
    <mergeCell ref="D494:H494"/>
    <mergeCell ref="I494:M494"/>
    <mergeCell ref="D495:H495"/>
    <mergeCell ref="I495:M495"/>
    <mergeCell ref="D496:H496"/>
    <mergeCell ref="I496:M496"/>
    <mergeCell ref="I497:M497"/>
    <mergeCell ref="D497:H497"/>
    <mergeCell ref="D498:H498"/>
    <mergeCell ref="D499:H499"/>
    <mergeCell ref="D500:H500"/>
    <mergeCell ref="D501:H501"/>
    <mergeCell ref="D502:H502"/>
    <mergeCell ref="D503:H503"/>
    <mergeCell ref="I498:M498"/>
    <mergeCell ref="I499:M499"/>
    <mergeCell ref="I500:M500"/>
    <mergeCell ref="I501:M501"/>
    <mergeCell ref="I502:M502"/>
    <mergeCell ref="I503:M503"/>
    <mergeCell ref="I504:M504"/>
    <mergeCell ref="D504:H504"/>
    <mergeCell ref="D505:H505"/>
    <mergeCell ref="D506:H506"/>
    <mergeCell ref="D507:H507"/>
    <mergeCell ref="D508:H508"/>
    <mergeCell ref="D509:H509"/>
    <mergeCell ref="D510:H510"/>
    <mergeCell ref="I505:M505"/>
    <mergeCell ref="I506:M506"/>
    <mergeCell ref="I507:M507"/>
    <mergeCell ref="I508:M508"/>
    <mergeCell ref="I509:M509"/>
    <mergeCell ref="I510:M510"/>
    <mergeCell ref="I511:M511"/>
    <mergeCell ref="D511:H511"/>
    <mergeCell ref="D512:H512"/>
    <mergeCell ref="D513:H513"/>
    <mergeCell ref="D514:H514"/>
    <mergeCell ref="D515:H515"/>
    <mergeCell ref="D516:H516"/>
    <mergeCell ref="D517:H517"/>
    <mergeCell ref="D518:H518"/>
    <mergeCell ref="D519:H519"/>
    <mergeCell ref="D520:H520"/>
    <mergeCell ref="D521:H521"/>
    <mergeCell ref="I521:M521"/>
    <mergeCell ref="D522:H522"/>
    <mergeCell ref="I522:M522"/>
    <mergeCell ref="I548:M548"/>
    <mergeCell ref="I549:M549"/>
    <mergeCell ref="I541:M541"/>
    <mergeCell ref="I542:M542"/>
    <mergeCell ref="I543:M543"/>
    <mergeCell ref="I544:M544"/>
    <mergeCell ref="I545:M545"/>
    <mergeCell ref="I546:M546"/>
    <mergeCell ref="I547:M547"/>
    <mergeCell ref="D523:H523"/>
    <mergeCell ref="I523:M523"/>
    <mergeCell ref="D524:H524"/>
    <mergeCell ref="I524:M524"/>
    <mergeCell ref="D525:H525"/>
    <mergeCell ref="I525:M525"/>
    <mergeCell ref="I526:M526"/>
    <mergeCell ref="D526:H526"/>
    <mergeCell ref="D527:H527"/>
    <mergeCell ref="D528:H528"/>
    <mergeCell ref="D529:H529"/>
    <mergeCell ref="D530:H530"/>
    <mergeCell ref="D531:H531"/>
    <mergeCell ref="D532:H532"/>
    <mergeCell ref="I527:M527"/>
    <mergeCell ref="I528:M528"/>
    <mergeCell ref="I529:M529"/>
    <mergeCell ref="I530:M530"/>
    <mergeCell ref="I531:M531"/>
    <mergeCell ref="I532:M532"/>
    <mergeCell ref="I533:M533"/>
    <mergeCell ref="D533:H533"/>
    <mergeCell ref="D534:H534"/>
    <mergeCell ref="D535:H535"/>
    <mergeCell ref="D536:H536"/>
    <mergeCell ref="D537:H537"/>
    <mergeCell ref="D538:H538"/>
    <mergeCell ref="D539:H539"/>
    <mergeCell ref="I534:M534"/>
    <mergeCell ref="I535:M535"/>
    <mergeCell ref="I536:M536"/>
    <mergeCell ref="I537:M537"/>
    <mergeCell ref="I538:M538"/>
    <mergeCell ref="I539:M539"/>
    <mergeCell ref="I540:M540"/>
    <mergeCell ref="D540:H540"/>
    <mergeCell ref="D541:H541"/>
    <mergeCell ref="D542:H542"/>
    <mergeCell ref="D543:H543"/>
    <mergeCell ref="D544:H544"/>
    <mergeCell ref="D545:H545"/>
    <mergeCell ref="D546:H546"/>
    <mergeCell ref="D547:H547"/>
    <mergeCell ref="D548:H548"/>
    <mergeCell ref="D549:H549"/>
    <mergeCell ref="D550:H550"/>
    <mergeCell ref="I550:M550"/>
    <mergeCell ref="D551:H551"/>
    <mergeCell ref="I551:M551"/>
    <mergeCell ref="I577:M577"/>
    <mergeCell ref="I578:M578"/>
    <mergeCell ref="I570:M570"/>
    <mergeCell ref="I571:M571"/>
    <mergeCell ref="I572:M572"/>
    <mergeCell ref="I573:M573"/>
    <mergeCell ref="I574:M574"/>
    <mergeCell ref="I575:M575"/>
    <mergeCell ref="I576:M576"/>
    <mergeCell ref="D552:H552"/>
    <mergeCell ref="I552:M552"/>
    <mergeCell ref="D553:H553"/>
    <mergeCell ref="I553:M553"/>
    <mergeCell ref="D554:H554"/>
    <mergeCell ref="I554:M554"/>
    <mergeCell ref="I555:M555"/>
    <mergeCell ref="D555:H555"/>
    <mergeCell ref="D556:H556"/>
    <mergeCell ref="D557:H557"/>
    <mergeCell ref="D558:H558"/>
    <mergeCell ref="D559:H559"/>
    <mergeCell ref="D560:H560"/>
    <mergeCell ref="D561:H561"/>
    <mergeCell ref="I556:M556"/>
    <mergeCell ref="I557:M557"/>
    <mergeCell ref="I558:M558"/>
    <mergeCell ref="I559:M559"/>
    <mergeCell ref="I560:M560"/>
    <mergeCell ref="I561:M561"/>
    <mergeCell ref="I562:M562"/>
    <mergeCell ref="D562:H562"/>
    <mergeCell ref="D563:H563"/>
    <mergeCell ref="D564:H564"/>
    <mergeCell ref="D565:H565"/>
    <mergeCell ref="D566:H566"/>
    <mergeCell ref="D567:H567"/>
    <mergeCell ref="D568:H568"/>
    <mergeCell ref="I563:M563"/>
    <mergeCell ref="I564:M564"/>
    <mergeCell ref="I565:M565"/>
    <mergeCell ref="I566:M566"/>
    <mergeCell ref="I567:M567"/>
    <mergeCell ref="I568:M568"/>
    <mergeCell ref="I569:M569"/>
    <mergeCell ref="D569:H569"/>
    <mergeCell ref="D570:H570"/>
    <mergeCell ref="D571:H571"/>
    <mergeCell ref="D572:H572"/>
    <mergeCell ref="D573:H573"/>
    <mergeCell ref="D574:H574"/>
    <mergeCell ref="D575:H575"/>
    <mergeCell ref="D576:H576"/>
    <mergeCell ref="D577:H577"/>
    <mergeCell ref="D578:H578"/>
    <mergeCell ref="D579:H579"/>
    <mergeCell ref="I579:M579"/>
    <mergeCell ref="D580:H580"/>
    <mergeCell ref="I580:M580"/>
    <mergeCell ref="I606:M606"/>
    <mergeCell ref="I607:M607"/>
    <mergeCell ref="I599:M599"/>
    <mergeCell ref="I600:M600"/>
    <mergeCell ref="I601:M601"/>
    <mergeCell ref="I602:M602"/>
    <mergeCell ref="I603:M603"/>
    <mergeCell ref="I604:M604"/>
    <mergeCell ref="I605:M605"/>
    <mergeCell ref="D581:H581"/>
    <mergeCell ref="I581:M581"/>
    <mergeCell ref="D582:H582"/>
    <mergeCell ref="I582:M582"/>
    <mergeCell ref="D583:H583"/>
    <mergeCell ref="I583:M583"/>
    <mergeCell ref="I584:M584"/>
    <mergeCell ref="D584:H584"/>
    <mergeCell ref="D585:H585"/>
    <mergeCell ref="D586:H586"/>
    <mergeCell ref="D587:H587"/>
    <mergeCell ref="D588:H588"/>
    <mergeCell ref="D589:H589"/>
    <mergeCell ref="D590:H590"/>
    <mergeCell ref="I585:M585"/>
    <mergeCell ref="I586:M586"/>
    <mergeCell ref="I587:M587"/>
    <mergeCell ref="I588:M588"/>
    <mergeCell ref="I589:M589"/>
    <mergeCell ref="I590:M590"/>
    <mergeCell ref="I591:M591"/>
    <mergeCell ref="D591:H591"/>
    <mergeCell ref="D592:H592"/>
    <mergeCell ref="D593:H593"/>
    <mergeCell ref="D594:H594"/>
    <mergeCell ref="D595:H595"/>
    <mergeCell ref="D596:H596"/>
    <mergeCell ref="D597:H597"/>
    <mergeCell ref="I592:M592"/>
    <mergeCell ref="I593:M593"/>
    <mergeCell ref="I594:M594"/>
    <mergeCell ref="I595:M595"/>
    <mergeCell ref="I596:M596"/>
    <mergeCell ref="I597:M597"/>
    <mergeCell ref="I598:M598"/>
    <mergeCell ref="D598:H598"/>
    <mergeCell ref="D599:H599"/>
    <mergeCell ref="D600:H600"/>
    <mergeCell ref="D601:H601"/>
    <mergeCell ref="D602:H602"/>
    <mergeCell ref="D603:H603"/>
    <mergeCell ref="D604:H604"/>
    <mergeCell ref="D605:H605"/>
    <mergeCell ref="D606:H606"/>
    <mergeCell ref="D607:H607"/>
    <mergeCell ref="D608:H608"/>
    <mergeCell ref="I608:M608"/>
    <mergeCell ref="D609:H609"/>
    <mergeCell ref="I609:M609"/>
    <mergeCell ref="I635:M635"/>
    <mergeCell ref="I636:M636"/>
    <mergeCell ref="I628:M628"/>
    <mergeCell ref="I629:M629"/>
    <mergeCell ref="I630:M630"/>
    <mergeCell ref="I631:M631"/>
    <mergeCell ref="I632:M632"/>
    <mergeCell ref="I633:M633"/>
    <mergeCell ref="I634:M634"/>
    <mergeCell ref="D610:H610"/>
    <mergeCell ref="I610:M610"/>
    <mergeCell ref="D611:H611"/>
    <mergeCell ref="I611:M611"/>
    <mergeCell ref="D612:H612"/>
    <mergeCell ref="I612:M612"/>
    <mergeCell ref="I613:M613"/>
    <mergeCell ref="D613:H613"/>
    <mergeCell ref="D614:H614"/>
    <mergeCell ref="D615:H615"/>
    <mergeCell ref="D616:H616"/>
    <mergeCell ref="D617:H617"/>
    <mergeCell ref="D618:H618"/>
    <mergeCell ref="D619:H619"/>
    <mergeCell ref="I614:M614"/>
    <mergeCell ref="I615:M615"/>
    <mergeCell ref="I616:M616"/>
    <mergeCell ref="I617:M617"/>
    <mergeCell ref="I618:M618"/>
    <mergeCell ref="I619:M619"/>
    <mergeCell ref="I620:M620"/>
    <mergeCell ref="D620:H620"/>
    <mergeCell ref="D621:H621"/>
    <mergeCell ref="D622:H622"/>
    <mergeCell ref="D623:H623"/>
    <mergeCell ref="D624:H624"/>
    <mergeCell ref="D625:H625"/>
    <mergeCell ref="D626:H626"/>
    <mergeCell ref="I621:M621"/>
    <mergeCell ref="I622:M622"/>
    <mergeCell ref="I623:M623"/>
    <mergeCell ref="I624:M624"/>
    <mergeCell ref="I625:M625"/>
    <mergeCell ref="I626:M626"/>
    <mergeCell ref="I627:M627"/>
    <mergeCell ref="D627:H627"/>
    <mergeCell ref="D628:H628"/>
    <mergeCell ref="D629:H629"/>
    <mergeCell ref="D630:H630"/>
    <mergeCell ref="D631:H631"/>
    <mergeCell ref="D632:H632"/>
    <mergeCell ref="D633:H633"/>
    <mergeCell ref="D634:H634"/>
    <mergeCell ref="D635:H635"/>
    <mergeCell ref="D636:H636"/>
    <mergeCell ref="D637:H637"/>
    <mergeCell ref="I637:M637"/>
    <mergeCell ref="D638:H638"/>
    <mergeCell ref="I638:M638"/>
    <mergeCell ref="I664:M664"/>
    <mergeCell ref="I665:M665"/>
    <mergeCell ref="I657:M657"/>
    <mergeCell ref="I658:M658"/>
    <mergeCell ref="I659:M659"/>
    <mergeCell ref="I660:M660"/>
    <mergeCell ref="I661:M661"/>
    <mergeCell ref="I662:M662"/>
    <mergeCell ref="I663:M663"/>
    <mergeCell ref="D639:H639"/>
    <mergeCell ref="I639:M639"/>
    <mergeCell ref="D640:H640"/>
    <mergeCell ref="I640:M640"/>
    <mergeCell ref="D641:H641"/>
    <mergeCell ref="I641:M641"/>
    <mergeCell ref="I642:M642"/>
    <mergeCell ref="D642:H642"/>
    <mergeCell ref="D643:H643"/>
    <mergeCell ref="D644:H644"/>
    <mergeCell ref="D645:H645"/>
    <mergeCell ref="D646:H646"/>
    <mergeCell ref="D647:H647"/>
    <mergeCell ref="D648:H648"/>
    <mergeCell ref="I643:M643"/>
    <mergeCell ref="I644:M644"/>
    <mergeCell ref="I645:M645"/>
    <mergeCell ref="I646:M646"/>
    <mergeCell ref="I647:M647"/>
    <mergeCell ref="I648:M648"/>
    <mergeCell ref="I649:M649"/>
    <mergeCell ref="D649:H649"/>
    <mergeCell ref="D650:H650"/>
    <mergeCell ref="D651:H651"/>
    <mergeCell ref="D652:H652"/>
    <mergeCell ref="D653:H653"/>
    <mergeCell ref="D654:H654"/>
    <mergeCell ref="D655:H655"/>
    <mergeCell ref="I650:M650"/>
    <mergeCell ref="I651:M651"/>
    <mergeCell ref="I652:M652"/>
    <mergeCell ref="I653:M653"/>
    <mergeCell ref="I654:M654"/>
    <mergeCell ref="I655:M655"/>
    <mergeCell ref="I656:M656"/>
    <mergeCell ref="D656:H656"/>
    <mergeCell ref="D657:H657"/>
    <mergeCell ref="D658:H658"/>
    <mergeCell ref="D659:H659"/>
    <mergeCell ref="D660:H660"/>
    <mergeCell ref="D661:H661"/>
    <mergeCell ref="D662:H662"/>
    <mergeCell ref="D663:H663"/>
    <mergeCell ref="D664:H664"/>
    <mergeCell ref="D665:H665"/>
    <mergeCell ref="D666:H666"/>
    <mergeCell ref="I666:M666"/>
    <mergeCell ref="D667:H667"/>
    <mergeCell ref="I667:M667"/>
    <mergeCell ref="I693:M693"/>
    <mergeCell ref="I694:M694"/>
    <mergeCell ref="I686:M686"/>
    <mergeCell ref="I687:M687"/>
    <mergeCell ref="I688:M688"/>
    <mergeCell ref="I689:M689"/>
    <mergeCell ref="I690:M690"/>
    <mergeCell ref="I691:M691"/>
    <mergeCell ref="I692:M692"/>
    <mergeCell ref="D668:H668"/>
    <mergeCell ref="I668:M668"/>
    <mergeCell ref="D669:H669"/>
    <mergeCell ref="I669:M669"/>
    <mergeCell ref="D670:H670"/>
    <mergeCell ref="I670:M670"/>
    <mergeCell ref="I671:M671"/>
    <mergeCell ref="D671:H671"/>
    <mergeCell ref="D672:H672"/>
    <mergeCell ref="D673:H673"/>
    <mergeCell ref="D674:H674"/>
    <mergeCell ref="D675:H675"/>
    <mergeCell ref="D676:H676"/>
    <mergeCell ref="D677:H677"/>
    <mergeCell ref="I672:M672"/>
    <mergeCell ref="I673:M673"/>
    <mergeCell ref="I674:M674"/>
    <mergeCell ref="I675:M675"/>
    <mergeCell ref="I676:M676"/>
    <mergeCell ref="I677:M677"/>
    <mergeCell ref="I678:M678"/>
    <mergeCell ref="D678:H678"/>
    <mergeCell ref="D679:H679"/>
    <mergeCell ref="D680:H680"/>
    <mergeCell ref="D681:H681"/>
    <mergeCell ref="D682:H682"/>
    <mergeCell ref="D683:H683"/>
    <mergeCell ref="D684:H684"/>
    <mergeCell ref="I679:M679"/>
    <mergeCell ref="I680:M680"/>
    <mergeCell ref="I681:M681"/>
    <mergeCell ref="I682:M682"/>
    <mergeCell ref="I683:M683"/>
    <mergeCell ref="I684:M684"/>
    <mergeCell ref="I685:M685"/>
    <mergeCell ref="D685:H685"/>
    <mergeCell ref="D686:H686"/>
    <mergeCell ref="D687:H687"/>
    <mergeCell ref="D688:H688"/>
    <mergeCell ref="D689:H689"/>
    <mergeCell ref="D690:H690"/>
    <mergeCell ref="D691:H691"/>
    <mergeCell ref="D692:H692"/>
    <mergeCell ref="D693:H693"/>
    <mergeCell ref="D694:H694"/>
    <mergeCell ref="D695:H695"/>
    <mergeCell ref="I695:M695"/>
    <mergeCell ref="D696:H696"/>
    <mergeCell ref="I696:M696"/>
    <mergeCell ref="I925:M925"/>
    <mergeCell ref="I926:M926"/>
    <mergeCell ref="I918:M918"/>
    <mergeCell ref="I919:M919"/>
    <mergeCell ref="I920:M920"/>
    <mergeCell ref="I921:M921"/>
    <mergeCell ref="I922:M922"/>
    <mergeCell ref="I923:M923"/>
    <mergeCell ref="I924:M924"/>
    <mergeCell ref="D900:H900"/>
    <mergeCell ref="I900:M900"/>
    <mergeCell ref="D901:H901"/>
    <mergeCell ref="I901:M901"/>
    <mergeCell ref="D902:H902"/>
    <mergeCell ref="I902:M902"/>
    <mergeCell ref="I903:M903"/>
    <mergeCell ref="D903:H903"/>
    <mergeCell ref="D904:H904"/>
    <mergeCell ref="D905:H905"/>
    <mergeCell ref="D906:H906"/>
    <mergeCell ref="D907:H907"/>
    <mergeCell ref="D908:H908"/>
    <mergeCell ref="D909:H909"/>
    <mergeCell ref="I904:M904"/>
    <mergeCell ref="I905:M905"/>
    <mergeCell ref="I906:M906"/>
    <mergeCell ref="I907:M907"/>
    <mergeCell ref="I908:M908"/>
    <mergeCell ref="I909:M909"/>
    <mergeCell ref="I910:M910"/>
    <mergeCell ref="D910:H910"/>
    <mergeCell ref="D911:H911"/>
    <mergeCell ref="D912:H912"/>
    <mergeCell ref="D913:H913"/>
    <mergeCell ref="D914:H914"/>
    <mergeCell ref="D915:H915"/>
    <mergeCell ref="D916:H916"/>
    <mergeCell ref="I911:M911"/>
    <mergeCell ref="I912:M912"/>
    <mergeCell ref="I913:M913"/>
    <mergeCell ref="I914:M914"/>
    <mergeCell ref="I915:M915"/>
    <mergeCell ref="I916:M916"/>
    <mergeCell ref="I917:M917"/>
    <mergeCell ref="D917:H917"/>
    <mergeCell ref="D918:H918"/>
    <mergeCell ref="D919:H919"/>
    <mergeCell ref="D920:H920"/>
    <mergeCell ref="D921:H921"/>
    <mergeCell ref="D922:H922"/>
    <mergeCell ref="D923:H923"/>
    <mergeCell ref="D924:H924"/>
    <mergeCell ref="D925:H925"/>
    <mergeCell ref="D926:H926"/>
    <mergeCell ref="D927:H927"/>
    <mergeCell ref="I927:M927"/>
    <mergeCell ref="D928:H928"/>
    <mergeCell ref="I928:M928"/>
    <mergeCell ref="I954:M954"/>
    <mergeCell ref="I955:M955"/>
    <mergeCell ref="I947:M947"/>
    <mergeCell ref="I948:M948"/>
    <mergeCell ref="I949:M949"/>
    <mergeCell ref="I950:M950"/>
    <mergeCell ref="I951:M951"/>
    <mergeCell ref="I952:M952"/>
    <mergeCell ref="I953:M953"/>
    <mergeCell ref="D929:H929"/>
    <mergeCell ref="I929:M929"/>
    <mergeCell ref="D930:H930"/>
    <mergeCell ref="I930:M930"/>
    <mergeCell ref="D931:H931"/>
    <mergeCell ref="I931:M931"/>
    <mergeCell ref="I932:M932"/>
    <mergeCell ref="D932:H932"/>
    <mergeCell ref="D933:H933"/>
    <mergeCell ref="D934:H934"/>
    <mergeCell ref="D935:H935"/>
    <mergeCell ref="D936:H936"/>
    <mergeCell ref="D937:H937"/>
    <mergeCell ref="D938:H938"/>
    <mergeCell ref="I933:M933"/>
    <mergeCell ref="I934:M934"/>
    <mergeCell ref="I935:M935"/>
    <mergeCell ref="I936:M936"/>
    <mergeCell ref="I937:M937"/>
    <mergeCell ref="I938:M938"/>
    <mergeCell ref="I939:M939"/>
    <mergeCell ref="D939:H939"/>
    <mergeCell ref="D940:H940"/>
    <mergeCell ref="D941:H941"/>
    <mergeCell ref="D942:H942"/>
    <mergeCell ref="D943:H943"/>
    <mergeCell ref="D944:H944"/>
    <mergeCell ref="D945:H945"/>
    <mergeCell ref="I940:M940"/>
    <mergeCell ref="I941:M941"/>
    <mergeCell ref="I942:M942"/>
    <mergeCell ref="I943:M943"/>
    <mergeCell ref="I944:M944"/>
    <mergeCell ref="I945:M945"/>
    <mergeCell ref="I946:M946"/>
    <mergeCell ref="D946:H946"/>
    <mergeCell ref="D947:H947"/>
    <mergeCell ref="D948:H948"/>
    <mergeCell ref="D949:H949"/>
    <mergeCell ref="D950:H950"/>
    <mergeCell ref="D951:H951"/>
    <mergeCell ref="D952:H952"/>
    <mergeCell ref="D953:H953"/>
    <mergeCell ref="D954:H954"/>
    <mergeCell ref="D955:H955"/>
    <mergeCell ref="D956:H956"/>
    <mergeCell ref="I956:M956"/>
    <mergeCell ref="D957:H957"/>
    <mergeCell ref="I957:M957"/>
    <mergeCell ref="I983:M983"/>
    <mergeCell ref="I984:M984"/>
    <mergeCell ref="I976:M976"/>
    <mergeCell ref="I977:M977"/>
    <mergeCell ref="I978:M978"/>
    <mergeCell ref="I979:M979"/>
    <mergeCell ref="I980:M980"/>
    <mergeCell ref="I981:M981"/>
    <mergeCell ref="I982:M982"/>
    <mergeCell ref="D958:H958"/>
    <mergeCell ref="I958:M958"/>
    <mergeCell ref="D959:H959"/>
    <mergeCell ref="I959:M959"/>
    <mergeCell ref="D960:H960"/>
    <mergeCell ref="I960:M960"/>
    <mergeCell ref="I961:M961"/>
    <mergeCell ref="D961:H961"/>
    <mergeCell ref="D962:H962"/>
    <mergeCell ref="D963:H963"/>
    <mergeCell ref="D964:H964"/>
    <mergeCell ref="D965:H965"/>
    <mergeCell ref="D966:H966"/>
    <mergeCell ref="D967:H967"/>
    <mergeCell ref="I962:M962"/>
    <mergeCell ref="I963:M963"/>
    <mergeCell ref="I964:M964"/>
    <mergeCell ref="I965:M965"/>
    <mergeCell ref="I966:M966"/>
    <mergeCell ref="I967:M967"/>
    <mergeCell ref="I968:M968"/>
    <mergeCell ref="D968:H968"/>
    <mergeCell ref="D969:H969"/>
    <mergeCell ref="D970:H970"/>
    <mergeCell ref="D971:H971"/>
    <mergeCell ref="D972:H972"/>
    <mergeCell ref="D973:H973"/>
    <mergeCell ref="D974:H974"/>
    <mergeCell ref="I969:M969"/>
    <mergeCell ref="I970:M970"/>
    <mergeCell ref="I971:M971"/>
    <mergeCell ref="I972:M972"/>
    <mergeCell ref="I973:M973"/>
    <mergeCell ref="I974:M974"/>
    <mergeCell ref="I975:M975"/>
    <mergeCell ref="D975:H975"/>
    <mergeCell ref="D976:H976"/>
    <mergeCell ref="D977:H977"/>
    <mergeCell ref="D978:H978"/>
    <mergeCell ref="D979:H979"/>
    <mergeCell ref="D980:H980"/>
    <mergeCell ref="D981:H981"/>
    <mergeCell ref="D982:H982"/>
    <mergeCell ref="D983:H983"/>
    <mergeCell ref="D984:H984"/>
    <mergeCell ref="D985:H985"/>
    <mergeCell ref="I985:M985"/>
    <mergeCell ref="D986:H986"/>
    <mergeCell ref="I986:M986"/>
    <mergeCell ref="I26:M26"/>
    <mergeCell ref="I27:M27"/>
    <mergeCell ref="I19:M19"/>
    <mergeCell ref="I20:M20"/>
    <mergeCell ref="I21:M21"/>
    <mergeCell ref="I22:M22"/>
    <mergeCell ref="I23:M23"/>
    <mergeCell ref="I24:M24"/>
    <mergeCell ref="I25:M25"/>
    <mergeCell ref="D1:H1"/>
    <mergeCell ref="I1:M1"/>
    <mergeCell ref="D2:H2"/>
    <mergeCell ref="I2:M2"/>
    <mergeCell ref="D3:H3"/>
    <mergeCell ref="I3:M3"/>
    <mergeCell ref="I4:M4"/>
    <mergeCell ref="D4:H4"/>
    <mergeCell ref="D5:H5"/>
    <mergeCell ref="D6:H6"/>
    <mergeCell ref="D7:H7"/>
    <mergeCell ref="D8:H8"/>
    <mergeCell ref="D9:H9"/>
    <mergeCell ref="D10:H10"/>
    <mergeCell ref="I5:M5"/>
    <mergeCell ref="I6:M6"/>
    <mergeCell ref="I7:M7"/>
    <mergeCell ref="I8:M8"/>
    <mergeCell ref="I9:M9"/>
    <mergeCell ref="I10:M10"/>
    <mergeCell ref="I11:M11"/>
    <mergeCell ref="D11:H11"/>
    <mergeCell ref="D12:H12"/>
    <mergeCell ref="D13:H13"/>
    <mergeCell ref="D14:H14"/>
    <mergeCell ref="D15:H15"/>
    <mergeCell ref="D16:H16"/>
    <mergeCell ref="D17:H17"/>
    <mergeCell ref="I12:M12"/>
    <mergeCell ref="I13:M13"/>
    <mergeCell ref="I14:M14"/>
    <mergeCell ref="I15:M15"/>
    <mergeCell ref="I16:M16"/>
    <mergeCell ref="I17:M17"/>
    <mergeCell ref="I18:M18"/>
    <mergeCell ref="D18:H18"/>
    <mergeCell ref="D19:H19"/>
    <mergeCell ref="D20:H20"/>
    <mergeCell ref="D21:H21"/>
    <mergeCell ref="D22:H22"/>
    <mergeCell ref="D23:H23"/>
    <mergeCell ref="D24:H24"/>
    <mergeCell ref="D25:H25"/>
    <mergeCell ref="D26:H26"/>
    <mergeCell ref="D27:H27"/>
    <mergeCell ref="D28:H28"/>
    <mergeCell ref="I28:M28"/>
    <mergeCell ref="D29:H29"/>
    <mergeCell ref="I29:M29"/>
    <mergeCell ref="I55:M55"/>
    <mergeCell ref="I56:M56"/>
    <mergeCell ref="I48:M48"/>
    <mergeCell ref="I49:M49"/>
    <mergeCell ref="I50:M50"/>
    <mergeCell ref="I51:M51"/>
    <mergeCell ref="I52:M52"/>
    <mergeCell ref="I53:M53"/>
    <mergeCell ref="I54:M54"/>
    <mergeCell ref="D30:H30"/>
    <mergeCell ref="I30:M30"/>
    <mergeCell ref="D31:H31"/>
    <mergeCell ref="I31:M31"/>
    <mergeCell ref="D32:H32"/>
    <mergeCell ref="I32:M32"/>
    <mergeCell ref="I33:M33"/>
    <mergeCell ref="D33:H33"/>
    <mergeCell ref="D34:H34"/>
    <mergeCell ref="D35:H35"/>
    <mergeCell ref="D36:H36"/>
    <mergeCell ref="D37:H37"/>
    <mergeCell ref="D38:H38"/>
    <mergeCell ref="D39:H39"/>
    <mergeCell ref="I34:M34"/>
    <mergeCell ref="I35:M35"/>
    <mergeCell ref="I36:M36"/>
    <mergeCell ref="I37:M37"/>
    <mergeCell ref="I38:M38"/>
    <mergeCell ref="I39:M39"/>
    <mergeCell ref="I40:M40"/>
    <mergeCell ref="D40:H40"/>
    <mergeCell ref="D41:H41"/>
    <mergeCell ref="D42:H42"/>
    <mergeCell ref="D43:H43"/>
    <mergeCell ref="D44:H44"/>
    <mergeCell ref="D45:H45"/>
    <mergeCell ref="D46:H46"/>
    <mergeCell ref="I41:M41"/>
    <mergeCell ref="I42:M42"/>
    <mergeCell ref="I43:M43"/>
    <mergeCell ref="I44:M44"/>
    <mergeCell ref="I45:M45"/>
    <mergeCell ref="I46:M46"/>
    <mergeCell ref="I47:M47"/>
    <mergeCell ref="D47:H47"/>
    <mergeCell ref="D48:H48"/>
    <mergeCell ref="D49:H49"/>
    <mergeCell ref="D50:H50"/>
    <mergeCell ref="D51:H51"/>
    <mergeCell ref="D52:H52"/>
    <mergeCell ref="D53:H53"/>
    <mergeCell ref="D54:H54"/>
    <mergeCell ref="D55:H55"/>
    <mergeCell ref="D56:H56"/>
    <mergeCell ref="D57:H57"/>
    <mergeCell ref="I57:M57"/>
    <mergeCell ref="D58:H58"/>
    <mergeCell ref="I58:M58"/>
    <mergeCell ref="I84:M84"/>
    <mergeCell ref="I85:M85"/>
    <mergeCell ref="I77:M77"/>
    <mergeCell ref="I78:M78"/>
    <mergeCell ref="I79:M79"/>
    <mergeCell ref="I80:M80"/>
    <mergeCell ref="I81:M81"/>
    <mergeCell ref="I82:M82"/>
    <mergeCell ref="I83:M83"/>
    <mergeCell ref="D59:H59"/>
    <mergeCell ref="I59:M59"/>
    <mergeCell ref="D60:H60"/>
    <mergeCell ref="I60:M60"/>
    <mergeCell ref="D61:H61"/>
    <mergeCell ref="I61:M61"/>
    <mergeCell ref="I62:M62"/>
    <mergeCell ref="D62:H62"/>
    <mergeCell ref="D63:H63"/>
    <mergeCell ref="D64:H64"/>
    <mergeCell ref="D65:H65"/>
    <mergeCell ref="D66:H66"/>
    <mergeCell ref="D67:H67"/>
    <mergeCell ref="D68:H68"/>
    <mergeCell ref="I63:M63"/>
    <mergeCell ref="I64:M64"/>
    <mergeCell ref="I65:M65"/>
    <mergeCell ref="I66:M66"/>
    <mergeCell ref="I67:M67"/>
    <mergeCell ref="I68:M68"/>
    <mergeCell ref="I69:M69"/>
    <mergeCell ref="D69:H69"/>
    <mergeCell ref="D70:H70"/>
    <mergeCell ref="D71:H71"/>
    <mergeCell ref="D72:H72"/>
    <mergeCell ref="D73:H73"/>
    <mergeCell ref="D74:H74"/>
    <mergeCell ref="D75:H75"/>
    <mergeCell ref="I70:M70"/>
    <mergeCell ref="I71:M71"/>
    <mergeCell ref="I72:M72"/>
    <mergeCell ref="I73:M73"/>
    <mergeCell ref="I74:M74"/>
    <mergeCell ref="I75:M75"/>
    <mergeCell ref="I76:M76"/>
    <mergeCell ref="D76:H76"/>
    <mergeCell ref="D77:H77"/>
    <mergeCell ref="D78:H78"/>
    <mergeCell ref="D79:H79"/>
    <mergeCell ref="D80:H80"/>
    <mergeCell ref="D81:H81"/>
    <mergeCell ref="D82:H82"/>
    <mergeCell ref="D83:H83"/>
    <mergeCell ref="D84:H84"/>
    <mergeCell ref="D85:H85"/>
    <mergeCell ref="D86:H86"/>
    <mergeCell ref="I86:M86"/>
    <mergeCell ref="D87:H87"/>
    <mergeCell ref="I87:M87"/>
    <mergeCell ref="D987:H987"/>
    <mergeCell ref="I987:M987"/>
    <mergeCell ref="D988:H988"/>
    <mergeCell ref="I988:M988"/>
    <mergeCell ref="D989:H989"/>
    <mergeCell ref="I989:M989"/>
    <mergeCell ref="I990:M990"/>
    <mergeCell ref="D997:H997"/>
    <mergeCell ref="D998:H998"/>
    <mergeCell ref="D999:H999"/>
    <mergeCell ref="D1000:H1000"/>
    <mergeCell ref="D990:H990"/>
    <mergeCell ref="D991:H991"/>
    <mergeCell ref="D992:H992"/>
    <mergeCell ref="D993:H993"/>
    <mergeCell ref="D994:H994"/>
    <mergeCell ref="D995:H995"/>
    <mergeCell ref="D996:H996"/>
    <mergeCell ref="I998:M998"/>
    <mergeCell ref="I999:M999"/>
    <mergeCell ref="I1000:M1000"/>
    <mergeCell ref="I991:M991"/>
    <mergeCell ref="I992:M992"/>
    <mergeCell ref="I993:M993"/>
    <mergeCell ref="I994:M994"/>
    <mergeCell ref="I995:M995"/>
    <mergeCell ref="I996:M996"/>
    <mergeCell ref="I997:M997"/>
    <mergeCell ref="I722:M722"/>
    <mergeCell ref="I723:M723"/>
    <mergeCell ref="I715:M715"/>
    <mergeCell ref="I716:M716"/>
    <mergeCell ref="I717:M717"/>
    <mergeCell ref="I718:M718"/>
    <mergeCell ref="I719:M719"/>
    <mergeCell ref="I720:M720"/>
    <mergeCell ref="I721:M721"/>
    <mergeCell ref="D697:H697"/>
    <mergeCell ref="I697:M697"/>
    <mergeCell ref="D698:H698"/>
    <mergeCell ref="I698:M698"/>
    <mergeCell ref="D699:H699"/>
    <mergeCell ref="I699:M699"/>
    <mergeCell ref="I700:M700"/>
    <mergeCell ref="D700:H700"/>
    <mergeCell ref="D701:H701"/>
    <mergeCell ref="D702:H702"/>
    <mergeCell ref="D703:H703"/>
    <mergeCell ref="D704:H704"/>
    <mergeCell ref="D705:H705"/>
    <mergeCell ref="D706:H706"/>
    <mergeCell ref="I701:M701"/>
    <mergeCell ref="I702:M702"/>
    <mergeCell ref="I703:M703"/>
    <mergeCell ref="I704:M704"/>
    <mergeCell ref="I705:M705"/>
    <mergeCell ref="I706:M706"/>
    <mergeCell ref="I707:M707"/>
    <mergeCell ref="D707:H707"/>
    <mergeCell ref="D708:H708"/>
    <mergeCell ref="D709:H709"/>
    <mergeCell ref="D710:H710"/>
    <mergeCell ref="D711:H711"/>
    <mergeCell ref="D712:H712"/>
    <mergeCell ref="D713:H713"/>
    <mergeCell ref="I708:M708"/>
    <mergeCell ref="I709:M709"/>
    <mergeCell ref="I710:M710"/>
    <mergeCell ref="I711:M711"/>
    <mergeCell ref="I712:M712"/>
    <mergeCell ref="I713:M713"/>
    <mergeCell ref="I714:M714"/>
    <mergeCell ref="D714:H714"/>
    <mergeCell ref="D715:H715"/>
    <mergeCell ref="D716:H716"/>
    <mergeCell ref="D717:H717"/>
    <mergeCell ref="D718:H718"/>
    <mergeCell ref="D719:H719"/>
    <mergeCell ref="D720:H720"/>
    <mergeCell ref="D721:H721"/>
    <mergeCell ref="D722:H722"/>
    <mergeCell ref="D723:H723"/>
    <mergeCell ref="D724:H724"/>
    <mergeCell ref="I724:M724"/>
    <mergeCell ref="D725:H725"/>
    <mergeCell ref="I725:M725"/>
    <mergeCell ref="I751:M751"/>
    <mergeCell ref="I752:M752"/>
    <mergeCell ref="I744:M744"/>
    <mergeCell ref="I745:M745"/>
    <mergeCell ref="I746:M746"/>
    <mergeCell ref="I747:M747"/>
    <mergeCell ref="I748:M748"/>
    <mergeCell ref="I749:M749"/>
    <mergeCell ref="I750:M750"/>
    <mergeCell ref="D726:H726"/>
    <mergeCell ref="I726:M726"/>
    <mergeCell ref="D727:H727"/>
    <mergeCell ref="I727:M727"/>
    <mergeCell ref="D728:H728"/>
    <mergeCell ref="I728:M728"/>
    <mergeCell ref="I729:M729"/>
    <mergeCell ref="D729:H729"/>
    <mergeCell ref="D730:H730"/>
    <mergeCell ref="D731:H731"/>
    <mergeCell ref="D732:H732"/>
    <mergeCell ref="D733:H733"/>
    <mergeCell ref="D734:H734"/>
    <mergeCell ref="D735:H735"/>
    <mergeCell ref="I730:M730"/>
    <mergeCell ref="I731:M731"/>
    <mergeCell ref="I732:M732"/>
    <mergeCell ref="I733:M733"/>
    <mergeCell ref="I734:M734"/>
    <mergeCell ref="I735:M735"/>
    <mergeCell ref="I736:M736"/>
    <mergeCell ref="D736:H736"/>
    <mergeCell ref="D737:H737"/>
    <mergeCell ref="D738:H738"/>
    <mergeCell ref="D739:H739"/>
    <mergeCell ref="D740:H740"/>
    <mergeCell ref="D741:H741"/>
    <mergeCell ref="D742:H742"/>
    <mergeCell ref="I737:M737"/>
    <mergeCell ref="I738:M738"/>
    <mergeCell ref="I739:M739"/>
    <mergeCell ref="I740:M740"/>
    <mergeCell ref="I741:M741"/>
    <mergeCell ref="I742:M742"/>
    <mergeCell ref="I743:M743"/>
    <mergeCell ref="D743:H743"/>
    <mergeCell ref="D744:H744"/>
    <mergeCell ref="D745:H745"/>
    <mergeCell ref="D746:H746"/>
    <mergeCell ref="D747:H747"/>
    <mergeCell ref="D748:H748"/>
    <mergeCell ref="D749:H749"/>
    <mergeCell ref="D750:H750"/>
    <mergeCell ref="D751:H751"/>
    <mergeCell ref="D752:H752"/>
    <mergeCell ref="D753:H753"/>
    <mergeCell ref="I753:M753"/>
    <mergeCell ref="D754:H754"/>
    <mergeCell ref="I754:M754"/>
    <mergeCell ref="I780:M780"/>
    <mergeCell ref="I781:M781"/>
    <mergeCell ref="I773:M773"/>
    <mergeCell ref="I774:M774"/>
    <mergeCell ref="I775:M775"/>
    <mergeCell ref="I776:M776"/>
    <mergeCell ref="I777:M777"/>
    <mergeCell ref="I778:M778"/>
    <mergeCell ref="I779:M779"/>
    <mergeCell ref="D755:H755"/>
    <mergeCell ref="I755:M755"/>
    <mergeCell ref="D756:H756"/>
    <mergeCell ref="I756:M756"/>
    <mergeCell ref="D757:H757"/>
    <mergeCell ref="I757:M757"/>
    <mergeCell ref="I758:M758"/>
    <mergeCell ref="D758:H758"/>
    <mergeCell ref="D759:H759"/>
    <mergeCell ref="D760:H760"/>
    <mergeCell ref="D761:H761"/>
    <mergeCell ref="D762:H762"/>
    <mergeCell ref="D763:H763"/>
    <mergeCell ref="D764:H764"/>
    <mergeCell ref="I759:M759"/>
    <mergeCell ref="I760:M760"/>
    <mergeCell ref="I761:M761"/>
    <mergeCell ref="I762:M762"/>
    <mergeCell ref="I763:M763"/>
    <mergeCell ref="I764:M764"/>
    <mergeCell ref="I765:M765"/>
    <mergeCell ref="D765:H765"/>
    <mergeCell ref="D766:H766"/>
    <mergeCell ref="D767:H767"/>
    <mergeCell ref="D768:H768"/>
    <mergeCell ref="D769:H769"/>
    <mergeCell ref="D770:H770"/>
    <mergeCell ref="D771:H771"/>
    <mergeCell ref="I766:M766"/>
    <mergeCell ref="I767:M767"/>
    <mergeCell ref="I768:M768"/>
    <mergeCell ref="I769:M769"/>
    <mergeCell ref="I770:M770"/>
    <mergeCell ref="I771:M771"/>
    <mergeCell ref="I772:M772"/>
    <mergeCell ref="D772:H772"/>
    <mergeCell ref="D773:H773"/>
    <mergeCell ref="D774:H774"/>
    <mergeCell ref="D775:H775"/>
    <mergeCell ref="D776:H776"/>
    <mergeCell ref="D777:H777"/>
    <mergeCell ref="D778:H778"/>
    <mergeCell ref="D779:H779"/>
    <mergeCell ref="D780:H780"/>
    <mergeCell ref="D781:H781"/>
    <mergeCell ref="D782:H782"/>
    <mergeCell ref="I782:M782"/>
    <mergeCell ref="D783:H783"/>
    <mergeCell ref="I783:M783"/>
    <mergeCell ref="I809:M809"/>
    <mergeCell ref="I810:M810"/>
    <mergeCell ref="I802:M802"/>
    <mergeCell ref="I803:M803"/>
    <mergeCell ref="I804:M804"/>
    <mergeCell ref="I805:M805"/>
    <mergeCell ref="I806:M806"/>
    <mergeCell ref="I807:M807"/>
    <mergeCell ref="I808:M808"/>
    <mergeCell ref="D784:H784"/>
    <mergeCell ref="I784:M784"/>
    <mergeCell ref="D785:H785"/>
    <mergeCell ref="I785:M785"/>
    <mergeCell ref="D786:H786"/>
    <mergeCell ref="I786:M786"/>
    <mergeCell ref="I787:M787"/>
    <mergeCell ref="D787:H787"/>
    <mergeCell ref="D788:H788"/>
    <mergeCell ref="D789:H789"/>
    <mergeCell ref="D790:H790"/>
    <mergeCell ref="D791:H791"/>
    <mergeCell ref="D792:H792"/>
    <mergeCell ref="D793:H793"/>
    <mergeCell ref="I788:M788"/>
    <mergeCell ref="I789:M789"/>
    <mergeCell ref="I790:M790"/>
    <mergeCell ref="I791:M791"/>
    <mergeCell ref="I792:M792"/>
    <mergeCell ref="I793:M793"/>
    <mergeCell ref="I794:M794"/>
    <mergeCell ref="D794:H794"/>
    <mergeCell ref="D795:H795"/>
    <mergeCell ref="D796:H796"/>
    <mergeCell ref="D797:H797"/>
    <mergeCell ref="D798:H798"/>
    <mergeCell ref="D799:H799"/>
    <mergeCell ref="D800:H800"/>
    <mergeCell ref="I795:M795"/>
    <mergeCell ref="I796:M796"/>
    <mergeCell ref="I797:M797"/>
    <mergeCell ref="I798:M798"/>
    <mergeCell ref="I799:M799"/>
    <mergeCell ref="I800:M800"/>
    <mergeCell ref="I801:M801"/>
    <mergeCell ref="D801:H801"/>
    <mergeCell ref="D802:H802"/>
    <mergeCell ref="D803:H803"/>
    <mergeCell ref="D804:H804"/>
    <mergeCell ref="D805:H805"/>
    <mergeCell ref="D806:H806"/>
    <mergeCell ref="D807:H807"/>
    <mergeCell ref="D808:H808"/>
    <mergeCell ref="D809:H809"/>
    <mergeCell ref="D810:H810"/>
    <mergeCell ref="D811:H811"/>
    <mergeCell ref="I811:M811"/>
    <mergeCell ref="D812:H812"/>
    <mergeCell ref="I812:M812"/>
    <mergeCell ref="I838:M838"/>
    <mergeCell ref="I839:M839"/>
    <mergeCell ref="I831:M831"/>
    <mergeCell ref="I832:M832"/>
    <mergeCell ref="I833:M833"/>
    <mergeCell ref="I834:M834"/>
    <mergeCell ref="I835:M835"/>
    <mergeCell ref="I836:M836"/>
    <mergeCell ref="I837:M837"/>
    <mergeCell ref="D813:H813"/>
    <mergeCell ref="I813:M813"/>
    <mergeCell ref="D814:H814"/>
    <mergeCell ref="I814:M814"/>
    <mergeCell ref="D815:H815"/>
    <mergeCell ref="I815:M815"/>
    <mergeCell ref="I816:M816"/>
    <mergeCell ref="D816:H816"/>
    <mergeCell ref="D817:H817"/>
    <mergeCell ref="D818:H818"/>
    <mergeCell ref="D819:H819"/>
    <mergeCell ref="D820:H820"/>
    <mergeCell ref="D821:H821"/>
    <mergeCell ref="D822:H822"/>
    <mergeCell ref="I817:M817"/>
    <mergeCell ref="I818:M818"/>
    <mergeCell ref="I819:M819"/>
    <mergeCell ref="I820:M820"/>
    <mergeCell ref="I821:M821"/>
    <mergeCell ref="I822:M822"/>
    <mergeCell ref="I823:M823"/>
    <mergeCell ref="D823:H823"/>
    <mergeCell ref="D824:H824"/>
    <mergeCell ref="D825:H825"/>
    <mergeCell ref="D826:H826"/>
    <mergeCell ref="D827:H827"/>
    <mergeCell ref="D828:H828"/>
    <mergeCell ref="D829:H829"/>
    <mergeCell ref="I824:M824"/>
    <mergeCell ref="I825:M825"/>
    <mergeCell ref="I826:M826"/>
    <mergeCell ref="I827:M827"/>
    <mergeCell ref="I828:M828"/>
    <mergeCell ref="I829:M829"/>
    <mergeCell ref="I830:M830"/>
    <mergeCell ref="D830:H830"/>
    <mergeCell ref="D831:H831"/>
    <mergeCell ref="D832:H832"/>
    <mergeCell ref="D833:H833"/>
    <mergeCell ref="D834:H834"/>
    <mergeCell ref="D835:H835"/>
    <mergeCell ref="D836:H836"/>
    <mergeCell ref="D837:H837"/>
    <mergeCell ref="D838:H838"/>
    <mergeCell ref="D839:H839"/>
    <mergeCell ref="D840:H840"/>
    <mergeCell ref="I840:M840"/>
    <mergeCell ref="D841:H841"/>
    <mergeCell ref="I841:M841"/>
    <mergeCell ref="I867:M867"/>
    <mergeCell ref="I868:M868"/>
    <mergeCell ref="I860:M860"/>
    <mergeCell ref="I861:M861"/>
    <mergeCell ref="I862:M862"/>
    <mergeCell ref="I863:M863"/>
    <mergeCell ref="I864:M864"/>
    <mergeCell ref="I865:M865"/>
    <mergeCell ref="I866:M866"/>
    <mergeCell ref="D842:H842"/>
    <mergeCell ref="I842:M842"/>
    <mergeCell ref="D843:H843"/>
    <mergeCell ref="I843:M843"/>
    <mergeCell ref="D844:H844"/>
    <mergeCell ref="I844:M844"/>
    <mergeCell ref="I845:M845"/>
    <mergeCell ref="D845:H845"/>
    <mergeCell ref="D846:H846"/>
    <mergeCell ref="D847:H847"/>
    <mergeCell ref="D848:H848"/>
    <mergeCell ref="D849:H849"/>
    <mergeCell ref="D850:H850"/>
    <mergeCell ref="D851:H851"/>
    <mergeCell ref="I846:M846"/>
    <mergeCell ref="I847:M847"/>
    <mergeCell ref="I848:M848"/>
    <mergeCell ref="I849:M849"/>
    <mergeCell ref="I850:M850"/>
    <mergeCell ref="I851:M851"/>
    <mergeCell ref="I852:M852"/>
    <mergeCell ref="D852:H852"/>
    <mergeCell ref="D853:H853"/>
    <mergeCell ref="D854:H854"/>
    <mergeCell ref="D855:H855"/>
    <mergeCell ref="D856:H856"/>
    <mergeCell ref="D857:H857"/>
    <mergeCell ref="D858:H858"/>
    <mergeCell ref="I853:M853"/>
    <mergeCell ref="I854:M854"/>
    <mergeCell ref="I855:M855"/>
    <mergeCell ref="I856:M856"/>
    <mergeCell ref="I857:M857"/>
    <mergeCell ref="I858:M858"/>
    <mergeCell ref="I859:M859"/>
    <mergeCell ref="D859:H859"/>
    <mergeCell ref="D860:H860"/>
    <mergeCell ref="D861:H861"/>
    <mergeCell ref="D862:H862"/>
    <mergeCell ref="D863:H863"/>
    <mergeCell ref="D864:H864"/>
    <mergeCell ref="D865:H865"/>
    <mergeCell ref="D866:H866"/>
    <mergeCell ref="D867:H867"/>
    <mergeCell ref="D868:H868"/>
    <mergeCell ref="D869:H869"/>
    <mergeCell ref="I869:M869"/>
    <mergeCell ref="D870:H870"/>
    <mergeCell ref="I870:M870"/>
    <mergeCell ref="I896:M896"/>
    <mergeCell ref="I897:M897"/>
    <mergeCell ref="I889:M889"/>
    <mergeCell ref="I890:M890"/>
    <mergeCell ref="I891:M891"/>
    <mergeCell ref="I892:M892"/>
    <mergeCell ref="I893:M893"/>
    <mergeCell ref="I894:M894"/>
    <mergeCell ref="I895:M895"/>
    <mergeCell ref="D871:H871"/>
    <mergeCell ref="I871:M871"/>
    <mergeCell ref="D872:H872"/>
    <mergeCell ref="I872:M872"/>
    <mergeCell ref="D873:H873"/>
    <mergeCell ref="I873:M873"/>
    <mergeCell ref="I874:M874"/>
    <mergeCell ref="D874:H874"/>
    <mergeCell ref="D875:H875"/>
    <mergeCell ref="D876:H876"/>
    <mergeCell ref="D877:H877"/>
    <mergeCell ref="D878:H878"/>
    <mergeCell ref="D879:H879"/>
    <mergeCell ref="D880:H880"/>
    <mergeCell ref="I875:M875"/>
    <mergeCell ref="I876:M876"/>
    <mergeCell ref="I877:M877"/>
    <mergeCell ref="I878:M878"/>
    <mergeCell ref="I879:M879"/>
    <mergeCell ref="I880:M880"/>
    <mergeCell ref="I881:M881"/>
    <mergeCell ref="D881:H881"/>
    <mergeCell ref="D882:H882"/>
    <mergeCell ref="D883:H883"/>
    <mergeCell ref="D884:H884"/>
    <mergeCell ref="D885:H885"/>
    <mergeCell ref="D886:H886"/>
    <mergeCell ref="D887:H887"/>
    <mergeCell ref="I882:M882"/>
    <mergeCell ref="I883:M883"/>
    <mergeCell ref="I884:M884"/>
    <mergeCell ref="I885:M885"/>
    <mergeCell ref="I886:M886"/>
    <mergeCell ref="I887:M887"/>
    <mergeCell ref="I888:M888"/>
    <mergeCell ref="D888:H888"/>
    <mergeCell ref="D889:H889"/>
    <mergeCell ref="D890:H890"/>
    <mergeCell ref="D891:H891"/>
    <mergeCell ref="D892:H892"/>
    <mergeCell ref="D893:H893"/>
    <mergeCell ref="D894:H894"/>
    <mergeCell ref="D895:H895"/>
    <mergeCell ref="D896:H896"/>
    <mergeCell ref="D897:H897"/>
    <mergeCell ref="D898:H898"/>
    <mergeCell ref="I898:M898"/>
    <mergeCell ref="D899:H899"/>
    <mergeCell ref="I899:M899"/>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0" showOutlineSymbols="1"/>
    <pageSetUpPr autoPageBreaks="1" fitToPage="0"/>
  </sheetPr>
  <sheetViews>
    <sheetView topLeftCell="A16" zoomScale="100" workbookViewId="0">
      <selection activeCell="A1" activeCellId="0" sqref="A1"/>
    </sheetView>
  </sheetViews>
  <sheetFormatPr defaultColWidth="12.630000000000001" defaultRowHeight="15.75" customHeight="1"/>
  <cols>
    <col customWidth="1" min="1" max="1" width="36.5"/>
    <col customWidth="1" min="11" max="16" width="12.630000000000001"/>
  </cols>
  <sheetData>
    <row r="1">
      <c r="A1" s="27"/>
      <c r="B1" s="73" t="s">
        <v>367</v>
      </c>
      <c r="C1" s="73" t="s">
        <v>368</v>
      </c>
      <c r="D1" s="74">
        <f>sum(D2:D21)</f>
        <v>1307000000</v>
      </c>
      <c r="E1" s="75" t="s">
        <v>369</v>
      </c>
      <c r="F1" s="75" t="s">
        <v>368</v>
      </c>
      <c r="G1" s="76">
        <f>sum(G2:G21)</f>
        <v>6000000</v>
      </c>
      <c r="H1" s="77" t="s">
        <v>370</v>
      </c>
      <c r="I1" s="77" t="s">
        <v>368</v>
      </c>
      <c r="J1" s="78">
        <f>sum(J2:J14)</f>
        <v>6000000</v>
      </c>
      <c r="K1" s="79" t="s">
        <v>371</v>
      </c>
    </row>
    <row r="2">
      <c r="A2" s="3"/>
      <c r="B2" s="80"/>
      <c r="C2" s="80" t="s">
        <v>372</v>
      </c>
      <c r="D2" s="80">
        <v>100000000</v>
      </c>
      <c r="E2" s="81"/>
      <c r="F2" s="81" t="s">
        <v>373</v>
      </c>
      <c r="G2" s="81">
        <v>1000000</v>
      </c>
      <c r="H2" s="82"/>
      <c r="I2" s="82" t="s">
        <v>374</v>
      </c>
      <c r="J2" s="82">
        <v>1000000</v>
      </c>
      <c r="K2" s="83">
        <f>sum(D24:D53,J15,J1,G1,D1)</f>
        <v>1457000000</v>
      </c>
    </row>
    <row r="3" ht="1.5" customHeight="1">
      <c r="A3" s="3"/>
      <c r="B3" s="80"/>
      <c r="C3" s="80"/>
      <c r="D3" s="80"/>
      <c r="E3" s="81"/>
      <c r="F3" s="81"/>
      <c r="G3" s="81"/>
      <c r="H3" s="82"/>
      <c r="I3" s="82"/>
      <c r="J3" s="82"/>
      <c r="K3" s="84"/>
    </row>
    <row r="4">
      <c r="A4" s="3"/>
      <c r="B4" s="80"/>
      <c r="C4" s="80" t="s">
        <v>98</v>
      </c>
      <c r="D4" s="80">
        <v>100000000</v>
      </c>
      <c r="E4" s="81"/>
      <c r="F4" s="81" t="s">
        <v>81</v>
      </c>
      <c r="G4" s="81">
        <v>5000000</v>
      </c>
      <c r="H4" s="82"/>
      <c r="I4" s="82" t="s">
        <v>81</v>
      </c>
      <c r="J4" s="82">
        <v>5000000</v>
      </c>
      <c r="K4" s="84"/>
    </row>
    <row r="5">
      <c r="A5" s="3"/>
      <c r="B5" s="80"/>
      <c r="C5" s="80" t="s">
        <v>375</v>
      </c>
      <c r="D5" s="80">
        <v>102000000</v>
      </c>
      <c r="E5" s="85"/>
      <c r="F5" s="81"/>
      <c r="G5" s="81"/>
      <c r="H5" s="86"/>
      <c r="I5" s="82"/>
      <c r="J5" s="82"/>
      <c r="K5" s="84"/>
    </row>
    <row r="6">
      <c r="A6" s="32"/>
      <c r="B6" s="87"/>
      <c r="C6" s="80" t="s">
        <v>376</v>
      </c>
      <c r="D6" s="80">
        <v>5000000</v>
      </c>
      <c r="E6" s="85"/>
      <c r="F6" s="81"/>
      <c r="G6" s="81"/>
      <c r="H6" s="86"/>
      <c r="I6" s="82"/>
      <c r="J6" s="82"/>
      <c r="K6" s="84"/>
    </row>
    <row r="7">
      <c r="A7" s="3"/>
      <c r="B7" s="80"/>
      <c r="C7" s="80" t="s">
        <v>377</v>
      </c>
      <c r="D7" s="80">
        <v>1000000000</v>
      </c>
      <c r="E7" s="85"/>
      <c r="F7" s="85"/>
      <c r="G7" s="85"/>
      <c r="H7" s="86"/>
      <c r="I7" s="86"/>
      <c r="J7" s="86"/>
      <c r="K7" s="84"/>
    </row>
    <row r="8">
      <c r="A8" s="3"/>
      <c r="B8" s="80"/>
      <c r="C8" s="80"/>
      <c r="D8" s="80"/>
      <c r="E8" s="85"/>
      <c r="F8" s="85"/>
      <c r="G8" s="85"/>
      <c r="H8" s="86"/>
      <c r="I8" s="86"/>
      <c r="J8" s="86"/>
      <c r="K8" s="84"/>
    </row>
    <row r="9">
      <c r="A9" s="32"/>
      <c r="B9" s="87"/>
      <c r="C9" s="87"/>
      <c r="D9" s="87"/>
      <c r="E9" s="85"/>
      <c r="F9" s="85"/>
      <c r="G9" s="85"/>
      <c r="H9" s="86"/>
      <c r="I9" s="86"/>
      <c r="J9" s="86"/>
      <c r="K9" s="84"/>
    </row>
    <row r="10">
      <c r="A10" s="32"/>
      <c r="B10" s="87"/>
      <c r="C10" s="87"/>
      <c r="D10" s="87"/>
      <c r="E10" s="85"/>
      <c r="F10" s="85"/>
      <c r="G10" s="85"/>
      <c r="H10" s="86"/>
      <c r="I10" s="86"/>
      <c r="J10" s="86"/>
      <c r="K10" s="84"/>
    </row>
    <row r="11">
      <c r="A11" s="32"/>
      <c r="B11" s="87"/>
      <c r="C11" s="87"/>
      <c r="D11" s="87"/>
      <c r="E11" s="81"/>
      <c r="F11" s="85"/>
      <c r="G11" s="85"/>
      <c r="H11" s="86"/>
      <c r="I11" s="86"/>
      <c r="J11" s="86"/>
      <c r="K11" s="84"/>
    </row>
    <row r="12">
      <c r="A12" s="32"/>
      <c r="B12" s="87"/>
      <c r="C12" s="87"/>
      <c r="D12" s="87"/>
      <c r="E12" s="81"/>
      <c r="F12" s="85"/>
      <c r="G12" s="85"/>
      <c r="H12" s="86"/>
      <c r="I12" s="86"/>
      <c r="J12" s="86"/>
      <c r="K12" s="84"/>
    </row>
    <row r="13">
      <c r="A13" s="32"/>
      <c r="B13" s="87"/>
      <c r="C13" s="87"/>
      <c r="D13" s="87"/>
      <c r="E13" s="85"/>
      <c r="F13" s="85"/>
      <c r="G13" s="85"/>
      <c r="H13" s="86"/>
      <c r="I13" s="86"/>
      <c r="J13" s="86"/>
      <c r="K13" s="84"/>
    </row>
    <row r="14">
      <c r="A14" s="32"/>
      <c r="B14" s="87"/>
      <c r="C14" s="87"/>
      <c r="D14" s="87"/>
      <c r="E14" s="85"/>
      <c r="F14" s="85"/>
      <c r="G14" s="85"/>
      <c r="H14" s="86"/>
      <c r="I14" s="86"/>
      <c r="J14" s="86"/>
      <c r="K14" s="84"/>
    </row>
    <row r="15">
      <c r="A15" s="32"/>
      <c r="B15" s="87"/>
      <c r="C15" s="87"/>
      <c r="D15" s="87"/>
      <c r="E15" s="85"/>
      <c r="F15" s="85"/>
      <c r="G15" s="85"/>
      <c r="H15" s="88" t="s">
        <v>378</v>
      </c>
      <c r="I15" s="88" t="s">
        <v>368</v>
      </c>
      <c r="J15" s="89">
        <f>sum(J16:J21)</f>
        <v>100303031</v>
      </c>
      <c r="K15" s="84"/>
    </row>
    <row r="16">
      <c r="A16" s="32"/>
      <c r="B16" s="87"/>
      <c r="C16" s="87"/>
      <c r="D16" s="87"/>
      <c r="E16" s="85"/>
      <c r="F16" s="85"/>
      <c r="G16" s="81"/>
      <c r="H16" s="90"/>
      <c r="I16" s="90" t="s">
        <v>81</v>
      </c>
      <c r="J16" s="90">
        <v>100000000</v>
      </c>
      <c r="K16" s="84"/>
    </row>
    <row r="17">
      <c r="A17" s="32"/>
      <c r="B17" s="87"/>
      <c r="C17" s="87"/>
      <c r="D17" s="87"/>
      <c r="E17" s="85"/>
      <c r="F17" s="85"/>
      <c r="G17" s="85"/>
      <c r="H17" s="91"/>
      <c r="I17" s="91" t="s">
        <v>373</v>
      </c>
      <c r="J17" s="91">
        <v>303031</v>
      </c>
      <c r="K17" s="84"/>
    </row>
    <row r="18">
      <c r="A18" s="3"/>
      <c r="B18" s="80"/>
      <c r="C18" s="80"/>
      <c r="D18" s="87"/>
      <c r="E18" s="85"/>
      <c r="F18" s="85"/>
      <c r="G18" s="85"/>
      <c r="H18" s="91"/>
      <c r="I18" s="91"/>
      <c r="J18" s="91"/>
      <c r="K18" s="84"/>
    </row>
    <row r="19">
      <c r="A19" s="32"/>
      <c r="B19" s="87"/>
      <c r="C19" s="87"/>
      <c r="D19" s="87"/>
      <c r="E19" s="85"/>
      <c r="F19" s="85"/>
      <c r="G19" s="85"/>
      <c r="H19" s="91"/>
      <c r="I19" s="91"/>
      <c r="J19" s="91"/>
      <c r="K19" s="84"/>
    </row>
    <row r="20">
      <c r="A20" s="32"/>
      <c r="B20" s="87"/>
      <c r="C20" s="87"/>
      <c r="D20" s="87"/>
      <c r="E20" s="85"/>
      <c r="F20" s="85"/>
      <c r="G20" s="85"/>
      <c r="H20" s="91"/>
      <c r="I20" s="91"/>
      <c r="J20" s="91"/>
      <c r="K20" s="84"/>
    </row>
    <row r="21">
      <c r="A21" s="3"/>
      <c r="B21" s="80"/>
      <c r="C21" s="80"/>
      <c r="D21" s="87"/>
      <c r="E21" s="85"/>
      <c r="F21" s="85"/>
      <c r="G21" s="85"/>
      <c r="H21" s="91"/>
      <c r="I21" s="91"/>
      <c r="J21" s="91"/>
      <c r="K21" s="84"/>
    </row>
    <row r="22">
      <c r="A22" s="32"/>
      <c r="B22" s="3"/>
      <c r="C22" s="3"/>
    </row>
    <row r="23">
      <c r="A23" s="32"/>
      <c r="B23" s="92" t="s">
        <v>379</v>
      </c>
      <c r="C23" s="92" t="s">
        <v>368</v>
      </c>
      <c r="D23" s="92" t="s">
        <v>380</v>
      </c>
      <c r="E23" s="93" t="s">
        <v>381</v>
      </c>
      <c r="F23" s="92" t="s">
        <v>382</v>
      </c>
      <c r="G23" s="94"/>
      <c r="H23" s="94"/>
      <c r="I23" s="94"/>
      <c r="J23" s="94"/>
    </row>
    <row r="24">
      <c r="A24" s="95"/>
      <c r="B24" s="96"/>
      <c r="C24" s="96" t="s">
        <v>81</v>
      </c>
      <c r="D24" s="96">
        <v>1000000</v>
      </c>
      <c r="E24" s="97">
        <v>1</v>
      </c>
      <c r="F24" s="96" t="s">
        <v>383</v>
      </c>
      <c r="G24" s="98"/>
      <c r="H24" s="98"/>
      <c r="I24" s="98"/>
      <c r="J24" s="98"/>
    </row>
    <row r="25">
      <c r="A25" s="95"/>
      <c r="B25" s="96"/>
      <c r="C25" s="96" t="s">
        <v>81</v>
      </c>
      <c r="D25" s="96">
        <v>1000000</v>
      </c>
      <c r="E25" s="97">
        <v>2</v>
      </c>
      <c r="F25" s="96" t="s">
        <v>384</v>
      </c>
      <c r="G25" s="98"/>
      <c r="H25" s="98"/>
      <c r="I25" s="98"/>
      <c r="J25" s="98"/>
    </row>
    <row r="26">
      <c r="A26" s="95"/>
      <c r="B26" s="99" t="s">
        <v>241</v>
      </c>
      <c r="C26" s="96" t="s">
        <v>81</v>
      </c>
      <c r="D26" s="96">
        <v>1000000</v>
      </c>
      <c r="E26" s="97">
        <v>3</v>
      </c>
      <c r="F26" s="96" t="s">
        <v>385</v>
      </c>
      <c r="G26" s="98"/>
      <c r="H26" s="98"/>
      <c r="I26" s="98"/>
      <c r="J26" s="98"/>
    </row>
    <row r="27">
      <c r="A27" s="95"/>
      <c r="B27" s="96"/>
      <c r="C27" s="96" t="s">
        <v>81</v>
      </c>
      <c r="D27" s="96">
        <v>5000000</v>
      </c>
      <c r="E27" s="97">
        <v>4</v>
      </c>
      <c r="F27" s="96" t="s">
        <v>386</v>
      </c>
      <c r="G27" s="98"/>
      <c r="H27" s="98"/>
      <c r="I27" s="98"/>
      <c r="J27" s="98"/>
    </row>
    <row r="28">
      <c r="A28" s="95"/>
      <c r="B28" s="96" t="s">
        <v>387</v>
      </c>
      <c r="C28" s="96" t="s">
        <v>235</v>
      </c>
      <c r="D28" s="96">
        <v>5000000</v>
      </c>
      <c r="E28" s="97">
        <v>5</v>
      </c>
      <c r="F28" s="96" t="s">
        <v>388</v>
      </c>
      <c r="G28" s="98"/>
      <c r="H28" s="98"/>
      <c r="I28" s="98"/>
      <c r="J28" s="98"/>
    </row>
    <row r="29">
      <c r="A29" s="95"/>
      <c r="B29" s="99" t="s">
        <v>87</v>
      </c>
      <c r="C29" s="96" t="s">
        <v>241</v>
      </c>
      <c r="D29" s="96">
        <v>696969</v>
      </c>
      <c r="E29" s="97">
        <v>6</v>
      </c>
      <c r="F29" s="96" t="s">
        <v>389</v>
      </c>
      <c r="G29" s="98"/>
      <c r="H29" s="98"/>
      <c r="I29" s="98"/>
      <c r="J29" s="98"/>
    </row>
    <row r="30">
      <c r="A30" s="95"/>
      <c r="B30" s="96"/>
      <c r="C30" s="96" t="s">
        <v>373</v>
      </c>
      <c r="D30" s="96">
        <v>5000000</v>
      </c>
      <c r="E30" s="97">
        <v>7</v>
      </c>
      <c r="F30" s="96" t="s">
        <v>390</v>
      </c>
      <c r="G30" s="98"/>
      <c r="H30" s="98"/>
      <c r="I30" s="98"/>
      <c r="J30" s="98"/>
    </row>
    <row r="31">
      <c r="A31" s="95"/>
      <c r="B31" s="96" t="s">
        <v>105</v>
      </c>
      <c r="C31" s="96" t="s">
        <v>373</v>
      </c>
      <c r="D31" s="96">
        <v>5000000</v>
      </c>
      <c r="E31" s="97">
        <v>8</v>
      </c>
      <c r="F31" s="96" t="s">
        <v>391</v>
      </c>
      <c r="G31" s="98"/>
      <c r="H31" s="98"/>
      <c r="I31" s="98"/>
      <c r="J31" s="98"/>
    </row>
    <row r="32">
      <c r="A32" s="95"/>
      <c r="B32" s="96" t="s">
        <v>143</v>
      </c>
      <c r="C32" s="96" t="s">
        <v>114</v>
      </c>
      <c r="D32" s="96">
        <v>5000000</v>
      </c>
      <c r="E32" s="97">
        <v>9</v>
      </c>
      <c r="F32" s="96" t="s">
        <v>392</v>
      </c>
      <c r="G32" s="98"/>
      <c r="H32" s="98"/>
      <c r="I32" s="98"/>
      <c r="J32" s="98"/>
    </row>
    <row r="33">
      <c r="A33" s="95"/>
      <c r="B33" s="96"/>
      <c r="C33" s="96" t="s">
        <v>89</v>
      </c>
      <c r="D33" s="96">
        <v>9000000</v>
      </c>
      <c r="E33" s="97">
        <v>10</v>
      </c>
      <c r="F33" s="96" t="s">
        <v>393</v>
      </c>
      <c r="G33" s="98"/>
      <c r="H33" s="98"/>
      <c r="I33" s="98"/>
      <c r="J33" s="98"/>
    </row>
    <row r="34">
      <c r="A34" s="95"/>
      <c r="B34" s="96"/>
      <c r="C34" s="96"/>
      <c r="D34" s="96"/>
      <c r="E34" s="97">
        <v>11</v>
      </c>
      <c r="F34" s="96"/>
      <c r="G34" s="98"/>
      <c r="H34" s="98"/>
      <c r="I34" s="98"/>
      <c r="J34" s="98"/>
    </row>
    <row r="35">
      <c r="A35" s="95"/>
      <c r="B35" s="96"/>
      <c r="C35" s="96"/>
      <c r="D35" s="96"/>
      <c r="E35" s="97">
        <v>12</v>
      </c>
      <c r="F35" s="96"/>
      <c r="G35" s="98"/>
      <c r="H35" s="98"/>
      <c r="I35" s="98"/>
      <c r="J35" s="98"/>
    </row>
    <row r="36">
      <c r="A36" s="95"/>
      <c r="B36" s="98"/>
      <c r="C36" s="96"/>
      <c r="D36" s="96"/>
      <c r="E36" s="97">
        <v>13</v>
      </c>
      <c r="F36" s="96"/>
      <c r="G36" s="98"/>
      <c r="H36" s="98"/>
      <c r="I36" s="98"/>
      <c r="J36" s="98"/>
    </row>
    <row r="37">
      <c r="A37" s="95"/>
      <c r="B37" s="96"/>
      <c r="C37" s="96"/>
      <c r="D37" s="96"/>
      <c r="E37" s="97">
        <v>14</v>
      </c>
      <c r="F37" s="96"/>
      <c r="G37" s="98"/>
      <c r="H37" s="98"/>
      <c r="I37" s="98"/>
      <c r="J37" s="98"/>
    </row>
    <row r="38">
      <c r="A38" s="95"/>
      <c r="B38" s="98"/>
      <c r="C38" s="98"/>
      <c r="D38" s="98"/>
      <c r="E38" s="97">
        <v>15</v>
      </c>
      <c r="F38" s="98"/>
      <c r="G38" s="98"/>
      <c r="H38" s="98"/>
      <c r="I38" s="98"/>
      <c r="J38" s="98"/>
    </row>
    <row r="39">
      <c r="A39" s="95"/>
      <c r="B39" s="98"/>
      <c r="C39" s="98"/>
      <c r="D39" s="98"/>
      <c r="E39" s="97">
        <v>16</v>
      </c>
      <c r="F39" s="98"/>
      <c r="G39" s="98"/>
      <c r="H39" s="98"/>
      <c r="I39" s="98"/>
      <c r="J39" s="98"/>
    </row>
    <row r="40">
      <c r="A40" s="95"/>
      <c r="B40" s="98"/>
      <c r="C40" s="98"/>
      <c r="D40" s="98"/>
      <c r="E40" s="97">
        <v>17</v>
      </c>
      <c r="F40" s="98"/>
      <c r="G40" s="98"/>
      <c r="H40" s="98"/>
      <c r="I40" s="98"/>
      <c r="J40" s="98"/>
    </row>
    <row r="41">
      <c r="A41" s="95"/>
      <c r="B41" s="98"/>
      <c r="C41" s="98"/>
      <c r="D41" s="98"/>
      <c r="E41" s="97">
        <v>18</v>
      </c>
      <c r="F41" s="98"/>
      <c r="G41" s="98"/>
      <c r="H41" s="98"/>
      <c r="I41" s="98"/>
      <c r="J41" s="98"/>
    </row>
    <row r="42">
      <c r="A42" s="95"/>
      <c r="B42" s="98"/>
      <c r="C42" s="98"/>
      <c r="D42" s="98"/>
      <c r="E42" s="97">
        <v>19</v>
      </c>
      <c r="F42" s="98"/>
      <c r="G42" s="98"/>
      <c r="H42" s="98"/>
      <c r="I42" s="98"/>
      <c r="J42" s="98"/>
    </row>
    <row r="43">
      <c r="A43" s="95"/>
      <c r="B43" s="98"/>
      <c r="C43" s="98"/>
      <c r="D43" s="98"/>
      <c r="E43" s="97">
        <v>20</v>
      </c>
      <c r="F43" s="98"/>
      <c r="G43" s="98"/>
      <c r="H43" s="98"/>
      <c r="I43" s="98"/>
      <c r="J43" s="98"/>
    </row>
    <row r="44">
      <c r="A44" s="95"/>
      <c r="B44" s="98"/>
      <c r="C44" s="98"/>
      <c r="D44" s="98"/>
      <c r="E44" s="97">
        <v>21</v>
      </c>
      <c r="F44" s="98"/>
      <c r="G44" s="98"/>
      <c r="H44" s="98"/>
      <c r="I44" s="98"/>
      <c r="J44" s="98"/>
    </row>
    <row r="45">
      <c r="A45" s="95"/>
      <c r="B45" s="98"/>
      <c r="C45" s="98"/>
      <c r="D45" s="98"/>
      <c r="E45" s="97">
        <v>22</v>
      </c>
      <c r="F45" s="98"/>
      <c r="G45" s="98"/>
      <c r="H45" s="98"/>
      <c r="I45" s="98"/>
      <c r="J45" s="98"/>
    </row>
    <row r="46">
      <c r="A46" s="95"/>
      <c r="B46" s="98"/>
      <c r="C46" s="98"/>
      <c r="D46" s="98"/>
      <c r="E46" s="97">
        <v>23</v>
      </c>
      <c r="F46" s="98"/>
      <c r="G46" s="98"/>
      <c r="H46" s="98"/>
      <c r="I46" s="98"/>
      <c r="J46" s="98"/>
    </row>
    <row r="47">
      <c r="A47" s="95"/>
      <c r="B47" s="98"/>
      <c r="C47" s="98"/>
      <c r="D47" s="98"/>
      <c r="E47" s="97">
        <v>24</v>
      </c>
      <c r="F47" s="98"/>
      <c r="G47" s="98"/>
      <c r="H47" s="98"/>
      <c r="I47" s="98"/>
      <c r="J47" s="98"/>
    </row>
    <row r="48">
      <c r="A48" s="95"/>
      <c r="B48" s="98"/>
      <c r="C48" s="98"/>
      <c r="D48" s="98"/>
      <c r="E48" s="97">
        <v>25</v>
      </c>
      <c r="F48" s="98"/>
      <c r="G48" s="98"/>
      <c r="H48" s="98"/>
      <c r="I48" s="98"/>
      <c r="J48" s="98"/>
    </row>
    <row r="49">
      <c r="A49" s="95"/>
      <c r="B49" s="96"/>
      <c r="C49" s="98"/>
      <c r="D49" s="98"/>
      <c r="E49" s="97">
        <v>26</v>
      </c>
      <c r="F49" s="98"/>
      <c r="G49" s="98"/>
      <c r="H49" s="98"/>
      <c r="I49" s="98"/>
      <c r="J49" s="98"/>
    </row>
    <row r="50">
      <c r="A50" s="95"/>
      <c r="B50" s="98"/>
      <c r="C50" s="98"/>
      <c r="D50" s="98"/>
      <c r="E50" s="97">
        <v>27</v>
      </c>
      <c r="F50" s="98"/>
      <c r="G50" s="98"/>
      <c r="H50" s="98"/>
      <c r="I50" s="98"/>
      <c r="J50" s="98"/>
    </row>
    <row r="51">
      <c r="A51" s="95"/>
      <c r="B51" s="98"/>
      <c r="C51" s="98"/>
      <c r="D51" s="98"/>
      <c r="E51" s="97">
        <v>28</v>
      </c>
      <c r="F51" s="98"/>
      <c r="G51" s="98"/>
      <c r="H51" s="98"/>
      <c r="I51" s="98"/>
      <c r="J51" s="98"/>
    </row>
    <row r="52">
      <c r="A52" s="95"/>
      <c r="B52" s="98"/>
      <c r="C52" s="98"/>
      <c r="D52" s="98"/>
      <c r="E52" s="97">
        <v>29</v>
      </c>
      <c r="F52" s="98"/>
      <c r="G52" s="98"/>
      <c r="H52" s="98"/>
      <c r="I52" s="98"/>
      <c r="J52" s="98"/>
    </row>
    <row r="53">
      <c r="A53" s="95"/>
      <c r="B53" s="98"/>
      <c r="C53" s="98"/>
      <c r="D53" s="98"/>
      <c r="E53" s="97">
        <v>30</v>
      </c>
      <c r="F53" s="98"/>
      <c r="G53" s="98"/>
      <c r="H53" s="98"/>
      <c r="I53" s="98"/>
      <c r="J53" s="98"/>
    </row>
    <row r="54">
      <c r="A54" s="32"/>
      <c r="D54" s="100"/>
    </row>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32"/>
    </row>
    <row r="96">
      <c r="A96" s="32"/>
    </row>
    <row r="97">
      <c r="A97" s="32"/>
    </row>
    <row r="98">
      <c r="A98" s="32"/>
    </row>
    <row r="99">
      <c r="A99" s="32"/>
    </row>
    <row r="100">
      <c r="A100" s="32"/>
    </row>
    <row r="101">
      <c r="A101" s="32"/>
    </row>
    <row r="102">
      <c r="A102" s="32"/>
    </row>
    <row r="103">
      <c r="A103" s="32"/>
    </row>
    <row r="104">
      <c r="A104" s="32"/>
    </row>
    <row r="105">
      <c r="A105" s="32"/>
    </row>
    <row r="106">
      <c r="A106" s="32"/>
    </row>
    <row r="107">
      <c r="A107" s="32"/>
    </row>
    <row r="108">
      <c r="A108" s="32"/>
    </row>
    <row r="109">
      <c r="A109" s="32"/>
    </row>
    <row r="110">
      <c r="A110" s="32"/>
    </row>
    <row r="111">
      <c r="A111" s="32"/>
    </row>
    <row r="112">
      <c r="A112" s="32"/>
    </row>
    <row r="113">
      <c r="A113" s="32"/>
    </row>
    <row r="114">
      <c r="A114" s="32"/>
    </row>
    <row r="115">
      <c r="A115" s="32"/>
    </row>
    <row r="116">
      <c r="A116" s="32"/>
    </row>
    <row r="117">
      <c r="A117" s="32"/>
    </row>
    <row r="118">
      <c r="A118" s="32"/>
    </row>
    <row r="119">
      <c r="A119" s="32"/>
    </row>
    <row r="120">
      <c r="A120" s="32"/>
    </row>
    <row r="121">
      <c r="A121" s="32"/>
    </row>
    <row r="122">
      <c r="A122" s="32"/>
    </row>
    <row r="123">
      <c r="A123" s="32"/>
    </row>
    <row r="124">
      <c r="A124" s="32"/>
    </row>
    <row r="125">
      <c r="A125" s="32"/>
    </row>
    <row r="126">
      <c r="A126" s="32"/>
    </row>
    <row r="127">
      <c r="A127" s="32"/>
    </row>
    <row r="128">
      <c r="A128" s="32"/>
    </row>
    <row r="129">
      <c r="A129" s="32"/>
    </row>
    <row r="130">
      <c r="A130" s="32"/>
    </row>
    <row r="131">
      <c r="A131" s="32"/>
    </row>
    <row r="132">
      <c r="A132" s="32"/>
    </row>
    <row r="133">
      <c r="A133" s="32"/>
    </row>
    <row r="134">
      <c r="A134" s="32"/>
    </row>
    <row r="135">
      <c r="A135" s="32"/>
    </row>
    <row r="136">
      <c r="A136" s="32"/>
    </row>
    <row r="137">
      <c r="A137" s="32"/>
    </row>
    <row r="138">
      <c r="A138" s="32"/>
    </row>
    <row r="139">
      <c r="A139" s="32"/>
    </row>
    <row r="140">
      <c r="A140" s="32"/>
    </row>
    <row r="141">
      <c r="A141" s="32"/>
    </row>
    <row r="142">
      <c r="A142" s="32"/>
    </row>
    <row r="143">
      <c r="A143" s="32"/>
    </row>
    <row r="144">
      <c r="A144" s="32"/>
    </row>
    <row r="145">
      <c r="A145" s="32"/>
    </row>
    <row r="146">
      <c r="A146" s="32"/>
    </row>
    <row r="147">
      <c r="A147" s="32"/>
    </row>
    <row r="148">
      <c r="A148" s="32"/>
    </row>
    <row r="149">
      <c r="A149" s="32"/>
    </row>
    <row r="150">
      <c r="A150" s="32"/>
    </row>
    <row r="151">
      <c r="A151" s="32"/>
    </row>
    <row r="152">
      <c r="A152" s="32"/>
    </row>
    <row r="153">
      <c r="A153" s="32"/>
    </row>
    <row r="154">
      <c r="A154" s="32"/>
    </row>
    <row r="155">
      <c r="A155" s="32"/>
    </row>
    <row r="156">
      <c r="A156" s="32"/>
    </row>
    <row r="157">
      <c r="A157" s="32"/>
    </row>
    <row r="158">
      <c r="A158" s="32"/>
    </row>
    <row r="159">
      <c r="A159" s="32"/>
    </row>
    <row r="160">
      <c r="A160" s="32"/>
    </row>
    <row r="161">
      <c r="A161" s="32"/>
    </row>
    <row r="162">
      <c r="A162" s="32"/>
    </row>
    <row r="163">
      <c r="A163" s="32"/>
    </row>
    <row r="164">
      <c r="A164" s="32"/>
    </row>
    <row r="165">
      <c r="A165" s="32"/>
    </row>
    <row r="166">
      <c r="A166" s="32"/>
    </row>
    <row r="167">
      <c r="A167" s="32"/>
    </row>
    <row r="168">
      <c r="A168" s="32"/>
    </row>
    <row r="169">
      <c r="A169" s="32"/>
    </row>
    <row r="170">
      <c r="A170" s="32"/>
    </row>
    <row r="171">
      <c r="A171" s="32"/>
    </row>
    <row r="172">
      <c r="A172" s="32"/>
    </row>
    <row r="173">
      <c r="A173" s="32"/>
    </row>
    <row r="174">
      <c r="A174" s="32"/>
    </row>
    <row r="175">
      <c r="A175" s="32"/>
    </row>
    <row r="176">
      <c r="A176" s="32"/>
    </row>
    <row r="177">
      <c r="A177" s="32"/>
    </row>
    <row r="178">
      <c r="A178" s="32"/>
    </row>
    <row r="179">
      <c r="A179" s="32"/>
    </row>
    <row r="180">
      <c r="A180" s="32"/>
    </row>
    <row r="181">
      <c r="A181" s="32"/>
    </row>
    <row r="182">
      <c r="A182" s="32"/>
    </row>
    <row r="183">
      <c r="A183" s="32"/>
    </row>
    <row r="184">
      <c r="A184" s="32"/>
    </row>
    <row r="185">
      <c r="A185" s="32"/>
    </row>
    <row r="186">
      <c r="A186" s="32"/>
    </row>
    <row r="187">
      <c r="A187" s="32"/>
    </row>
    <row r="188">
      <c r="A188" s="32"/>
    </row>
    <row r="189">
      <c r="A189" s="32"/>
    </row>
    <row r="190">
      <c r="A190" s="32"/>
    </row>
    <row r="191">
      <c r="A191" s="32"/>
    </row>
    <row r="192">
      <c r="A192" s="32"/>
    </row>
    <row r="193">
      <c r="A193" s="32"/>
    </row>
    <row r="194">
      <c r="A194" s="32"/>
    </row>
    <row r="195">
      <c r="A195" s="32"/>
    </row>
    <row r="196">
      <c r="A196" s="32"/>
    </row>
    <row r="197">
      <c r="A197" s="32"/>
    </row>
    <row r="198">
      <c r="A198" s="32"/>
    </row>
    <row r="199">
      <c r="A199" s="32"/>
    </row>
    <row r="200">
      <c r="A200" s="32"/>
    </row>
    <row r="201">
      <c r="A201" s="32"/>
    </row>
    <row r="202">
      <c r="A202" s="32"/>
    </row>
    <row r="203">
      <c r="A203" s="32"/>
    </row>
    <row r="204">
      <c r="A204" s="32"/>
    </row>
    <row r="205">
      <c r="A205" s="32"/>
    </row>
    <row r="206">
      <c r="A206" s="32"/>
    </row>
    <row r="207">
      <c r="A207" s="32"/>
    </row>
    <row r="208">
      <c r="A208" s="32"/>
    </row>
    <row r="209">
      <c r="A209" s="32"/>
    </row>
    <row r="210">
      <c r="A210" s="32"/>
    </row>
    <row r="211">
      <c r="A211" s="32"/>
    </row>
    <row r="212">
      <c r="A212" s="32"/>
    </row>
    <row r="213">
      <c r="A213" s="32"/>
    </row>
    <row r="214">
      <c r="A214" s="32"/>
    </row>
    <row r="215">
      <c r="A215" s="32"/>
    </row>
    <row r="216">
      <c r="A216" s="32"/>
    </row>
    <row r="217">
      <c r="A217" s="32"/>
    </row>
    <row r="218">
      <c r="A218" s="32"/>
    </row>
    <row r="219">
      <c r="A219" s="32"/>
    </row>
    <row r="220">
      <c r="A220" s="32"/>
    </row>
    <row r="221">
      <c r="A221" s="32"/>
    </row>
    <row r="222">
      <c r="A222" s="32"/>
    </row>
    <row r="223">
      <c r="A223" s="32"/>
    </row>
    <row r="224">
      <c r="A224" s="32"/>
    </row>
    <row r="225">
      <c r="A225" s="32"/>
    </row>
    <row r="226">
      <c r="A226" s="32"/>
    </row>
    <row r="227">
      <c r="A227" s="32"/>
    </row>
    <row r="228">
      <c r="A228" s="32"/>
    </row>
    <row r="229">
      <c r="A229" s="32"/>
    </row>
    <row r="230">
      <c r="A230" s="32"/>
    </row>
    <row r="231">
      <c r="A231" s="32"/>
    </row>
    <row r="232">
      <c r="A232" s="32"/>
    </row>
    <row r="233">
      <c r="A233" s="32"/>
    </row>
    <row r="234">
      <c r="A234" s="32"/>
    </row>
    <row r="235">
      <c r="A235" s="32"/>
    </row>
    <row r="236">
      <c r="A236" s="32"/>
    </row>
    <row r="237">
      <c r="A237" s="32"/>
    </row>
    <row r="238">
      <c r="A238" s="32"/>
    </row>
    <row r="239">
      <c r="A239" s="32"/>
    </row>
    <row r="240">
      <c r="A240" s="32"/>
    </row>
    <row r="241">
      <c r="A241" s="32"/>
    </row>
    <row r="242">
      <c r="A242" s="32"/>
    </row>
    <row r="243">
      <c r="A243" s="32"/>
    </row>
    <row r="244">
      <c r="A244" s="32"/>
    </row>
    <row r="245">
      <c r="A245" s="32"/>
    </row>
    <row r="246">
      <c r="A246" s="32"/>
    </row>
    <row r="247">
      <c r="A247" s="32"/>
    </row>
    <row r="248">
      <c r="A248" s="32"/>
    </row>
    <row r="249">
      <c r="A249" s="32"/>
    </row>
    <row r="250">
      <c r="A250" s="32"/>
    </row>
    <row r="251">
      <c r="A251" s="32"/>
    </row>
    <row r="252">
      <c r="A252" s="32"/>
    </row>
    <row r="253">
      <c r="A253" s="32"/>
    </row>
    <row r="254">
      <c r="A254" s="32"/>
    </row>
    <row r="255">
      <c r="A255" s="32"/>
    </row>
    <row r="256">
      <c r="A256" s="32"/>
    </row>
    <row r="257">
      <c r="A257" s="32"/>
    </row>
    <row r="258">
      <c r="A258" s="32"/>
    </row>
    <row r="259">
      <c r="A259" s="32"/>
    </row>
    <row r="260">
      <c r="A260" s="32"/>
    </row>
    <row r="261">
      <c r="A261" s="32"/>
    </row>
    <row r="262">
      <c r="A262" s="32"/>
    </row>
    <row r="263">
      <c r="A263" s="32"/>
    </row>
    <row r="264">
      <c r="A264" s="32"/>
    </row>
    <row r="265">
      <c r="A265" s="32"/>
    </row>
    <row r="266">
      <c r="A266" s="32"/>
    </row>
    <row r="267">
      <c r="A267" s="32"/>
    </row>
    <row r="268">
      <c r="A268" s="32"/>
    </row>
    <row r="269">
      <c r="A269" s="32"/>
    </row>
    <row r="270">
      <c r="A270" s="32"/>
    </row>
    <row r="271">
      <c r="A271" s="32"/>
    </row>
    <row r="272">
      <c r="A272" s="32"/>
    </row>
    <row r="273">
      <c r="A273" s="32"/>
    </row>
    <row r="274">
      <c r="A274" s="32"/>
    </row>
    <row r="275">
      <c r="A275" s="32"/>
    </row>
    <row r="276">
      <c r="A276" s="32"/>
    </row>
    <row r="277">
      <c r="A277" s="32"/>
    </row>
    <row r="278">
      <c r="A278" s="32"/>
    </row>
    <row r="279">
      <c r="A279" s="32"/>
    </row>
    <row r="280">
      <c r="A280" s="32"/>
    </row>
    <row r="281">
      <c r="A281" s="32"/>
    </row>
    <row r="282">
      <c r="A282" s="32"/>
    </row>
    <row r="283">
      <c r="A283" s="32"/>
    </row>
    <row r="284">
      <c r="A284" s="32"/>
    </row>
    <row r="285">
      <c r="A285" s="32"/>
    </row>
    <row r="286">
      <c r="A286" s="32"/>
    </row>
    <row r="287">
      <c r="A287" s="32"/>
    </row>
    <row r="288">
      <c r="A288" s="32"/>
    </row>
    <row r="289">
      <c r="A289" s="32"/>
    </row>
    <row r="290">
      <c r="A290" s="32"/>
    </row>
    <row r="291">
      <c r="A291" s="32"/>
    </row>
    <row r="292">
      <c r="A292" s="32"/>
    </row>
    <row r="293">
      <c r="A293" s="32"/>
    </row>
    <row r="294">
      <c r="A294" s="32"/>
    </row>
    <row r="295">
      <c r="A295" s="32"/>
    </row>
    <row r="296">
      <c r="A296" s="32"/>
    </row>
    <row r="297">
      <c r="A297" s="32"/>
    </row>
    <row r="298">
      <c r="A298" s="32"/>
    </row>
    <row r="299">
      <c r="A299" s="32"/>
    </row>
    <row r="300">
      <c r="A300" s="32"/>
    </row>
    <row r="301">
      <c r="A301" s="32"/>
    </row>
    <row r="302">
      <c r="A302" s="32"/>
    </row>
    <row r="303">
      <c r="A303" s="32"/>
    </row>
    <row r="304">
      <c r="A304" s="32"/>
    </row>
    <row r="305">
      <c r="A305" s="32"/>
    </row>
    <row r="306">
      <c r="A306" s="32"/>
    </row>
    <row r="307">
      <c r="A307" s="32"/>
    </row>
    <row r="308">
      <c r="A308" s="32"/>
    </row>
    <row r="309">
      <c r="A309" s="32"/>
    </row>
    <row r="310">
      <c r="A310" s="32"/>
    </row>
    <row r="311">
      <c r="A311" s="32"/>
    </row>
    <row r="312">
      <c r="A312" s="32"/>
    </row>
    <row r="313">
      <c r="A313" s="32"/>
    </row>
    <row r="314">
      <c r="A314" s="32"/>
    </row>
    <row r="315">
      <c r="A315" s="32"/>
    </row>
    <row r="316">
      <c r="A316" s="32"/>
    </row>
    <row r="317">
      <c r="A317" s="32"/>
    </row>
    <row r="318">
      <c r="A318" s="32"/>
    </row>
    <row r="319">
      <c r="A319" s="32"/>
    </row>
    <row r="320">
      <c r="A320" s="32"/>
    </row>
    <row r="321">
      <c r="A321" s="32"/>
    </row>
    <row r="322">
      <c r="A322" s="32"/>
    </row>
    <row r="323">
      <c r="A323" s="32"/>
    </row>
    <row r="324">
      <c r="A324" s="32"/>
    </row>
    <row r="325">
      <c r="A325" s="32"/>
    </row>
    <row r="326">
      <c r="A326" s="32"/>
    </row>
    <row r="327">
      <c r="A327" s="32"/>
    </row>
    <row r="328">
      <c r="A328" s="32"/>
    </row>
    <row r="329">
      <c r="A329" s="32"/>
    </row>
    <row r="330">
      <c r="A330" s="32"/>
    </row>
    <row r="331">
      <c r="A331" s="32"/>
    </row>
    <row r="332">
      <c r="A332" s="32"/>
    </row>
    <row r="333">
      <c r="A333" s="32"/>
    </row>
    <row r="334">
      <c r="A334" s="32"/>
    </row>
    <row r="335">
      <c r="A335" s="32"/>
    </row>
    <row r="336">
      <c r="A336" s="32"/>
    </row>
    <row r="337">
      <c r="A337" s="32"/>
    </row>
    <row r="338">
      <c r="A338" s="32"/>
    </row>
    <row r="339">
      <c r="A339" s="32"/>
    </row>
    <row r="340">
      <c r="A340" s="32"/>
    </row>
    <row r="341">
      <c r="A341" s="32"/>
    </row>
    <row r="342">
      <c r="A342" s="32"/>
    </row>
    <row r="343">
      <c r="A343" s="32"/>
    </row>
    <row r="344">
      <c r="A344" s="32"/>
    </row>
    <row r="345">
      <c r="A345" s="32"/>
    </row>
    <row r="346">
      <c r="A346" s="32"/>
    </row>
    <row r="347">
      <c r="A347" s="32"/>
    </row>
    <row r="348">
      <c r="A348" s="32"/>
    </row>
    <row r="349">
      <c r="A349" s="32"/>
    </row>
    <row r="350">
      <c r="A350" s="32"/>
    </row>
    <row r="351">
      <c r="A351" s="32"/>
    </row>
    <row r="352">
      <c r="A352" s="32"/>
    </row>
    <row r="353">
      <c r="A353" s="32"/>
    </row>
    <row r="354">
      <c r="A354" s="32"/>
    </row>
    <row r="355">
      <c r="A355" s="32"/>
    </row>
    <row r="356">
      <c r="A356" s="32"/>
    </row>
    <row r="357">
      <c r="A357" s="32"/>
    </row>
    <row r="358">
      <c r="A358" s="32"/>
    </row>
    <row r="359">
      <c r="A359" s="32"/>
    </row>
    <row r="360">
      <c r="A360" s="32"/>
    </row>
    <row r="361">
      <c r="A361" s="32"/>
    </row>
    <row r="362">
      <c r="A362" s="32"/>
    </row>
    <row r="363">
      <c r="A363" s="32"/>
    </row>
    <row r="364">
      <c r="A364" s="32"/>
    </row>
    <row r="365">
      <c r="A365" s="32"/>
    </row>
    <row r="366">
      <c r="A366" s="32"/>
    </row>
    <row r="367">
      <c r="A367" s="32"/>
    </row>
    <row r="368">
      <c r="A368" s="32"/>
    </row>
    <row r="369">
      <c r="A369" s="32"/>
    </row>
    <row r="370">
      <c r="A370" s="32"/>
    </row>
    <row r="371">
      <c r="A371" s="32"/>
    </row>
    <row r="372">
      <c r="A372" s="32"/>
    </row>
    <row r="373">
      <c r="A373" s="32"/>
    </row>
    <row r="374">
      <c r="A374" s="32"/>
    </row>
    <row r="375">
      <c r="A375" s="32"/>
    </row>
    <row r="376">
      <c r="A376" s="32"/>
    </row>
    <row r="377">
      <c r="A377" s="32"/>
    </row>
    <row r="378">
      <c r="A378" s="32"/>
    </row>
    <row r="379">
      <c r="A379" s="32"/>
    </row>
    <row r="380">
      <c r="A380" s="32"/>
    </row>
    <row r="381">
      <c r="A381" s="32"/>
    </row>
    <row r="382">
      <c r="A382" s="32"/>
    </row>
    <row r="383">
      <c r="A383" s="32"/>
    </row>
    <row r="384">
      <c r="A384" s="32"/>
    </row>
    <row r="385">
      <c r="A385" s="32"/>
    </row>
    <row r="386">
      <c r="A386" s="32"/>
    </row>
    <row r="387">
      <c r="A387" s="32"/>
    </row>
    <row r="388">
      <c r="A388" s="32"/>
    </row>
    <row r="389">
      <c r="A389" s="32"/>
    </row>
    <row r="390">
      <c r="A390" s="32"/>
    </row>
    <row r="391">
      <c r="A391" s="32"/>
    </row>
    <row r="392">
      <c r="A392" s="32"/>
    </row>
    <row r="393">
      <c r="A393" s="32"/>
    </row>
    <row r="394">
      <c r="A394" s="32"/>
    </row>
    <row r="395">
      <c r="A395" s="32"/>
    </row>
    <row r="396">
      <c r="A396" s="32"/>
    </row>
    <row r="397">
      <c r="A397" s="32"/>
    </row>
    <row r="398">
      <c r="A398" s="32"/>
    </row>
    <row r="399">
      <c r="A399" s="32"/>
    </row>
    <row r="400">
      <c r="A400" s="32"/>
    </row>
    <row r="401">
      <c r="A401" s="32"/>
    </row>
    <row r="402">
      <c r="A402" s="32"/>
    </row>
    <row r="403">
      <c r="A403" s="32"/>
    </row>
    <row r="404">
      <c r="A404" s="32"/>
    </row>
    <row r="405">
      <c r="A405" s="32"/>
    </row>
    <row r="406">
      <c r="A406" s="32"/>
    </row>
    <row r="407">
      <c r="A407" s="32"/>
    </row>
    <row r="408">
      <c r="A408" s="32"/>
    </row>
    <row r="409">
      <c r="A409" s="32"/>
    </row>
    <row r="410">
      <c r="A410" s="32"/>
    </row>
    <row r="411">
      <c r="A411" s="32"/>
    </row>
    <row r="412">
      <c r="A412" s="32"/>
    </row>
    <row r="413">
      <c r="A413" s="32"/>
    </row>
    <row r="414">
      <c r="A414" s="32"/>
    </row>
    <row r="415">
      <c r="A415" s="32"/>
    </row>
    <row r="416">
      <c r="A416" s="32"/>
    </row>
    <row r="417">
      <c r="A417" s="32"/>
    </row>
    <row r="418">
      <c r="A418" s="32"/>
    </row>
    <row r="419">
      <c r="A419" s="32"/>
    </row>
    <row r="420">
      <c r="A420" s="32"/>
    </row>
    <row r="421">
      <c r="A421" s="32"/>
    </row>
    <row r="422">
      <c r="A422" s="32"/>
    </row>
    <row r="423">
      <c r="A423" s="32"/>
    </row>
    <row r="424">
      <c r="A424" s="32"/>
    </row>
    <row r="425">
      <c r="A425" s="32"/>
    </row>
    <row r="426">
      <c r="A426" s="32"/>
    </row>
    <row r="427">
      <c r="A427" s="32"/>
    </row>
    <row r="428">
      <c r="A428" s="32"/>
    </row>
    <row r="429">
      <c r="A429" s="32"/>
    </row>
    <row r="430">
      <c r="A430" s="32"/>
    </row>
    <row r="431">
      <c r="A431" s="32"/>
    </row>
    <row r="432">
      <c r="A432" s="32"/>
    </row>
    <row r="433">
      <c r="A433" s="32"/>
    </row>
    <row r="434">
      <c r="A434" s="32"/>
    </row>
    <row r="435">
      <c r="A435" s="32"/>
    </row>
    <row r="436">
      <c r="A436" s="32"/>
    </row>
    <row r="437">
      <c r="A437" s="32"/>
    </row>
    <row r="438">
      <c r="A438" s="32"/>
    </row>
    <row r="439">
      <c r="A439" s="32"/>
    </row>
    <row r="440">
      <c r="A440" s="32"/>
    </row>
    <row r="441">
      <c r="A441" s="32"/>
    </row>
    <row r="442">
      <c r="A442" s="32"/>
    </row>
    <row r="443">
      <c r="A443" s="32"/>
    </row>
    <row r="444">
      <c r="A444" s="32"/>
    </row>
    <row r="445">
      <c r="A445" s="32"/>
    </row>
    <row r="446">
      <c r="A446" s="32"/>
    </row>
    <row r="447">
      <c r="A447" s="32"/>
    </row>
    <row r="448">
      <c r="A448" s="32"/>
    </row>
    <row r="449">
      <c r="A449" s="32"/>
    </row>
    <row r="450">
      <c r="A450" s="32"/>
    </row>
    <row r="451">
      <c r="A451" s="32"/>
    </row>
    <row r="452">
      <c r="A452" s="32"/>
    </row>
    <row r="453">
      <c r="A453" s="32"/>
    </row>
    <row r="454">
      <c r="A454" s="32"/>
    </row>
    <row r="455">
      <c r="A455" s="32"/>
    </row>
    <row r="456">
      <c r="A456" s="32"/>
    </row>
    <row r="457">
      <c r="A457" s="32"/>
    </row>
    <row r="458">
      <c r="A458" s="32"/>
    </row>
    <row r="459">
      <c r="A459" s="32"/>
    </row>
    <row r="460">
      <c r="A460" s="32"/>
    </row>
    <row r="461">
      <c r="A461" s="32"/>
    </row>
    <row r="462">
      <c r="A462" s="32"/>
    </row>
    <row r="463">
      <c r="A463" s="32"/>
    </row>
    <row r="464">
      <c r="A464" s="32"/>
    </row>
    <row r="465">
      <c r="A465" s="32"/>
    </row>
    <row r="466">
      <c r="A466" s="32"/>
    </row>
    <row r="467">
      <c r="A467" s="32"/>
    </row>
    <row r="468">
      <c r="A468" s="32"/>
    </row>
    <row r="469">
      <c r="A469" s="32"/>
    </row>
    <row r="470">
      <c r="A470" s="32"/>
    </row>
    <row r="471">
      <c r="A471" s="32"/>
    </row>
    <row r="472">
      <c r="A472" s="32"/>
    </row>
    <row r="473">
      <c r="A473" s="32"/>
    </row>
    <row r="474">
      <c r="A474" s="32"/>
    </row>
    <row r="475">
      <c r="A475" s="32"/>
    </row>
    <row r="476">
      <c r="A476" s="32"/>
    </row>
    <row r="477">
      <c r="A477" s="32"/>
    </row>
    <row r="478">
      <c r="A478" s="32"/>
    </row>
    <row r="479">
      <c r="A479" s="32"/>
    </row>
    <row r="480">
      <c r="A480" s="32"/>
    </row>
    <row r="481">
      <c r="A481" s="32"/>
    </row>
    <row r="482">
      <c r="A482" s="32"/>
    </row>
    <row r="483">
      <c r="A483" s="32"/>
    </row>
    <row r="484">
      <c r="A484" s="32"/>
    </row>
    <row r="485">
      <c r="A485" s="32"/>
    </row>
    <row r="486">
      <c r="A486" s="32"/>
    </row>
    <row r="487">
      <c r="A487" s="32"/>
    </row>
    <row r="488">
      <c r="A488" s="32"/>
    </row>
    <row r="489">
      <c r="A489" s="32"/>
    </row>
    <row r="490">
      <c r="A490" s="32"/>
    </row>
    <row r="491">
      <c r="A491" s="32"/>
    </row>
    <row r="492">
      <c r="A492" s="32"/>
    </row>
    <row r="493">
      <c r="A493" s="32"/>
    </row>
    <row r="494">
      <c r="A494" s="32"/>
    </row>
    <row r="495">
      <c r="A495" s="32"/>
    </row>
    <row r="496">
      <c r="A496" s="32"/>
    </row>
    <row r="497">
      <c r="A497" s="32"/>
    </row>
    <row r="498">
      <c r="A498" s="32"/>
    </row>
    <row r="499">
      <c r="A499" s="32"/>
    </row>
    <row r="500">
      <c r="A500" s="32"/>
    </row>
    <row r="501">
      <c r="A501" s="32"/>
    </row>
    <row r="502">
      <c r="A502" s="32"/>
    </row>
    <row r="503">
      <c r="A503" s="32"/>
    </row>
    <row r="504">
      <c r="A504" s="32"/>
    </row>
    <row r="505">
      <c r="A505" s="32"/>
    </row>
    <row r="506">
      <c r="A506" s="32"/>
    </row>
    <row r="507">
      <c r="A507" s="32"/>
    </row>
    <row r="508">
      <c r="A508" s="32"/>
    </row>
    <row r="509">
      <c r="A509" s="32"/>
    </row>
    <row r="510">
      <c r="A510" s="32"/>
    </row>
    <row r="511">
      <c r="A511" s="32"/>
    </row>
    <row r="512">
      <c r="A512" s="32"/>
    </row>
    <row r="513">
      <c r="A513" s="32"/>
    </row>
    <row r="514">
      <c r="A514" s="32"/>
    </row>
    <row r="515">
      <c r="A515" s="32"/>
    </row>
    <row r="516">
      <c r="A516" s="32"/>
    </row>
    <row r="517">
      <c r="A517" s="32"/>
    </row>
    <row r="518">
      <c r="A518" s="32"/>
    </row>
    <row r="519">
      <c r="A519" s="32"/>
    </row>
    <row r="520">
      <c r="A520" s="32"/>
    </row>
    <row r="521">
      <c r="A521" s="32"/>
    </row>
    <row r="522">
      <c r="A522" s="32"/>
    </row>
    <row r="523">
      <c r="A523" s="32"/>
    </row>
    <row r="524">
      <c r="A524" s="32"/>
    </row>
    <row r="525">
      <c r="A525" s="32"/>
    </row>
    <row r="526">
      <c r="A526" s="32"/>
    </row>
    <row r="527">
      <c r="A527" s="32"/>
    </row>
    <row r="528">
      <c r="A528" s="32"/>
    </row>
    <row r="529">
      <c r="A529" s="32"/>
    </row>
    <row r="530">
      <c r="A530" s="32"/>
    </row>
    <row r="531">
      <c r="A531" s="32"/>
    </row>
    <row r="532">
      <c r="A532" s="32"/>
    </row>
    <row r="533">
      <c r="A533" s="32"/>
    </row>
    <row r="534">
      <c r="A534" s="32"/>
    </row>
    <row r="535">
      <c r="A535" s="32"/>
    </row>
    <row r="536">
      <c r="A536" s="32"/>
    </row>
    <row r="537">
      <c r="A537" s="32"/>
    </row>
    <row r="538">
      <c r="A538" s="32"/>
    </row>
    <row r="539">
      <c r="A539" s="32"/>
    </row>
    <row r="540">
      <c r="A540" s="32"/>
    </row>
    <row r="541">
      <c r="A541" s="32"/>
    </row>
    <row r="542">
      <c r="A542" s="32"/>
    </row>
    <row r="543">
      <c r="A543" s="32"/>
    </row>
    <row r="544">
      <c r="A544" s="32"/>
    </row>
    <row r="545">
      <c r="A545" s="32"/>
    </row>
    <row r="546">
      <c r="A546" s="32"/>
    </row>
    <row r="547">
      <c r="A547" s="32"/>
    </row>
    <row r="548">
      <c r="A548" s="32"/>
    </row>
    <row r="549">
      <c r="A549" s="32"/>
    </row>
    <row r="550">
      <c r="A550" s="32"/>
    </row>
    <row r="551">
      <c r="A551" s="32"/>
    </row>
    <row r="552">
      <c r="A552" s="32"/>
    </row>
    <row r="553">
      <c r="A553" s="32"/>
    </row>
    <row r="554">
      <c r="A554" s="32"/>
    </row>
    <row r="555">
      <c r="A555" s="32"/>
    </row>
    <row r="556">
      <c r="A556" s="32"/>
    </row>
    <row r="557">
      <c r="A557" s="32"/>
    </row>
    <row r="558">
      <c r="A558" s="32"/>
    </row>
    <row r="559">
      <c r="A559" s="32"/>
    </row>
    <row r="560">
      <c r="A560" s="32"/>
    </row>
    <row r="561">
      <c r="A561" s="32"/>
    </row>
    <row r="562">
      <c r="A562" s="32"/>
    </row>
    <row r="563">
      <c r="A563" s="32"/>
    </row>
    <row r="564">
      <c r="A564" s="32"/>
    </row>
    <row r="565">
      <c r="A565" s="32"/>
    </row>
    <row r="566">
      <c r="A566" s="32"/>
    </row>
    <row r="567">
      <c r="A567" s="32"/>
    </row>
    <row r="568">
      <c r="A568" s="32"/>
    </row>
    <row r="569">
      <c r="A569" s="32"/>
    </row>
    <row r="570">
      <c r="A570" s="32"/>
    </row>
    <row r="571">
      <c r="A571" s="32"/>
    </row>
    <row r="572">
      <c r="A572" s="32"/>
    </row>
    <row r="573">
      <c r="A573" s="32"/>
    </row>
    <row r="574">
      <c r="A574" s="32"/>
    </row>
    <row r="575">
      <c r="A575" s="32"/>
    </row>
    <row r="576">
      <c r="A576" s="32"/>
    </row>
    <row r="577">
      <c r="A577" s="32"/>
    </row>
    <row r="578">
      <c r="A578" s="32"/>
    </row>
    <row r="579">
      <c r="A579" s="32"/>
    </row>
    <row r="580">
      <c r="A580" s="32"/>
    </row>
    <row r="581">
      <c r="A581" s="32"/>
    </row>
    <row r="582">
      <c r="A582" s="32"/>
    </row>
    <row r="583">
      <c r="A583" s="32"/>
    </row>
    <row r="584">
      <c r="A584" s="32"/>
    </row>
    <row r="585">
      <c r="A585" s="32"/>
    </row>
    <row r="586">
      <c r="A586" s="32"/>
    </row>
    <row r="587">
      <c r="A587" s="32"/>
    </row>
    <row r="588">
      <c r="A588" s="32"/>
    </row>
    <row r="589">
      <c r="A589" s="32"/>
    </row>
    <row r="590">
      <c r="A590" s="32"/>
    </row>
    <row r="591">
      <c r="A591" s="32"/>
    </row>
    <row r="592">
      <c r="A592" s="32"/>
    </row>
    <row r="593">
      <c r="A593" s="32"/>
    </row>
    <row r="594">
      <c r="A594" s="32"/>
    </row>
    <row r="595">
      <c r="A595" s="32"/>
    </row>
    <row r="596">
      <c r="A596" s="32"/>
    </row>
    <row r="597">
      <c r="A597" s="32"/>
    </row>
    <row r="598">
      <c r="A598" s="32"/>
    </row>
    <row r="599">
      <c r="A599" s="32"/>
    </row>
    <row r="600">
      <c r="A600" s="32"/>
    </row>
    <row r="601">
      <c r="A601" s="32"/>
    </row>
    <row r="602">
      <c r="A602" s="32"/>
    </row>
    <row r="603">
      <c r="A603" s="32"/>
    </row>
    <row r="604">
      <c r="A604" s="32"/>
    </row>
    <row r="605">
      <c r="A605" s="32"/>
    </row>
    <row r="606">
      <c r="A606" s="32"/>
    </row>
    <row r="607">
      <c r="A607" s="32"/>
    </row>
    <row r="608">
      <c r="A608" s="32"/>
    </row>
    <row r="609">
      <c r="A609" s="32"/>
    </row>
    <row r="610">
      <c r="A610" s="32"/>
    </row>
    <row r="611">
      <c r="A611" s="32"/>
    </row>
    <row r="612">
      <c r="A612" s="32"/>
    </row>
    <row r="613">
      <c r="A613" s="32"/>
    </row>
    <row r="614">
      <c r="A614" s="32"/>
    </row>
    <row r="615">
      <c r="A615" s="32"/>
    </row>
    <row r="616">
      <c r="A616" s="32"/>
    </row>
    <row r="617">
      <c r="A617" s="32"/>
    </row>
    <row r="618">
      <c r="A618" s="32"/>
    </row>
    <row r="619">
      <c r="A619" s="32"/>
    </row>
    <row r="620">
      <c r="A620" s="32"/>
    </row>
    <row r="621">
      <c r="A621" s="32"/>
    </row>
    <row r="622">
      <c r="A622" s="32"/>
    </row>
    <row r="623">
      <c r="A623" s="32"/>
    </row>
    <row r="624">
      <c r="A624" s="32"/>
    </row>
    <row r="625">
      <c r="A625" s="32"/>
    </row>
    <row r="626">
      <c r="A626" s="32"/>
    </row>
    <row r="627">
      <c r="A627" s="32"/>
    </row>
    <row r="628">
      <c r="A628" s="32"/>
    </row>
    <row r="629">
      <c r="A629" s="32"/>
    </row>
    <row r="630">
      <c r="A630" s="32"/>
    </row>
    <row r="631">
      <c r="A631" s="32"/>
    </row>
    <row r="632">
      <c r="A632" s="32"/>
    </row>
    <row r="633">
      <c r="A633" s="32"/>
    </row>
    <row r="634">
      <c r="A634" s="32"/>
    </row>
    <row r="635">
      <c r="A635" s="32"/>
    </row>
    <row r="636">
      <c r="A636" s="32"/>
    </row>
    <row r="637">
      <c r="A637" s="32"/>
    </row>
    <row r="638">
      <c r="A638" s="32"/>
    </row>
    <row r="639">
      <c r="A639" s="32"/>
    </row>
    <row r="640">
      <c r="A640" s="32"/>
    </row>
    <row r="641">
      <c r="A641" s="32"/>
    </row>
    <row r="642">
      <c r="A642" s="32"/>
    </row>
    <row r="643">
      <c r="A643" s="32"/>
    </row>
    <row r="644">
      <c r="A644" s="32"/>
    </row>
    <row r="645">
      <c r="A645" s="32"/>
    </row>
    <row r="646">
      <c r="A646" s="32"/>
    </row>
    <row r="647">
      <c r="A647" s="32"/>
    </row>
    <row r="648">
      <c r="A648" s="32"/>
    </row>
    <row r="649">
      <c r="A649" s="32"/>
    </row>
    <row r="650">
      <c r="A650" s="32"/>
    </row>
    <row r="651">
      <c r="A651" s="32"/>
    </row>
    <row r="652">
      <c r="A652" s="32"/>
    </row>
    <row r="653">
      <c r="A653" s="32"/>
    </row>
    <row r="654">
      <c r="A654" s="32"/>
    </row>
    <row r="655">
      <c r="A655" s="32"/>
    </row>
    <row r="656">
      <c r="A656" s="32"/>
    </row>
    <row r="657">
      <c r="A657" s="32"/>
    </row>
    <row r="658">
      <c r="A658" s="32"/>
    </row>
    <row r="659">
      <c r="A659" s="32"/>
    </row>
    <row r="660">
      <c r="A660" s="32"/>
    </row>
    <row r="661">
      <c r="A661" s="32"/>
    </row>
    <row r="662">
      <c r="A662" s="32"/>
    </row>
    <row r="663">
      <c r="A663" s="32"/>
    </row>
    <row r="664">
      <c r="A664" s="32"/>
    </row>
    <row r="665">
      <c r="A665" s="32"/>
    </row>
    <row r="666">
      <c r="A666" s="32"/>
    </row>
    <row r="667">
      <c r="A667" s="32"/>
    </row>
    <row r="668">
      <c r="A668" s="32"/>
    </row>
    <row r="669">
      <c r="A669" s="32"/>
    </row>
    <row r="670">
      <c r="A670" s="32"/>
    </row>
    <row r="671">
      <c r="A671" s="32"/>
    </row>
    <row r="672">
      <c r="A672" s="32"/>
    </row>
    <row r="673">
      <c r="A673" s="32"/>
    </row>
    <row r="674">
      <c r="A674" s="32"/>
    </row>
    <row r="675">
      <c r="A675" s="32"/>
    </row>
    <row r="676">
      <c r="A676" s="32"/>
    </row>
    <row r="677">
      <c r="A677" s="32"/>
    </row>
    <row r="678">
      <c r="A678" s="32"/>
    </row>
    <row r="679">
      <c r="A679" s="32"/>
    </row>
    <row r="680">
      <c r="A680" s="32"/>
    </row>
    <row r="681">
      <c r="A681" s="32"/>
    </row>
    <row r="682">
      <c r="A682" s="32"/>
    </row>
    <row r="683">
      <c r="A683" s="32"/>
    </row>
    <row r="684">
      <c r="A684" s="32"/>
    </row>
    <row r="685">
      <c r="A685" s="32"/>
    </row>
    <row r="686">
      <c r="A686" s="32"/>
    </row>
    <row r="687">
      <c r="A687" s="32"/>
    </row>
    <row r="688">
      <c r="A688" s="32"/>
    </row>
    <row r="689">
      <c r="A689" s="32"/>
    </row>
    <row r="690">
      <c r="A690" s="32"/>
    </row>
    <row r="691">
      <c r="A691" s="32"/>
    </row>
    <row r="692">
      <c r="A692" s="32"/>
    </row>
    <row r="693">
      <c r="A693" s="32"/>
    </row>
    <row r="694">
      <c r="A694" s="32"/>
    </row>
    <row r="695">
      <c r="A695" s="32"/>
    </row>
    <row r="696">
      <c r="A696" s="32"/>
    </row>
    <row r="697">
      <c r="A697" s="32"/>
    </row>
    <row r="698">
      <c r="A698" s="32"/>
    </row>
    <row r="699">
      <c r="A699" s="32"/>
    </row>
    <row r="700">
      <c r="A700" s="32"/>
    </row>
    <row r="701">
      <c r="A701" s="32"/>
    </row>
    <row r="702">
      <c r="A702" s="32"/>
    </row>
    <row r="703">
      <c r="A703" s="32"/>
    </row>
    <row r="704">
      <c r="A704" s="32"/>
    </row>
    <row r="705">
      <c r="A705" s="32"/>
    </row>
    <row r="706">
      <c r="A706" s="32"/>
    </row>
    <row r="707">
      <c r="A707" s="32"/>
    </row>
    <row r="708">
      <c r="A708" s="32"/>
    </row>
    <row r="709">
      <c r="A709" s="32"/>
    </row>
    <row r="710">
      <c r="A710" s="32"/>
    </row>
    <row r="711">
      <c r="A711" s="32"/>
    </row>
    <row r="712">
      <c r="A712" s="32"/>
    </row>
    <row r="713">
      <c r="A713" s="32"/>
    </row>
    <row r="714">
      <c r="A714" s="32"/>
    </row>
    <row r="715">
      <c r="A715" s="32"/>
    </row>
    <row r="716">
      <c r="A716" s="32"/>
    </row>
    <row r="717">
      <c r="A717" s="32"/>
    </row>
    <row r="718">
      <c r="A718" s="32"/>
    </row>
    <row r="719">
      <c r="A719" s="32"/>
    </row>
    <row r="720">
      <c r="A720" s="32"/>
    </row>
    <row r="721">
      <c r="A721" s="32"/>
    </row>
    <row r="722">
      <c r="A722" s="32"/>
    </row>
    <row r="723">
      <c r="A723" s="32"/>
    </row>
    <row r="724">
      <c r="A724" s="32"/>
    </row>
    <row r="725">
      <c r="A725" s="32"/>
    </row>
    <row r="726">
      <c r="A726" s="32"/>
    </row>
    <row r="727">
      <c r="A727" s="32"/>
    </row>
    <row r="728">
      <c r="A728" s="32"/>
    </row>
    <row r="729">
      <c r="A729" s="32"/>
    </row>
    <row r="730">
      <c r="A730" s="32"/>
    </row>
    <row r="731">
      <c r="A731" s="32"/>
    </row>
    <row r="732">
      <c r="A732" s="32"/>
    </row>
    <row r="733">
      <c r="A733" s="32"/>
    </row>
    <row r="734">
      <c r="A734" s="32"/>
    </row>
    <row r="735">
      <c r="A735" s="32"/>
    </row>
    <row r="736">
      <c r="A736" s="32"/>
    </row>
    <row r="737">
      <c r="A737" s="32"/>
    </row>
    <row r="738">
      <c r="A738" s="32"/>
    </row>
    <row r="739">
      <c r="A739" s="32"/>
    </row>
    <row r="740">
      <c r="A740" s="32"/>
    </row>
    <row r="741">
      <c r="A741" s="32"/>
    </row>
    <row r="742">
      <c r="A742" s="32"/>
    </row>
    <row r="743">
      <c r="A743" s="32"/>
    </row>
    <row r="744">
      <c r="A744" s="32"/>
    </row>
    <row r="745">
      <c r="A745" s="32"/>
    </row>
    <row r="746">
      <c r="A746" s="32"/>
    </row>
    <row r="747">
      <c r="A747" s="32"/>
    </row>
    <row r="748">
      <c r="A748" s="32"/>
    </row>
    <row r="749">
      <c r="A749" s="32"/>
    </row>
    <row r="750">
      <c r="A750" s="32"/>
    </row>
    <row r="751">
      <c r="A751" s="32"/>
    </row>
    <row r="752">
      <c r="A752" s="32"/>
    </row>
    <row r="753">
      <c r="A753" s="32"/>
    </row>
    <row r="754">
      <c r="A754" s="32"/>
    </row>
    <row r="755">
      <c r="A755" s="32"/>
    </row>
    <row r="756">
      <c r="A756" s="32"/>
    </row>
    <row r="757">
      <c r="A757" s="32"/>
    </row>
    <row r="758">
      <c r="A758" s="32"/>
    </row>
    <row r="759">
      <c r="A759" s="32"/>
    </row>
    <row r="760">
      <c r="A760" s="32"/>
    </row>
    <row r="761">
      <c r="A761" s="32"/>
    </row>
    <row r="762">
      <c r="A762" s="32"/>
    </row>
    <row r="763">
      <c r="A763" s="32"/>
    </row>
    <row r="764">
      <c r="A764" s="32"/>
    </row>
    <row r="765">
      <c r="A765" s="32"/>
    </row>
    <row r="766">
      <c r="A766" s="32"/>
    </row>
    <row r="767">
      <c r="A767" s="32"/>
    </row>
    <row r="768">
      <c r="A768" s="32"/>
    </row>
    <row r="769">
      <c r="A769" s="32"/>
    </row>
    <row r="770">
      <c r="A770" s="32"/>
    </row>
    <row r="771">
      <c r="A771" s="32"/>
    </row>
    <row r="772">
      <c r="A772" s="32"/>
    </row>
    <row r="773">
      <c r="A773" s="32"/>
    </row>
    <row r="774">
      <c r="A774" s="32"/>
    </row>
    <row r="775">
      <c r="A775" s="32"/>
    </row>
    <row r="776">
      <c r="A776" s="32"/>
    </row>
    <row r="777">
      <c r="A777" s="32"/>
    </row>
    <row r="778">
      <c r="A778" s="32"/>
    </row>
    <row r="779">
      <c r="A779" s="32"/>
    </row>
    <row r="780">
      <c r="A780" s="32"/>
    </row>
    <row r="781">
      <c r="A781" s="32"/>
    </row>
    <row r="782">
      <c r="A782" s="32"/>
    </row>
    <row r="783">
      <c r="A783" s="32"/>
    </row>
    <row r="784">
      <c r="A784" s="32"/>
    </row>
    <row r="785">
      <c r="A785" s="32"/>
    </row>
    <row r="786">
      <c r="A786" s="32"/>
    </row>
    <row r="787">
      <c r="A787" s="32"/>
    </row>
    <row r="788">
      <c r="A788" s="32"/>
    </row>
    <row r="789">
      <c r="A789" s="32"/>
    </row>
    <row r="790">
      <c r="A790" s="32"/>
    </row>
    <row r="791">
      <c r="A791" s="32"/>
    </row>
    <row r="792">
      <c r="A792" s="32"/>
    </row>
    <row r="793">
      <c r="A793" s="32"/>
    </row>
    <row r="794">
      <c r="A794" s="32"/>
    </row>
    <row r="795">
      <c r="A795" s="32"/>
    </row>
    <row r="796">
      <c r="A796" s="32"/>
    </row>
    <row r="797">
      <c r="A797" s="32"/>
    </row>
    <row r="798">
      <c r="A798" s="32"/>
    </row>
    <row r="799">
      <c r="A799" s="32"/>
    </row>
    <row r="800">
      <c r="A800" s="32"/>
    </row>
    <row r="801">
      <c r="A801" s="32"/>
    </row>
    <row r="802">
      <c r="A802" s="32"/>
    </row>
    <row r="803">
      <c r="A803" s="32"/>
    </row>
    <row r="804">
      <c r="A804" s="32"/>
    </row>
    <row r="805">
      <c r="A805" s="32"/>
    </row>
    <row r="806">
      <c r="A806" s="32"/>
    </row>
    <row r="807">
      <c r="A807" s="32"/>
    </row>
    <row r="808">
      <c r="A808" s="32"/>
    </row>
    <row r="809">
      <c r="A809" s="32"/>
    </row>
    <row r="810">
      <c r="A810" s="32"/>
    </row>
    <row r="811">
      <c r="A811" s="32"/>
    </row>
    <row r="812">
      <c r="A812" s="32"/>
    </row>
    <row r="813">
      <c r="A813" s="32"/>
    </row>
    <row r="814">
      <c r="A814" s="32"/>
    </row>
    <row r="815">
      <c r="A815" s="32"/>
    </row>
    <row r="816">
      <c r="A816" s="32"/>
    </row>
    <row r="817">
      <c r="A817" s="32"/>
    </row>
    <row r="818">
      <c r="A818" s="32"/>
    </row>
    <row r="819">
      <c r="A819" s="32"/>
    </row>
    <row r="820">
      <c r="A820" s="32"/>
    </row>
    <row r="821">
      <c r="A821" s="32"/>
    </row>
    <row r="822">
      <c r="A822" s="32"/>
    </row>
    <row r="823">
      <c r="A823" s="32"/>
    </row>
    <row r="824">
      <c r="A824" s="32"/>
    </row>
    <row r="825">
      <c r="A825" s="32"/>
    </row>
    <row r="826">
      <c r="A826" s="32"/>
    </row>
    <row r="827">
      <c r="A827" s="32"/>
    </row>
    <row r="828">
      <c r="A828" s="32"/>
    </row>
    <row r="829">
      <c r="A829" s="32"/>
    </row>
    <row r="830">
      <c r="A830" s="32"/>
    </row>
    <row r="831">
      <c r="A831" s="32"/>
    </row>
    <row r="832">
      <c r="A832" s="32"/>
    </row>
    <row r="833">
      <c r="A833" s="32"/>
    </row>
    <row r="834">
      <c r="A834" s="32"/>
    </row>
    <row r="835">
      <c r="A835" s="32"/>
    </row>
    <row r="836">
      <c r="A836" s="32"/>
    </row>
    <row r="837">
      <c r="A837" s="32"/>
    </row>
    <row r="838">
      <c r="A838" s="32"/>
    </row>
    <row r="839">
      <c r="A839" s="32"/>
    </row>
    <row r="840">
      <c r="A840" s="32"/>
    </row>
    <row r="841">
      <c r="A841" s="32"/>
    </row>
    <row r="842">
      <c r="A842" s="32"/>
    </row>
    <row r="843">
      <c r="A843" s="32"/>
    </row>
    <row r="844">
      <c r="A844" s="32"/>
    </row>
    <row r="845">
      <c r="A845" s="32"/>
    </row>
    <row r="846">
      <c r="A846" s="32"/>
    </row>
    <row r="847">
      <c r="A847" s="32"/>
    </row>
    <row r="848">
      <c r="A848" s="32"/>
    </row>
    <row r="849">
      <c r="A849" s="32"/>
    </row>
    <row r="850">
      <c r="A850" s="32"/>
    </row>
    <row r="851">
      <c r="A851" s="32"/>
    </row>
    <row r="852">
      <c r="A852" s="32"/>
    </row>
    <row r="853">
      <c r="A853" s="32"/>
    </row>
    <row r="854">
      <c r="A854" s="32"/>
    </row>
    <row r="855">
      <c r="A855" s="32"/>
    </row>
    <row r="856">
      <c r="A856" s="32"/>
    </row>
    <row r="857">
      <c r="A857" s="32"/>
    </row>
    <row r="858">
      <c r="A858" s="32"/>
    </row>
    <row r="859">
      <c r="A859" s="32"/>
    </row>
    <row r="860">
      <c r="A860" s="32"/>
    </row>
    <row r="861">
      <c r="A861" s="32"/>
    </row>
    <row r="862">
      <c r="A862" s="32"/>
    </row>
    <row r="863">
      <c r="A863" s="32"/>
    </row>
    <row r="864">
      <c r="A864" s="32"/>
    </row>
    <row r="865">
      <c r="A865" s="32"/>
    </row>
    <row r="866">
      <c r="A866" s="32"/>
    </row>
    <row r="867">
      <c r="A867" s="32"/>
    </row>
    <row r="868">
      <c r="A868" s="32"/>
    </row>
    <row r="869">
      <c r="A869" s="32"/>
    </row>
    <row r="870">
      <c r="A870" s="32"/>
    </row>
    <row r="871">
      <c r="A871" s="32"/>
    </row>
    <row r="872">
      <c r="A872" s="32"/>
    </row>
    <row r="873">
      <c r="A873" s="32"/>
    </row>
    <row r="874">
      <c r="A874" s="32"/>
    </row>
    <row r="875">
      <c r="A875" s="32"/>
    </row>
    <row r="876">
      <c r="A876" s="32"/>
    </row>
    <row r="877">
      <c r="A877" s="32"/>
    </row>
    <row r="878">
      <c r="A878" s="32"/>
    </row>
    <row r="879">
      <c r="A879" s="32"/>
    </row>
    <row r="880">
      <c r="A880" s="32"/>
    </row>
    <row r="881">
      <c r="A881" s="32"/>
    </row>
    <row r="882">
      <c r="A882" s="32"/>
    </row>
    <row r="883">
      <c r="A883" s="32"/>
    </row>
    <row r="884">
      <c r="A884" s="32"/>
    </row>
    <row r="885">
      <c r="A885" s="32"/>
    </row>
    <row r="886">
      <c r="A886" s="32"/>
    </row>
    <row r="887">
      <c r="A887" s="32"/>
    </row>
    <row r="888">
      <c r="A888" s="32"/>
    </row>
    <row r="889">
      <c r="A889" s="32"/>
    </row>
    <row r="890">
      <c r="A890" s="32"/>
    </row>
    <row r="891">
      <c r="A891" s="32"/>
    </row>
    <row r="892">
      <c r="A892" s="32"/>
    </row>
    <row r="893">
      <c r="A893" s="32"/>
    </row>
    <row r="894">
      <c r="A894" s="32"/>
    </row>
    <row r="895">
      <c r="A895" s="32"/>
    </row>
    <row r="896">
      <c r="A896" s="32"/>
    </row>
    <row r="897">
      <c r="A897" s="32"/>
    </row>
    <row r="898">
      <c r="A898" s="32"/>
    </row>
    <row r="899">
      <c r="A899" s="32"/>
    </row>
    <row r="900">
      <c r="A900" s="32"/>
    </row>
    <row r="901">
      <c r="A901" s="32"/>
    </row>
    <row r="902">
      <c r="A902" s="32"/>
    </row>
    <row r="903">
      <c r="A903" s="32"/>
    </row>
    <row r="904">
      <c r="A904" s="32"/>
    </row>
    <row r="905">
      <c r="A905" s="32"/>
    </row>
    <row r="906">
      <c r="A906" s="32"/>
    </row>
    <row r="907">
      <c r="A907" s="32"/>
    </row>
    <row r="908">
      <c r="A908" s="32"/>
    </row>
    <row r="909">
      <c r="A909" s="32"/>
    </row>
    <row r="910">
      <c r="A910" s="32"/>
    </row>
    <row r="911">
      <c r="A911" s="32"/>
    </row>
    <row r="912">
      <c r="A912" s="32"/>
    </row>
    <row r="913">
      <c r="A913" s="32"/>
    </row>
    <row r="914">
      <c r="A914" s="32"/>
    </row>
    <row r="915">
      <c r="A915" s="32"/>
    </row>
    <row r="916">
      <c r="A916" s="32"/>
    </row>
    <row r="917">
      <c r="A917" s="32"/>
    </row>
    <row r="918">
      <c r="A918" s="32"/>
    </row>
    <row r="919">
      <c r="A919" s="32"/>
    </row>
    <row r="920">
      <c r="A920" s="32"/>
    </row>
    <row r="921">
      <c r="A921" s="32"/>
    </row>
    <row r="922">
      <c r="A922" s="32"/>
    </row>
    <row r="923">
      <c r="A923" s="32"/>
    </row>
    <row r="924">
      <c r="A924" s="32"/>
    </row>
    <row r="925">
      <c r="A925" s="32"/>
    </row>
    <row r="926">
      <c r="A926" s="32"/>
    </row>
    <row r="927">
      <c r="A927" s="32"/>
    </row>
    <row r="928">
      <c r="A928" s="32"/>
    </row>
    <row r="929">
      <c r="A929" s="32"/>
    </row>
    <row r="930">
      <c r="A930" s="32"/>
    </row>
    <row r="931">
      <c r="A931" s="32"/>
    </row>
    <row r="932">
      <c r="A932" s="32"/>
    </row>
    <row r="933">
      <c r="A933" s="32"/>
    </row>
    <row r="934">
      <c r="A934" s="32"/>
    </row>
    <row r="935">
      <c r="A935" s="32"/>
    </row>
    <row r="936">
      <c r="A936" s="32"/>
    </row>
    <row r="937">
      <c r="A937" s="32"/>
    </row>
    <row r="938">
      <c r="A938" s="32"/>
    </row>
    <row r="939">
      <c r="A939" s="32"/>
    </row>
    <row r="940">
      <c r="A940" s="32"/>
    </row>
    <row r="941">
      <c r="A941" s="32"/>
    </row>
    <row r="942">
      <c r="A942" s="32"/>
    </row>
    <row r="943">
      <c r="A943" s="32"/>
    </row>
    <row r="944">
      <c r="A944" s="32"/>
    </row>
    <row r="945">
      <c r="A945" s="32"/>
    </row>
    <row r="946">
      <c r="A946" s="32"/>
    </row>
    <row r="947">
      <c r="A947" s="32"/>
    </row>
    <row r="948">
      <c r="A948" s="32"/>
    </row>
    <row r="949">
      <c r="A949" s="32"/>
    </row>
    <row r="950">
      <c r="A950" s="32"/>
    </row>
    <row r="951">
      <c r="A951" s="32"/>
    </row>
    <row r="952">
      <c r="A952" s="32"/>
    </row>
    <row r="953">
      <c r="A953" s="32"/>
    </row>
    <row r="954">
      <c r="A954" s="32"/>
    </row>
    <row r="955">
      <c r="A955" s="32"/>
    </row>
    <row r="956">
      <c r="A956" s="32"/>
    </row>
    <row r="957">
      <c r="A957" s="32"/>
    </row>
    <row r="958">
      <c r="A958" s="32"/>
    </row>
    <row r="959">
      <c r="A959" s="32"/>
    </row>
    <row r="960">
      <c r="A960" s="32"/>
    </row>
    <row r="961">
      <c r="A961" s="32"/>
    </row>
    <row r="962">
      <c r="A962" s="32"/>
    </row>
    <row r="963">
      <c r="A963" s="32"/>
    </row>
    <row r="964">
      <c r="A964" s="32"/>
    </row>
    <row r="965">
      <c r="A965" s="32"/>
    </row>
    <row r="966">
      <c r="A966" s="32"/>
    </row>
    <row r="967">
      <c r="A967" s="32"/>
    </row>
    <row r="968">
      <c r="A968" s="32"/>
    </row>
    <row r="969">
      <c r="A969" s="32"/>
    </row>
    <row r="970">
      <c r="A970" s="32"/>
    </row>
    <row r="971">
      <c r="A971" s="32"/>
    </row>
    <row r="972">
      <c r="A972" s="32"/>
    </row>
    <row r="973">
      <c r="A973" s="32"/>
    </row>
    <row r="974">
      <c r="A974" s="32"/>
    </row>
    <row r="975">
      <c r="A975" s="32"/>
    </row>
    <row r="976">
      <c r="A976" s="32"/>
    </row>
    <row r="977">
      <c r="A977" s="32"/>
    </row>
    <row r="978">
      <c r="A978" s="32"/>
    </row>
    <row r="979">
      <c r="A979" s="32"/>
    </row>
    <row r="980">
      <c r="A980" s="32"/>
    </row>
    <row r="981">
      <c r="A981" s="32"/>
    </row>
    <row r="982">
      <c r="A982" s="32"/>
    </row>
    <row r="983">
      <c r="A983" s="32"/>
    </row>
    <row r="984">
      <c r="A984" s="32"/>
    </row>
    <row r="985">
      <c r="A985" s="32"/>
    </row>
    <row r="986">
      <c r="A986" s="32"/>
    </row>
    <row r="987">
      <c r="A987" s="32"/>
    </row>
    <row r="988">
      <c r="A988" s="32"/>
    </row>
    <row r="989">
      <c r="A989" s="32"/>
    </row>
    <row r="990">
      <c r="A990" s="32"/>
    </row>
    <row r="991">
      <c r="A991" s="32"/>
    </row>
    <row r="992">
      <c r="A992" s="32"/>
    </row>
    <row r="993">
      <c r="A993" s="32"/>
    </row>
    <row r="994">
      <c r="A994" s="32"/>
    </row>
    <row r="995">
      <c r="A995" s="32"/>
    </row>
    <row r="996">
      <c r="A996" s="32"/>
    </row>
    <row r="997">
      <c r="A997" s="32"/>
    </row>
    <row r="998">
      <c r="A998" s="32"/>
    </row>
    <row r="999">
      <c r="A999" s="32"/>
    </row>
    <row r="1000">
      <c r="A1000" s="32"/>
    </row>
    <row r="1001">
      <c r="A1001" s="32"/>
    </row>
    <row r="1002">
      <c r="A1002" s="32"/>
    </row>
    <row r="1003">
      <c r="A1003" s="32"/>
    </row>
    <row r="1004">
      <c r="A1004" s="32"/>
    </row>
    <row r="1005">
      <c r="A1005" s="32"/>
    </row>
    <row r="1006">
      <c r="A1006" s="32"/>
    </row>
    <row r="1007">
      <c r="A1007" s="32"/>
    </row>
    <row r="1008">
      <c r="A1008" s="32"/>
    </row>
    <row r="1009">
      <c r="A1009" s="32"/>
    </row>
    <row r="1010">
      <c r="A1010" s="32"/>
    </row>
    <row r="1011">
      <c r="A1011" s="32"/>
    </row>
    <row r="1012">
      <c r="A1012" s="32"/>
    </row>
    <row r="1013">
      <c r="A1013" s="32"/>
    </row>
    <row r="1014">
      <c r="A1014" s="32"/>
    </row>
    <row r="1015">
      <c r="A1015" s="32"/>
    </row>
    <row r="1016">
      <c r="A1016" s="32"/>
    </row>
    <row r="1017">
      <c r="A1017" s="32"/>
    </row>
    <row r="1018">
      <c r="A1018" s="32"/>
    </row>
  </sheetData>
  <hyperlinks>
    <hyperlink r:id="rId1" ref="B26" tooltip=""/>
    <hyperlink r:id="rId2" ref="B29" tooltip=""/>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B3" activeCellId="0" sqref="B3"/>
    </sheetView>
  </sheetViews>
  <sheetFormatPr defaultColWidth="12.630000000000001" defaultRowHeight="15.75" customHeight="1"/>
  <cols>
    <col customWidth="1" hidden="1" min="1" max="1" width="14.630000000000001"/>
    <col customWidth="1" min="2" max="2" width="17.379999999999999"/>
    <col customWidth="1" min="3" max="3" width="64.629999999999995"/>
  </cols>
  <sheetData>
    <row r="1">
      <c r="A1" s="71" t="s">
        <v>394</v>
      </c>
      <c r="B1" s="71" t="s">
        <v>7</v>
      </c>
      <c r="C1" s="101" t="s">
        <v>395</v>
      </c>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row>
    <row r="2" hidden="1">
      <c r="A2" s="3"/>
      <c r="B2" s="102" t="s">
        <v>396</v>
      </c>
      <c r="C2" s="29" t="s">
        <v>397</v>
      </c>
    </row>
    <row r="3" hidden="1">
      <c r="B3" s="102" t="s">
        <v>398</v>
      </c>
      <c r="C3" s="29" t="s">
        <v>399</v>
      </c>
    </row>
    <row r="4" hidden="1">
      <c r="A4" s="3"/>
      <c r="B4" s="103" t="s">
        <v>400</v>
      </c>
      <c r="C4" s="29" t="s">
        <v>401</v>
      </c>
    </row>
    <row r="5" hidden="1">
      <c r="A5" s="3"/>
      <c r="B5" s="103" t="s">
        <v>402</v>
      </c>
      <c r="C5" s="29" t="s">
        <v>403</v>
      </c>
    </row>
    <row r="6" hidden="1">
      <c r="B6" s="104" t="s">
        <v>404</v>
      </c>
      <c r="C6" s="29" t="s">
        <v>405</v>
      </c>
    </row>
    <row r="7" hidden="1">
      <c r="B7" s="3"/>
      <c r="C7" s="29"/>
    </row>
    <row r="8">
      <c r="A8" s="3" t="s">
        <v>406</v>
      </c>
      <c r="B8" s="105" t="str">
        <f>split(substitute(A8," - ","~!@^&amp;*#",1),"~!@^&amp;*#",false)"),"Absorber</f>
        <v>#NAME?</v>
      </c>
      <c r="C8" s="32" t="str">
        <f>"COMPUTED_VALUE""),"An Absorber passively and reflexively copies all active abilities that target them. The Absorber can then use the "absorbed" abilities on subsequent nights (but only one ability per night). If the absorber is targeted by a JoAT or similar, it will only "&amp;"absorb the ability actively in use that night, not all the possible abilities. Each ability learned will be a one-shot action (a failed attempt does not count against the limit). The absorber is affected normally by the actions that target it.</f>
        <v xml:space="preserve">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v>
      </c>
    </row>
    <row r="9">
      <c r="A9" s="3" t="s">
        <v>407</v>
      </c>
      <c r="B9" s="105" t="str">
        <f>split(substitute(A9," - ","~!@^&amp;*#",1),"~!@^&amp;*#",false)"),"Amnesiac</f>
        <v>#NAME?</v>
      </c>
      <c r="C9" s="32" t="str">
        <f>"COMPUTED_VALUE""),"An Amnesiac can take over the role of any dead town member, but can only use this action once. However, it CAN take over the role of another dead town Amnesiac. This is not a visiting role.</f>
        <v xml:space="preserve">An Amnesiac can take over the role of any dead town member, but can only use this action once. However, it CAN take over the role of another dead town Amnesiac. This is not a visiting role.</v>
      </c>
    </row>
    <row r="10">
      <c r="A10" s="3" t="s">
        <v>408</v>
      </c>
      <c r="B10" s="105" t="str">
        <f>split(substitute(A10," - ","~!@^&amp;*#",1),"~!@^&amp;*#",false)"),"Apprentice</f>
        <v>#NAME?</v>
      </c>
      <c r="C10" s="32" t="str">
        <f>"COMPUTED_VALUE""),"An Apprentice targets one player each night and learns that player's ability. The Apprentice then can use its learned ability on subsequent nights, but only one ability per night. When using the ability, the Apprentice will NOT learn a new one. The Appren"&amp;"tice can only learn active abilities and the learned ability will be a one-shot action (where a failed attempt does not count against this limit). If the Apprentice targets a player that has more than one action, such as a JoAT, it will only learn the act"&amp;"ion that player is actively using that night. This is a visiting role.</f>
        <v xml:space="preserve">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v>
      </c>
    </row>
    <row r="11">
      <c r="A11" s="3" t="s">
        <v>409</v>
      </c>
      <c r="B11" s="105" t="str">
        <f>split(substitute(A11," - ","~!@^&amp;*#",1),"~!@^&amp;*#",false)"),"Armourer</f>
        <v>#NAME?</v>
      </c>
      <c r="C11" s="32" t="str">
        <f>"COMPUTED_VALUE""),"An Armourer can give out a total of three shields during the game, including one shield to itself (and a failed attempt does not count against this limit). The shields are given out as an item and the targeted player can then choose when to use their shie"&amp;"ld. They will forfeit their night action when equipping the shield and it cannot be given out to another person. All actions targeting the shielded player will rebound onto the original player using that action. The shield will break after it is used. Shi"&amp;"elds do not stack. The player targeted by the Armourer will know it received a shield, but not the Armourer’s identity. The Armourer does not carry a gun. This is a visiting role.</f>
        <v xml:space="preserve">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v>
      </c>
    </row>
    <row r="12">
      <c r="A12" s="3" t="s">
        <v>410</v>
      </c>
      <c r="B12" s="105" t="str">
        <f>split(substitute(A12," - ","~!@^&amp;*#",1),"~!@^&amp;*#",false)"),"Arms Dealer</f>
        <v>#NAME?</v>
      </c>
      <c r="C12" s="32" t="str">
        <f>"COMPUTED_VALUE""),"An Arms Dealer can give out a total of three guns during the game, including one gun to itself (and a failed attempt does not count against this limit). The gun allows the player to perform a one-shot kill on subsequent nights and it will be lost after it"&amp;"s use. Players that have received a gun and haven't performed the one-shot kill action yet will be seen as gun holders until after they use it. The Arms Dealer carries a gun regardless of whether it has given itself one or if it has no guns left to give o"&amp;"ut. It cannot give more than one gun to the same player. This is a visiting role.</f>
        <v xml:space="preserve">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v>
      </c>
    </row>
    <row r="13">
      <c r="A13" s="3" t="s">
        <v>411</v>
      </c>
      <c r="B13" s="105" t="str">
        <f>split(substitute(A13," - ","~!@^&amp;*#",1),"~!@^&amp;*#",false)"),"Authenticator</f>
        <v>#NAME?</v>
      </c>
      <c r="C13" s="32" t="str">
        <f>"COMPUTED_VALUE""),"An Authenticator targets one player each night and will verify if any items that the target was given by another player and which are still in its possession are real or fabricated. Both parties will be notified of the verification and, if any item is fab"&amp;"ricated, it will be disposed of. The Authenticator does not carry a gun. This is a visiting role.</f>
        <v xml:space="preserve">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v>
      </c>
    </row>
    <row r="14">
      <c r="A14" s="3" t="s">
        <v>412</v>
      </c>
      <c r="B14" s="105" t="str">
        <f>split(substitute(A14," - ","~!@^&amp;*#",1),"~!@^&amp;*#",false)"),"Babysitter</f>
        <v>#NAME?</v>
      </c>
      <c r="C14" s="32" t="str">
        <f>"COMPUTED_VALUE""),"A Babysitter targets a player at night to protect them. However, if the Babysitter is killed that night, both the Babysitter and its target will die. The Babysitter cannot babysit themselves. This is a visiting role.</f>
        <v xml:space="preserve">A Babysitter targets a player at night to protect them. However, if the Babysitter is killed that night, both the Babysitter and its target will die. The Babysitter cannot babysit themselves. This is a visiting role.</v>
      </c>
    </row>
    <row r="15">
      <c r="A15" s="3" t="s">
        <v>413</v>
      </c>
      <c r="B15" s="105" t="str">
        <f>split(substitute(A15," - ","~!@^&amp;*#",1),"~!@^&amp;*#",false)"),"Batman</f>
        <v>#NAME?</v>
      </c>
      <c r="C15" s="32" t="str">
        <f>"COMPUTED_VALUE""),"Batman chooses one player to watch, track AND sane cop each night. Batman appears guilty to investigative roles and cannot be tracked (but can still be watched). Detective investigations fail. Batman carries a [bat]gun. This is a visiting role</f>
        <v xml:space="preserve">Batman chooses one player to watch, track AND sane cop each night. Batman appears guilty to investigative roles and cannot be tracked (but can still be watched). Detective investigations fail. Batman carries a [bat]gun. This is a visiting role</v>
      </c>
    </row>
    <row r="16">
      <c r="A16" s="3" t="s">
        <v>414</v>
      </c>
      <c r="B16" s="105" t="str">
        <f>split(substitute(A16," - ","~!@^&amp;*#",1),"~!@^&amp;*#",false)"),"Bear Trapper</f>
        <v>#NAME?</v>
      </c>
      <c r="C16" s="32" t="str">
        <f>"COMPUTED_VALUE""),"A Bear Trapper may perform a Roleblock OR Track action each night. This is a visiting role.</f>
        <v xml:space="preserve">A Bear Trapper may perform a Roleblock OR Track action each night. This is a visiting role.</v>
      </c>
    </row>
    <row r="17">
      <c r="A17" s="106" t="s">
        <v>415</v>
      </c>
      <c r="B17" s="105" t="str">
        <f>split(substitute(A17," - ","~!@^&amp;*#",1),"~!@^&amp;*#",false)"),"Blacksmith</f>
        <v>#NAME?</v>
      </c>
      <c r="C17" s="32" t="str">
        <f>"COMPUTED_VALUE""),"A Blacksmith visits one player each night. That player is automatically equipped with a vest. The vest allows the recipient to survive one shot or one stab, but will not protect against bombs. The Blacksmith is allowed to give itself a vest once. Vests do"&amp;" not stack. This is a visiting role.</f>
        <v xml:space="preserve">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v>
      </c>
    </row>
    <row r="18">
      <c r="B18" s="76"/>
      <c r="C18" s="3" t="s">
        <v>416</v>
      </c>
    </row>
    <row r="19">
      <c r="A19" s="3" t="s">
        <v>417</v>
      </c>
      <c r="B19" s="105" t="str">
        <f>split(substitute(A19," - ","~!@^&amp;*#",1),"~!@^&amp;*#",false)"),"Bus Driver</f>
        <v>#NAME?</v>
      </c>
      <c r="C19" s="32" t="str">
        <f>"COMPUTED_VALUE""),"A Bus Driver selects two targets at night to drive around. Actions directed at one of the targets will go to the other instead and vice versa. Targets will know they were transported, but not who they were swapped with. This is not a visiting role.</f>
        <v xml:space="preserve">A Bus Driver selects two targets at night to drive around. Actions directed at one of the targets will go to the other instead and vice versa. Targets will know they were transported, but not who they were swapped with. This is not a visiting role.</v>
      </c>
    </row>
    <row r="20">
      <c r="A20" s="3" t="s">
        <v>418</v>
      </c>
      <c r="B20" s="105" t="str">
        <f>split(substitute(A20," - ","~!@^&amp;*#",1),"~!@^&amp;*#",false)"),"Cloak</f>
        <v>#NAME?</v>
      </c>
      <c r="C20" s="32" t="str">
        <f>"COMPUTED_VALUE""),"A Cloak chooses one player at night to cloak. Anybody they cloak is unblockable and invisible to tracking/watching/following/voyeuring (i.e. those actions simply do not detect the cloaked player and its actions). This is NOT a visiting role.</f>
        <v xml:space="preserve">A Cloak chooses one player at night to cloak. Anybody they cloak is unblockable and invisible to tracking/watching/following/voyeuring (i.e. those actions simply do not detect the cloaked player and its actions). This is NOT a visiting role.</v>
      </c>
    </row>
    <row r="21">
      <c r="A21" s="3" t="s">
        <v>419</v>
      </c>
      <c r="B21" s="105" t="str">
        <f>split(substitute(A21," - ","~!@^&amp;*#",1),"~!@^&amp;*#",false)"),"Commuter</f>
        <v>#NAME?</v>
      </c>
      <c r="C21" s="32" t="str">
        <f>"COMPUTED_VALUE""),"A Commuter can choose to leave Town during the night, becoming ineligible for night actions. If combined with another role, it cannot use a night action when commuting, even if that night action is passive. This ability cannot be used two consecutive nigh"&amp;"ts. This is not a visiting role.</f>
        <v xml:space="preserve">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v>
      </c>
    </row>
    <row r="22">
      <c r="A22" s="3" t="s">
        <v>420</v>
      </c>
      <c r="B22" s="105" t="str">
        <f>split(substitute(A22," - ","~!@^&amp;*#",1),"~!@^&amp;*#",false)"),"Constantine</f>
        <v>#NAME?</v>
      </c>
      <c r="C22" s="32" t="str">
        <f>"COMPUTED_VALUE""),"A Constantine targets one player per night to either detective OR kill. The Constantine Is the force against the Cult, therefore it cannot be recruited. Constantine appears guilty to sane cops and carries a gun. This is a visiting role.</f>
        <v xml:space="preserve">A Constantine targets one player per night to either detective OR kill. The Constantine Is the force against the Cult, therefore it cannot be recruited. Constantine appears guilty to sane cops and carries a gun. This is a visiting role.</v>
      </c>
      <c r="G22" s="29"/>
    </row>
    <row r="23">
      <c r="A23" s="3" t="s">
        <v>421</v>
      </c>
      <c r="B23" s="105" t="str">
        <f>split(substitute(A23," - ","~!@^&amp;*#",1),"~!@^&amp;*#",false)"),"Cop</f>
        <v>#NAME?</v>
      </c>
      <c r="C23" s="32" t="str">
        <f>"COMPUTED_VALUE""),"A Cop investigates one player each night to determine if they are guilty or innocent. The Cop cannot investigate themselves. The Cop carries a gun. This is a visiting role.</f>
        <v xml:space="preserve">A Cop investigates one player each night to determine if they are guilty or innocent. The Cop cannot investigate themselves. The Cop carries a gun. This is a visiting role.</v>
      </c>
      <c r="G23" s="29"/>
    </row>
    <row r="24">
      <c r="A24" s="3" t="s">
        <v>422</v>
      </c>
      <c r="B24" s="105" t="str">
        <f>split(substitute(A24," - ","~!@^&amp;*#",1),"~!@^&amp;*#",false)"),"Defuser</f>
        <v>#NAME?</v>
      </c>
      <c r="C24" s="32" t="str">
        <f>"COMPUTED_VALUE""),"A Defuser may visit one player each night. If the target has a bomb planted on them, it will be defused, and both parties will be notified that the defusing was successful. This is a visiting role.</f>
        <v xml:space="preserve">A Defuser may visit one player each night. If the target has a bomb planted on them, it will be defused, and both parties will be notified that the defusing was successful. This is a visiting role.</v>
      </c>
      <c r="G24" s="29"/>
    </row>
    <row r="25">
      <c r="A25" s="3" t="s">
        <v>423</v>
      </c>
      <c r="B25" s="105" t="str">
        <f>split(substitute(A25," - ","~!@^&amp;*#",1),"~!@^&amp;*#",false)"),"Dentist</f>
        <v>#NAME?</v>
      </c>
      <c r="C25" s="32" t="str">
        <f>"COMPUTED_VALUE""),"Each night, chooses one player to silence for the following day. The target cannot post in the thread the day they are silenced. The Dentist cannot silence the same player two days in a row. Is a visiting role.</f>
        <v xml:space="preserve">Each night, chooses one player to silence for the following day. The target cannot post in the thread the day they are silenced. The Dentist cannot silence the same player two days in a row. Is a visiting role.</v>
      </c>
    </row>
    <row r="26">
      <c r="A26" s="3" t="s">
        <v>424</v>
      </c>
      <c r="B26" s="105" t="str">
        <f>split(substitute(A26," - ","~!@^&amp;*#",1),"~!@^&amp;*#",false)"),"Detective</f>
        <v>#NAME?</v>
      </c>
      <c r="C26" s="32" t="str">
        <f>"COMPUTED_VALUE""),"A Detective investigates one player each night to determine their role. The Detective does not learn their alignment. The Detective carries a gun. This is a visiting role.</f>
        <v xml:space="preserve">A Detective investigates one player each night to determine their role. The Detective does not learn their alignment. The Detective carries a gun. This is a visiting role.</v>
      </c>
    </row>
    <row r="27">
      <c r="A27" s="106" t="s">
        <v>425</v>
      </c>
      <c r="B27" s="105" t="str">
        <f>split(substitute(A27," - ","~!@^&amp;*#",1),"~!@^&amp;*#",false)"),"Doctor</f>
        <v>#NAME?</v>
      </c>
      <c r="C27" s="32" t="str">
        <f>"COMPUTED_VALUE""),"A Doctor chooses one player at night to save. The save can be used on the bodyguard if they are targeted for a kill, but it will not save the bodyguard if they are protecting someone who is targeted for a kill. This is a visiting role.</f>
        <v xml:space="preserve">A Doctor chooses one player at night to save. The save can be used on the bodyguard if they are targeted for a kill, but it will not save the bodyguard if they are protecting someone who is targeted for a kill. This is a visiting role.</v>
      </c>
    </row>
    <row r="28">
      <c r="B28" s="76"/>
      <c r="C28" s="3" t="s">
        <v>426</v>
      </c>
    </row>
    <row r="29">
      <c r="A29" s="3" t="s">
        <v>427</v>
      </c>
      <c r="B29" s="105" t="str">
        <f>split(substitute(A29," - ","~!@^&amp;*#",1),"~!@^&amp;*#",false)"),"Dreamer</f>
        <v>#NAME?</v>
      </c>
      <c r="C29" s="32" t="str">
        <f>"COMPUTED_VALUE""),"A Dreamer has a dream every night that gives information on 3 players, one of which is non-town. (One of player1, player2, player3 is guilty.) Third party roles/Godfather do not show up in dreams. The Dreamer does not dream if it is visited. This is not a"&amp;" visiting role.</f>
        <v xml:space="preserve">A Dreamer has a dream every night that gives information on 3 players, one of which is non-town. (One of player1, player2, player3 is guilty.) Third party roles/Godfather do not show up in dreams. The Dreamer does not dream if it is visited. This is not a visiting role.</v>
      </c>
    </row>
    <row r="30">
      <c r="A30" s="3" t="s">
        <v>428</v>
      </c>
      <c r="B30" s="105" t="str">
        <f>split(substitute(A30," - ","~!@^&amp;*#",1),"~!@^&amp;*#",false)"),"Elite Bodyguard</f>
        <v>#NAME?</v>
      </c>
      <c r="C30" s="32" t="str">
        <f>"COMPUTED_VALUE""),"An Elite Bodyguard chooses one player at night to save. The Elite Bodyguard protects the target, kills the attacker, and then dies. If multiple people attack the protected target, only one randomly-selected attacker dies. The Elite Bodyguard carries a gun"&amp;". This is a visiting role.</f>
        <v xml:space="preserve">An Elite Bodyguard chooses one player at night to save. The Elite Bodyguard protects the target, kills the attacker, and then dies. If multiple people attack the protected target, only one randomly-selected attacker dies. The Elite Bodyguard carries a gun. This is a visiting role.</v>
      </c>
    </row>
    <row r="31">
      <c r="A31" s="106" t="s">
        <v>429</v>
      </c>
      <c r="B31" s="105" t="str">
        <f>split(substitute(A31," - ","~!@^&amp;*#",1),"~!@^&amp;*#",false)"),"Engineer</f>
        <v>#NAME?</v>
      </c>
      <c r="C31" s="32" t="str">
        <f>"COMPUTED_VALUE""),"An Engineer has a panel of buttons connected to the rooms of every player, including their own room. Each button can lock the door of that player's room, preventing anyone from coming or going (i.e. the locked door only affects visiting actions). Each but"&amp;"ton can only be pressed once, but any number can be pressed each night. This is not a visiting role.</f>
        <v xml:space="preserve">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v>
      </c>
    </row>
    <row r="32">
      <c r="B32" s="76"/>
      <c r="C32" s="3" t="s">
        <v>430</v>
      </c>
    </row>
    <row r="33">
      <c r="A33" s="3" t="s">
        <v>431</v>
      </c>
      <c r="B33" s="105" t="str">
        <f>split(substitute(A33," - ","~!@^&amp;*#",1),"~!@^&amp;*#",false)"),"Exceptional Rookie Cop</f>
        <v>#NAME?</v>
      </c>
      <c r="C33" s="32" t="str">
        <f>"COMPUTED_VALUE""),"An Exceptional Rookie Cop chooses a target each night to determine if they are guilty or innocent. The Exceptional Rookie Cop cannot target themselves. (Note: The different sanities - Sane, Insane, Paranoid, Paranoid Insane and Naive - also apply to the E"&amp;"xceptional Rookie Cop and, like a regular Cop, it will not know about its sanity). After the Cop dies, the Exceptional Rookie Cop will be promoted to Exceptional Detective, learning the role AND alignment of its targets. The promotion takes one night to b"&amp;"e completed, meaning the Exceptional Detective has to wait one night to start submitting its actions. The Exceptional Rookie Cop/Detective carries a gun. This is a visiting role.</f>
        <v xml:space="preserve">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v>
      </c>
    </row>
    <row r="34">
      <c r="A34" s="3" t="s">
        <v>432</v>
      </c>
      <c r="B34" s="105" t="str">
        <f>split(substitute(A34," - ","~!@^&amp;*#",1),"~!@^&amp;*#",false)"),"Exorcist</f>
        <v>#NAME?</v>
      </c>
      <c r="C34" s="32" t="str">
        <f>"COMPUTED_VALUE""),"An Exorcist chooses a player each night to protect from any action of The Fallen Angel. If it tries to protect a Satanic Cult Member, that member dies. If it tries to protect the Fallen Angel, the Exorcist will die instead. The Exorcist cannot choose to p"&amp;"rotect the same player three nights in a row and cannot protect themselves. This is a visiting role.</f>
        <v xml:space="preserve">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v>
      </c>
    </row>
    <row r="35">
      <c r="A35" s="3" t="s">
        <v>433</v>
      </c>
      <c r="B35" s="105" t="str">
        <f>split(substitute(A35," - ","~!@^&amp;*#",1),"~!@^&amp;*#",false)"),"Fashion Stylist</f>
        <v>#NAME?</v>
      </c>
      <c r="C35" s="32" t="str">
        <f>"COMPUTED_VALUE""),"At the start of each day, the Fashion Stylist will learn the identity of any deceased player (killed overnight or lynched the day before) that was suited by a Tailor, but not the player's original role. This ability is passive and will succeed even if the"&amp;" player is roleblocked. This is not a visiting role.</f>
        <v xml:space="preserve">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v>
      </c>
    </row>
    <row r="36">
      <c r="A36" s="3" t="s">
        <v>434</v>
      </c>
      <c r="B36" s="105" t="str">
        <f>split(substitute(A36," - ","~!@^&amp;*#",1),"~!@^&amp;*#",false)"),"Fashion Assistant</f>
        <v>#NAME?</v>
      </c>
      <c r="C36" s="32" t="str">
        <f>"COMPUTED_VALUE""),"At the start of each day, the Fashion Assistant will learn the identity of any deceased player (killed overnight or lynched the day before) that was given a gown by the Seamstress, but not the player's original role. This ability is passive, but it will n"&amp;"ot get results if it is visited. This is not a visiting role.</f>
        <v xml:space="preserve">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v>
      </c>
    </row>
    <row r="37">
      <c r="A37" s="3" t="s">
        <v>435</v>
      </c>
      <c r="B37" s="105" t="str">
        <f>split(substitute(A37," - ","~!@^&amp;*#",1),"~!@^&amp;*#",false)"),"FBI Agent</f>
        <v>#NAME?</v>
      </c>
      <c r="C37" s="32" t="str">
        <f>"COMPUTED_VALUE""),"Each night, an FBI Agent may investigate a player and determine whether they are guilty or innocent. (It is, at its core, a Sane Cop.) The FBI Agent may also choose to flash its Badge by PMing the host at any time, and during the next time change (either "&amp;"day&gt;night or night&gt;day), the host will publicly reveal its role, abilities, and alignment in the main thread. The FBI Agent carries a gun. This is a visiting role.</f>
        <v xml:space="preserve">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v>
      </c>
    </row>
    <row r="38">
      <c r="A38" s="3" t="s">
        <v>436</v>
      </c>
      <c r="B38" s="105" t="str">
        <f>split(substitute(A38," - ","~!@^&amp;*#",1),"~!@^&amp;*#",false)"),"Fisherman</f>
        <v>#NAME?</v>
      </c>
      <c r="C38" s="32" t="str">
        <f>"COMPUTED_VALUE""),"A Fisherman may fish for an item each night. Fishing for an item has a 50% chance of succeeding. Each item gives them an one-shot ability that can then be used on subsequent nights. If the Fisherman is using an item during the night, it cannot fish for an"&amp;"other one. There is only one of each item available. The possible items are: syringe (Doctor), magnifying glasses (Sane cop), gun (Vigilante), bulletproof vest (Blacksmith), GPS locator (Tracker) and binoculars (Watcher). If the Fisherman catches a gun, i"&amp;"t will be seen as having a gun until it is used. The Fisherman is unblockable while fishing for an item. This is not a visiting role when fishing.</f>
        <v xml:space="preserve">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v>
      </c>
    </row>
    <row r="39">
      <c r="A39" s="3" t="s">
        <v>437</v>
      </c>
      <c r="B39" s="105" t="str">
        <f>split(substitute(A39," - ","~!@^&amp;*#",1),"~!@^&amp;*#",false)"),"Follower</f>
        <v>#NAME?</v>
      </c>
      <c r="C39" s="32" t="str">
        <f>"COMPUTED_VALUE""),"A Follower targets a player at night and learns what action they took that night, but not who they targeted. This is a visiting role.</f>
        <v xml:space="preserve">A Follower targets a player at night and learns what action they took that night, but not who they targeted. This is a visiting role.</v>
      </c>
    </row>
    <row r="40">
      <c r="A40" s="3" t="s">
        <v>438</v>
      </c>
      <c r="B40" s="105" t="str">
        <f>split(substitute(A40," - ","~!@^&amp;*#",1),"~!@^&amp;*#",false)"),"Forensic Investigator</f>
        <v>#NAME?</v>
      </c>
      <c r="C40" s="32" t="str">
        <f>"COMPUTED_VALUE""),"A Forensic Investigator has the ability to analyze any dead player and learn what was done to them each night up until their death, but not by whom. They may use this ability three times during the game, but a failed attempt does not count against this li"&amp;"mit. This is not a visiting role.</f>
        <v xml:space="preserve">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v>
      </c>
    </row>
    <row r="41">
      <c r="A41" s="3" t="s">
        <v>439</v>
      </c>
      <c r="B41" s="105" t="str">
        <f>split(substitute(A41," - ","~!@^&amp;*#",1),"~!@^&amp;*#",false)"),"Friendly Doctor</f>
        <v>#NAME?</v>
      </c>
      <c r="C41" s="32" t="str">
        <f>"COMPUTED_VALUE""),"A Friendly Doctor may visit a player each night. If another player's actions would cause that target to die that night, it will survive instead. Additionally, targeted players will receive a message saying they were visited by the Friendly Doctor, and tha"&amp;"t message will include the Friendly Doctor’s name, but the message cannot be responded to. If the Friendly Doctor prevents a death, both it and the player it saved will know, but neither will know who was responsible for the kill attempt.</f>
        <v xml:space="preserve">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v>
      </c>
    </row>
    <row r="42">
      <c r="A42" s="3" t="s">
        <v>440</v>
      </c>
      <c r="B42" s="105" t="str">
        <f>split(substitute(A42," - ","~!@^&amp;*#",1),"~!@^&amp;*#",false)"),"Friendly Neighbor</f>
        <v>#NAME?</v>
      </c>
      <c r="C42" s="32" t="str">
        <f>"COMPUTED_VALUE""),"A Friendly Neighbor can send one message each night to a player, stating that the Friendly Neighbor is town. This mail may not be responded to. This is not a visiting role.</f>
        <v xml:space="preserve">A Friendly Neighbor can send one message each night to a player, stating that the Friendly Neighbor is town. This mail may not be responded to. This is not a visiting role.</v>
      </c>
    </row>
    <row r="43">
      <c r="A43" s="3" t="s">
        <v>441</v>
      </c>
      <c r="B43" s="105" t="str">
        <f>split(substitute(A43," - ","~!@^&amp;*#",1),"~!@^&amp;*#",false)"),"Geneticist</f>
        <v>#NAME?</v>
      </c>
      <c r="C43" s="32" t="str">
        <f>"COMPUTED_VALUE""),"A Geneticist can choose one player and then forcibly clone that player’s role onto another player of their choice, completely changing the player’s role and alignment for the rest of the game. An attempt of cloning a team member into another team (i. e. t"&amp;"rying to clone a scum/Cult member into a Town role or a Mason/Cult into a scum role or a Cult member into a Town/scum role, etc) will fail. The Geneticist can only use this ability ONCE. This is not a visiting role.</f>
        <v xml:space="preserve">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v>
      </c>
    </row>
    <row r="44">
      <c r="A44" s="3" t="s">
        <v>442</v>
      </c>
      <c r="B44" s="105" t="str">
        <f>split(substitute(A44," - ","~!@^&amp;*#",1),"~!@^&amp;*#",false)"),"Gladiator</f>
        <v>#NAME?</v>
      </c>
      <c r="C44" s="32" t="str">
        <f>"COMPUTED_VALUE""),"A Gladiator can choose to challenge any player during the night ONCE during the game. The following day, only the Gladiator and its opponent are eligible for lynching, but there must be a lynching, which means that if the day ends in a tie, BOTH of them w"&amp;"ill be lynched. The identity of the Gladiator will NOT be announced when the challenge day begins; only which two players are lynch candidates will be announced. This is not a visiting role.</f>
        <v xml:space="preserve">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v>
      </c>
    </row>
    <row r="45">
      <c r="A45" s="3" t="s">
        <v>443</v>
      </c>
      <c r="B45" s="105" t="str">
        <f>split(substitute(A45," - ","~!@^&amp;*#",1),"~!@^&amp;*#",false)"),"Governor</f>
        <v>#NAME?</v>
      </c>
      <c r="C45" s="32" t="str">
        <f>"COMPUTED_VALUE""),"A Governor can override one lynch during the game. The Governor can choose another player or No Lynch. It must PM the host the selection before the role of the lynched player is revealed. A good way to do this is to send a PM saying "If so-and-so is lync"&amp;"hed, lynch so-and-so instead." This action can only be used once. The identity of the Governor will be revealed when the ability is used. This is not a visiting role.</f>
        <v xml:space="preserve">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v>
      </c>
    </row>
    <row r="46">
      <c r="A46" s="3" t="s">
        <v>444</v>
      </c>
      <c r="B46" s="105" t="str">
        <f>split(substitute(A46," - ","~!@^&amp;*#",1),"~!@^&amp;*#",false)"),"Gunsmith</f>
        <v>#NAME?</v>
      </c>
      <c r="C46" s="32" t="str">
        <f>"COMPUTED_VALUE""),"A Gunsmith investigates one player each night to determine if they have a gun. These common roles will carry guns: scum faction members, Detectives, Cops, Jacks of All Trades, FBI Agents, and Vigilantes (Note: this is a general guide. For information on w"&amp;"hether or not a specific, less common role carries a gun, check that role's description). Third party killers and Godfathers do not carry guns. The Gunsmith itself does not carry a gun. This is a visiting role.</f>
        <v xml:space="preserve">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v>
      </c>
    </row>
    <row r="47">
      <c r="A47" s="3" t="s">
        <v>445</v>
      </c>
      <c r="B47" s="105" t="str">
        <f>split(substitute(A47," - ","~!@^&amp;*#",1),"~!@^&amp;*#",false)"),"Hider</f>
        <v>#NAME?</v>
      </c>
      <c r="C47" s="32" t="str">
        <f>"COMPUTED_VALUE""),"A Hider may hide behind one player every night. Whatever happens to the player they hide behind also happens to them. If the Hider tries to hide behind a scum player, it will die. When hiding, actions directly targeting the Hider will fail, but it can be "&amp;"targeted normally when not using its ability. This is a visiting role.</f>
        <v xml:space="preserve">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v>
      </c>
    </row>
    <row r="48">
      <c r="A48" s="3" t="s">
        <v>446</v>
      </c>
      <c r="B48" s="105" t="str">
        <f>split(substitute(A48," - ","~!@^&amp;*#",1),"~!@^&amp;*#",false)"),"Innocent Child</f>
        <v>#NAME?</v>
      </c>
      <c r="C48" s="32" t="str">
        <f>"COMPUTED_VALUE""),"An Innocent Child has no night actions. If targeted by a faction kill, third party killer, or Town Doctor/Vigilante, the child grows up to become a part of the team that they were visited by, and they will receive a randomly selected role from that team. "&amp;"If they are visited by a third party killer, they are aligned with that killer and share a chat room with that killer, gaining Detective abilities. This is not a visiting role while not recruited.</f>
        <v xml:space="preserve">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v>
      </c>
    </row>
    <row r="49">
      <c r="A49" s="3" t="s">
        <v>447</v>
      </c>
      <c r="B49" s="105" t="str">
        <f>split(substitute(A49," - ","~!@^&amp;*#",1),"~!@^&amp;*#",false)"),"Inquisitor</f>
        <v>#NAME?</v>
      </c>
      <c r="C49" s="32" t="str">
        <f>"COMPUTED_VALUE""),"An Inquisitor can ask a total of three yes/no questions to the host via PM about night events or the setting. When talking about players, the Inquisitor has to use the role name and not the player name (or the question is invalid). Questions fail if the p"&amp;"layer is visited. A failed attempt does not count against the limit. This is not a visiting role.</f>
        <v xml:space="preserve">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v>
      </c>
    </row>
    <row r="50">
      <c r="A50" s="3" t="s">
        <v>448</v>
      </c>
      <c r="B50" s="105" t="str">
        <f>split(substitute(A50," - ","~!@^&amp;*#",1),"~!@^&amp;*#",false)"),"Insane Cop</f>
        <v>#NAME?</v>
      </c>
      <c r="C50" s="32" t="str">
        <f>"COMPUTED_VALUE""),"An Insane Cop investigates one player each night to determine if they are guilty or innocent. The Insane Cop cannot investigate themselves. The Insane Cop’s investigations will reveal results that are the opposite of the truth, but it does not know its sa"&amp;"nity. The Insane Cop carries a gun. This is a visiting role.</f>
        <v xml:space="preserve">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v>
      </c>
    </row>
    <row r="51">
      <c r="A51" s="3" t="s">
        <v>449</v>
      </c>
      <c r="B51" s="105" t="str">
        <f>split(substitute(A51," - ","~!@^&amp;*#",1),"~!@^&amp;*#",false)"),"Inventor</f>
        <v>#NAME?</v>
      </c>
      <c r="C51" s="32" t="str">
        <f>"COMPUTED_VALUE""),"An Inventor can give out a total of five items (gadgets) during the game. Each gadget typically provides a one-shot use of a power role ability, such as a one-shot kill or a one-shot detective. The gadgets are chosen from a list provided in the Inventor’s"&amp;" role PM (there isn’t a fixed list of gadgets, it is up to the host to come up with one). The Inventor can give one item to themselves. The host may or may not reveal to the Inventor what each gadget does. This is a visiting role.</f>
        <v xml:space="preserve">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v>
      </c>
    </row>
    <row r="52">
      <c r="A52" s="3" t="s">
        <v>450</v>
      </c>
      <c r="B52" s="105" t="str">
        <f>split(substitute(A52," - ","~!@^&amp;*#",1),"~!@^&amp;*#",false)"),"Jack of All Trades</f>
        <v>#NAME?</v>
      </c>
      <c r="C52" s="32" t="str">
        <f>"COMPUTED_VALUE""),"A Jack of All Trades (JoAT) has the ability to perform one of these actions each night: detective, sane cop, roleblock, watch, track, gunsmith, jail and kill. The JoAT can only use each action once, but a failed attempt does not count against this limit. "&amp;"The JoAT carries a gun. This is a visiting role.</f>
        <v xml:space="preserve">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v>
      </c>
    </row>
    <row r="53">
      <c r="A53" s="3" t="s">
        <v>451</v>
      </c>
      <c r="B53" s="105" t="str">
        <f>split(substitute(A53," - ","~!@^&amp;*#",1),"~!@^&amp;*#",false)"),"Jailkeeper</f>
        <v>#NAME?</v>
      </c>
      <c r="C53" s="32" t="str">
        <f>"COMPUTED_VALUE""),"A Jailkeeper jails one target each night, and that target is roleblocked (cannot use a night ability) and immune to all night actions. If the Jailkeeper dies, the prisoner dies at the same time (and it does not matter if the prisoner is vested, is a Stump"&amp;"/Tough Guy or has a modifier that would prevent or delay death otherwise). This is a visiting role.</f>
        <v xml:space="preserve">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v>
      </c>
    </row>
    <row r="54">
      <c r="A54" s="3" t="s">
        <v>452</v>
      </c>
      <c r="B54" s="105" t="str">
        <f>split(substitute(A54," - ","~!@^&amp;*#",1),"~!@^&amp;*#",false)"),"Jesus</f>
        <v>#NAME?</v>
      </c>
      <c r="C54" s="32" t="str">
        <f>"COMPUTED_VALUE""),"If Jesus gets lynched, he will rise again. While he is dead, he may commune with one dead player and learn their night actions and results. If there are over 20 players remaining, he will rise after 3 days. If there are under 20, 2 days. If under 15, he w"&amp;"ill rise the next day. Jesus is a one trick pony and cannot be resurrected a second time. This is not a visiting role.</f>
        <v xml:space="preserve">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v>
      </c>
    </row>
    <row r="55">
      <c r="A55" s="3" t="s">
        <v>453</v>
      </c>
      <c r="B55" s="105" t="str">
        <f>split(substitute(A55," - ","~!@^&amp;*#",1),"~!@^&amp;*#",false)"),"Keymaker</f>
        <v>#NAME?</v>
      </c>
      <c r="C55" s="32" t="str">
        <f>"COMPUTED_VALUE""),"A Keymaker makes a Key each night and gives it to a player. That player can then lock itself in its house during any night of the game, but only for one night. The player using the key is considered to be jailed for that night. The Keymaker can make one k"&amp;"ey for himself. Each key is unique and can only be given once. This is a visiting role.</f>
        <v xml:space="preserve">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v>
      </c>
    </row>
    <row r="56">
      <c r="A56" s="3" t="s">
        <v>454</v>
      </c>
      <c r="B56" s="105" t="str">
        <f>split(substitute(A56," - ","~!@^&amp;*#",1),"~!@^&amp;*#",false)"),"Lie Detector</f>
        <v>#NAME?</v>
      </c>
      <c r="C56" s="32" t="str">
        <f>"COMPUTED_VALUE""),"Each night, a Lie Detector may send the host a quote containing a statement given by another player. The host will then reveal if the statement is a lie or not. A statement using just a color to identify an alignment will not succeed. The statement has to"&amp;" be clear and there can’t be more than one in each quote. This is not a visiting role.</f>
        <v xml:space="preserve">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v>
      </c>
    </row>
    <row r="57">
      <c r="A57" s="3" t="s">
        <v>455</v>
      </c>
      <c r="B57" s="105" t="str">
        <f>split(substitute(A57," - ","~!@^&amp;*#",1),"~!@^&amp;*#",false)"),"Mailman</f>
        <v>#NAME?</v>
      </c>
      <c r="C57" s="32" t="str">
        <f>"COMPUTED_VALUE""),"A Mailman can send an anonymous message to another player of their choice at night. This is done by sending the host the target's name and the message. The host will then send the message on to the target. The recipient can send a message in reply. This i"&amp;"s not a visiting role.</f>
        <v xml:space="preserve">A Mailman can send an anonymous message to another player of their choice at night. This is done by sending the host the target's name and the message. The host will then send the message on to the target. The recipient can send a message in reply. This is not a visiting role.</v>
      </c>
    </row>
    <row r="58">
      <c r="A58" s="3" t="s">
        <v>456</v>
      </c>
      <c r="B58" s="105" t="str">
        <f>split(substitute(A58," - ","~!@^&amp;*#",1),"~!@^&amp;*#",false)"),"Martyr</f>
        <v>#NAME?</v>
      </c>
      <c r="C58" s="32" t="str">
        <f>"COMPUTED_VALUE""),"A Martyr can use their ability once. The Martyr chooses a target to kill, kills that target, and then dies. The Martyr cannot be saved when using their ability. This is a visiting role.</f>
        <v xml:space="preserve">A Martyr can use their ability once. The Martyr chooses a target to kill, kills that target, and then dies. The Martyr cannot be saved when using their ability. This is a visiting role.</v>
      </c>
    </row>
    <row r="59">
      <c r="A59" s="3" t="s">
        <v>457</v>
      </c>
      <c r="B59" s="105" t="str">
        <f>split(substitute(A59," - ","~!@^&amp;*#",1),"~!@^&amp;*#",false)"),"Mason</f>
        <v>#NAME?</v>
      </c>
      <c r="C59" s="32" t="str">
        <f>"COMPUTED_VALUE""),"Masons share a chat room. They recruit one player each night through a voting system - they are allowed to vote for "Nobody", but they are NOT allowed to refrain from voting. Only a majority is needed to recruit a player, but if no majority is reached, "&amp;"the recruitment will not happen. Recruiting a Town member removes that player's ability, and that player becomes a Mason. Recruiting Cult Members kills those Cult Members. Recruiting a scum faction member fails, and kills any Masons who voted to recruit t"&amp;"hat player. If the recruit is a scum member and is also targeted to be recruited by Cult on the same night, the action fails but no Masons die. The first Mason will be the leader and will carry out the recruitment. If more than one Mason exists at the beg"&amp;"inning of the game, they will decide on N0 which one of them will be the leader. If the leader dies, the remaining Masons will decide again who will become the new leader. Masons are immune to other recruitment. There is a 50% chance of the game starting "&amp;"with a Mason whose abilities are intact. This is a visiting role when recruiting.</f>
        <v xml:space="preserve">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v>
      </c>
    </row>
    <row r="60">
      <c r="A60" s="3" t="s">
        <v>458</v>
      </c>
      <c r="B60" s="105" t="str">
        <f>split(substitute(A60," - ","~!@^&amp;*#",1),"~!@^&amp;*#",false)"),"Master Surgeon</f>
        <v>#NAME?</v>
      </c>
      <c r="C60" s="32" t="str">
        <f>"COMPUTED_VALUE""),"Like a Doctor, a Master Surgeon chooses one player to save at night. A Master Surgeon cannot self-heal. Saving is a visiting action. Alternatively, a Master Surgeon can revive one dead player immediately after death. That player will randomly be assigned "&amp;"a new role matching their original alignment. A Master Surgeon cannot target themselves for revival. Revival is not a visiting action. After a revival, a Master Surgeon cannot use a Doctor’s ability on the following two nights.</f>
        <v xml:space="preserve">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v>
      </c>
    </row>
    <row r="61">
      <c r="A61" s="3" t="s">
        <v>459</v>
      </c>
      <c r="B61" s="105" t="str">
        <f>split(substitute(A61," - ","~!@^&amp;*#",1),"~!@^&amp;*#",false)"),"Medium</f>
        <v>#NAME?</v>
      </c>
      <c r="C61" s="32" t="str">
        <f>"COMPUTED_VALUE""),"Every other night, a Medium gets additional information about the night events or the setting. When talking about players, the host will use the role name, not a player’s name. The Medium does not receive information if visited. A random choice will be ma"&amp;"de to determine if the Medium will start getting information on N0 or N1.</f>
        <v xml:space="preserve">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v>
      </c>
    </row>
    <row r="62">
      <c r="A62" s="3" t="s">
        <v>460</v>
      </c>
      <c r="B62" s="105" t="str">
        <f>split(substitute(A62," - ","~!@^&amp;*#",1),"~!@^&amp;*#",false)"),"Miller</f>
        <v>#NAME?</v>
      </c>
      <c r="C62" s="32" t="str">
        <f>"COMPUTED_VALUE""),"A Miller is a Vanilla townie who show as guilty to sane Cops and innocent to Insane Cops. This is not a visiting role.</f>
        <v xml:space="preserve">A Miller is a Vanilla townie who show as guilty to sane Cops and innocent to Insane Cops. This is not a visiting role.</v>
      </c>
    </row>
    <row r="63">
      <c r="A63" s="106" t="s">
        <v>461</v>
      </c>
      <c r="B63" s="105" t="str">
        <f>split(substitute(A63," - ","~!@^&amp;*#",1),"~!@^&amp;*#",false)"),"Mortician</f>
        <v>#NAME?</v>
      </c>
      <c r="C63" s="32" t="str">
        <f>"COMPUTED_VALUE""),"A Mortician can choose a dead player each night and obtain the player's true role, no matter how that role is disguised. This is not a visiting role.</f>
        <v xml:space="preserve">A Mortician can choose a dead player each night and obtain the player's true role, no matter how that role is disguised. This is not a visiting role.</v>
      </c>
    </row>
    <row r="64">
      <c r="B64" s="76"/>
      <c r="C64" s="3" t="s">
        <v>462</v>
      </c>
    </row>
    <row r="65">
      <c r="A65" s="3" t="s">
        <v>463</v>
      </c>
      <c r="B65" s="105" t="str">
        <f>split(substitute(A65," - ","~!@^&amp;*#",1),"~!@^&amp;*#",false)"),"Motivator</f>
        <v>#NAME?</v>
      </c>
      <c r="C65" s="32" t="str">
        <f>"COMPUTED_VALUE""),"A Motivator targets a player at night to allow them to use an extra action. The extra action is available the next night and the next night only. Factional abilities, such as the Mafia night kill, cannot be used twice in one night. One-shot type of action"&amp;"s won’t be affected by motivation, i. e., if a Jack of All Trades is motivated, they can’t use two of the same action, they simply can use two different actions at once. The Motivator cannot motivate themselves. This is a visiting role.</f>
        <v xml:space="preserve">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v>
      </c>
    </row>
    <row r="66">
      <c r="A66" s="3" t="s">
        <v>464</v>
      </c>
      <c r="B66" s="105" t="str">
        <f>split(substitute(A66," - ","~!@^&amp;*#",1),"~!@^&amp;*#",false)"),"Naive Cop</f>
        <v>#NAME?</v>
      </c>
      <c r="C66" s="32" t="str">
        <f>"COMPUTED_VALUE""),"A Naive Cop Investigates one player each night to determine if they are guilty or innocent. The Naive Cop cannot investigate itself. The Naive Cop’s investigations will return 'Innocent' the first three nights. After that, it loses its naivety and returns"&amp;" sane Cop results. The Naive Cop does not know of its naivety. The Naive Cop carries a gun. This is a visiting role.</f>
        <v xml:space="preserve">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v>
      </c>
    </row>
    <row r="67">
      <c r="A67" s="3" t="s">
        <v>465</v>
      </c>
      <c r="B67" s="105" t="str">
        <f>split(substitute(A67," - ","~!@^&amp;*#",1),"~!@^&amp;*#",false)"),"Neighborhood Watch</f>
        <v>#NAME?</v>
      </c>
      <c r="C67" s="32" t="str">
        <f>"COMPUTED_VALUE""),"A Neighborhood Watch chooses to watch one player per night. If the watched player dies, there is a 50% chance that the Neighborhood Watch sees the killer, thus learning the killer’s identity, even if the killer is cloaked (including Sneaky Pete). If two o"&amp;"r more Neighborhood Watch players watch the same player, there is a 100% chance that they will see the killer. All Neighborhood Watch players may communicate with each other in a chat room. Neighborhood Watch players will also get normal watch results eve"&amp;"n when the target is not killed. This is a visiting role.</f>
        <v xml:space="preserve">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v>
      </c>
    </row>
    <row r="68">
      <c r="A68" s="3" t="s">
        <v>466</v>
      </c>
      <c r="B68" s="105" t="str">
        <f>split(substitute(A68," - ","~!@^&amp;*#",1),"~!@^&amp;*#",false)"),"Paranoid Cop</f>
        <v>#NAME?</v>
      </c>
      <c r="C68" s="32" t="str">
        <f>"COMPUTED_VALUE""),"A Paranoid Cop investigates one player each night to determine if they are guilty or innocent. The Paranoid Cop cannot investigate itself. The Paranoid Cop;s investigations will return 'Guilty' the first three nights. After that, it loses its paranoia. Th"&amp;"e Paranoid Cop does not know of its paranoia. The Paranoid Cop carries a gun. This is a visiting role.</f>
        <v xml:space="preserve">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v>
      </c>
    </row>
    <row r="69">
      <c r="A69" s="3" t="s">
        <v>467</v>
      </c>
      <c r="B69" s="105" t="str">
        <f>split(substitute(A69," - ","~!@^&amp;*#",1),"~!@^&amp;*#",false)"),"Paranoid Insane Cop</f>
        <v>#NAME?</v>
      </c>
      <c r="C69" s="32" t="str">
        <f>"COMPUTED_VALUE""),"A Paranoid Insane Cop investigates one player each night to determine if they are guilty or innocent. A Paranoid Insane Cop cannot investigate itself. The Paranoid Insane Cop’s investigations will return 'Guilty' the first three nights. After that, it los"&amp;"es its paranoia, but is still insane, so investigations on N3 and beyond will return the opposite of the truth. The Paranoid Insane Cop does not know of its paranoia or insanity. The Paranoid Insane Cop carries a gun. This is a visiting role.</f>
        <v xml:space="preserve">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v>
      </c>
    </row>
    <row r="70">
      <c r="A70" s="3" t="s">
        <v>468</v>
      </c>
      <c r="B70" s="105" t="str">
        <f>split(substitute(A70," - ","~!@^&amp;*#",1),"~!@^&amp;*#",false)"),"Parity Cop</f>
        <v>#NAME?</v>
      </c>
      <c r="C70" s="32" t="str">
        <f>"COMPUTED_VALUE""),"A Parity Cop is an information role that receives a difference check during the night on two living players of their choosing. The player chosen on N0 returns without a check. The Parity Cop then chooses a player each of the following nights and will be t"&amp;"old if that player is of the same or different alignments to the Parity Cop’s first successful target. The Parity Cop cannot target itself until it has had one successful result. The Parity Cop carries a gun. This is a visiting role.</f>
        <v xml:space="preserve">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v>
      </c>
    </row>
    <row r="71">
      <c r="A71" s="3" t="s">
        <v>469</v>
      </c>
      <c r="B71" s="105" t="str">
        <f>split(substitute(A71," - ","~!@^&amp;*#",1),"~!@^&amp;*#",false)"),"Party Host</f>
        <v>#NAME?</v>
      </c>
      <c r="C71" s="32" t="str">
        <f>"COMPUTED_VALUE""),"A Party Host can choose to host a party 3 times during the game (and a failed attempt does not count against this limit). On the nights the Party Host is hosting a party, any player that visits them will be jailed during that night (meaning that their act"&amp;"ion will fail and actions directed towards them will fail as well). (Note: non-visiting roles will not be affected if they target the Party Host). The next day, the players that were at the party must use the drunk translator to transform any posts they m"&amp;"ake in the game thread. As with a jailer, if the Party Host is killed while hosting a party, any player at the party will die at the same time. This is not a visiting role.</f>
        <v xml:space="preserve">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v>
      </c>
    </row>
    <row r="72">
      <c r="A72" s="3" t="s">
        <v>470</v>
      </c>
      <c r="B72" s="105" t="str">
        <f>split(substitute(A72," - ","~!@^&amp;*#",1),"~!@^&amp;*#",false)"),"Photographer</f>
        <v>#NAME?</v>
      </c>
      <c r="C72" s="32" t="str">
        <f>"COMPUTED_VALUE""),"Each night, a Photographer may watch up to two players. The Photographer learns who visits both players that night. This is a visiting role.</f>
        <v xml:space="preserve">Each night, a Photographer may watch up to two players. The Photographer learns who visits both players that night. This is a visiting role.</v>
      </c>
    </row>
    <row r="73">
      <c r="A73" s="3" t="s">
        <v>471</v>
      </c>
      <c r="B73" s="105" t="str">
        <f>split(substitute(A73," - ","~!@^&amp;*#",1),"~!@^&amp;*#",false)"),"Priest</f>
        <v>#NAME?</v>
      </c>
      <c r="C73" s="32" t="str">
        <f>"COMPUTED_VALUE""),"A Priest chooses a player each night to protect from being recruited by The Fallen Angel. The Priest cannot choose to protect the same player three nights in a row. The Priest can protect itself. This is a visiting role.</f>
        <v xml:space="preserve">A Priest chooses a player each night to protect from being recruited by The Fallen Angel. The Priest cannot choose to protect the same player three nights in a row. The Priest can protect itself. This is a visiting role.</v>
      </c>
    </row>
    <row r="74">
      <c r="A74" s="3" t="s">
        <v>472</v>
      </c>
      <c r="B74" s="105" t="str">
        <f>split(substitute(A74," - ","~!@^&amp;*#",1),"~!@^&amp;*#",false)"),"Private Eye</f>
        <v>#NAME?</v>
      </c>
      <c r="C74" s="32" t="str">
        <f>"COMPUTED_VALUE""),"Each night, a Private Eye may track up to two players. The Private Eye learns who those players visit that night. This is a visiting role.</f>
        <v xml:space="preserve">Each night, a Private Eye may track up to two players. The Private Eye learns who those players visit that night. This is a visiting role.</v>
      </c>
    </row>
    <row r="75">
      <c r="A75" s="3" t="s">
        <v>473</v>
      </c>
      <c r="B75" s="105" t="str">
        <f>split(substitute(A75," - ","~!@^&amp;*#",1),"~!@^&amp;*#",false)"),"Reviver</f>
        <v>#NAME?</v>
      </c>
      <c r="C75" s="32" t="str">
        <f>"COMPUTED_VALUE""),"A Reviver can revive one dead player immediately after death. That player will randomly be assigned a new role matching their original alignment. The revival will be announced in thread in the moment it happens, but the revived player’s new role won’t be "&amp;"revealed. The Reviver cannot target itself. This is not a visiting role.</f>
        <v xml:space="preserve">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v>
      </c>
    </row>
    <row r="76">
      <c r="A76" s="3" t="s">
        <v>474</v>
      </c>
      <c r="B76" s="105" t="str">
        <f>split(substitute(A76," - ","~!@^&amp;*#",1),"~!@^&amp;*#",false)"),"Rookie Cop</f>
        <v>#NAME?</v>
      </c>
      <c r="C76" s="32" t="str">
        <f>"COMPUTED_VALUE""),"A Rookie Cop has no night actions until the Cop dies. After the Cop’s death, the Rookie Cop is promoted to Cop and may choose one target each night to determine if they are guilty or innocent. The promotion takes place instantly, which means the Rookie Co"&amp;"p can start sending actions immediately after the Cop’s death. The Rookie Cop will always become a Sane Cop. The Rookie Cop carries a gun. This is not a visiting role until they get promoted to Cop.</f>
        <v xml:space="preserve">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v>
      </c>
    </row>
    <row r="77">
      <c r="A77" s="3" t="s">
        <v>475</v>
      </c>
      <c r="B77" s="105" t="str">
        <f>split(substitute(A77," - ","~!@^&amp;*#",1),"~!@^&amp;*#",false)"),"Roleblocker</f>
        <v>#NAME?</v>
      </c>
      <c r="C77" s="32" t="str">
        <f>"COMPUTED_VALUE""),"A Roleblocker chooses one player to block each night. The Roleblocker cannot block the same player 3 nights in a row. This is a visiting role.</f>
        <v xml:space="preserve">A Roleblocker chooses one player to block each night. The Roleblocker cannot block the same player 3 nights in a row. This is a visiting role.</v>
      </c>
    </row>
    <row r="78">
      <c r="A78" s="3" t="s">
        <v>476</v>
      </c>
      <c r="B78" s="105" t="str">
        <f>split(substitute(A78," - ","~!@^&amp;*#",1),"~!@^&amp;*#",false)"),"Rolestopper</f>
        <v>#NAME?</v>
      </c>
      <c r="C78" s="32" t="str">
        <f>"COMPUTED_VALUE""),"A Rolestopper chooses one player to protect from all other night actions. The Rolestopper cannot target the same player two nights in a row. This is a visiting role.</f>
        <v xml:space="preserve">A Rolestopper chooses one player to protect from all other night actions. The Rolestopper cannot target the same player two nights in a row. This is a visiting role.</v>
      </c>
    </row>
    <row r="79">
      <c r="A79" s="3" t="s">
        <v>477</v>
      </c>
      <c r="B79" s="105" t="str">
        <f>split(substitute(A79," - ","~!@^&amp;*#",1),"~!@^&amp;*#",false)"),"Safety Expert</f>
        <v>#NAME?</v>
      </c>
      <c r="C79" s="32" t="str">
        <f>"COMPUTED_VALUE""),"A Safety Expert may either gunsmith or roleblock a single target each night. The Safety Expert is one-shot Bulletproof. This is a visiting role.</f>
        <v xml:space="preserve">A Safety Expert may either gunsmith or roleblock a single target each night. The Safety Expert is one-shot Bulletproof. This is a visiting role.</v>
      </c>
    </row>
    <row r="80">
      <c r="A80" s="3" t="s">
        <v>478</v>
      </c>
      <c r="B80" s="105" t="str">
        <f>split(substitute(A80," - ","~!@^&amp;*#",1),"~!@^&amp;*#",false)"),"Schizophrenic</f>
        <v>#NAME?</v>
      </c>
      <c r="C80" s="32" t="str">
        <f>"COMPUTED_VALUE""),"A Schizophrenic has the ability to target one player per night, and does not know what action it takes until receiving its result PM the next morning. The action will be one of: watch, track, save (doctor), roleblock, jail, motivate, silence, detective or"&amp;" kill. The Schizophrenic does not carry a gun. This is a visiting role.</f>
        <v xml:space="preserve">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v>
      </c>
    </row>
    <row r="81">
      <c r="A81" s="3" t="s">
        <v>479</v>
      </c>
      <c r="B81" s="105" t="str">
        <f>split(substitute(A81," - ","~!@^&amp;*#",1),"~!@^&amp;*#",false)"),"Sensor</f>
        <v>#NAME?</v>
      </c>
      <c r="C81" s="32" t="str">
        <f>"COMPUTED_VALUE""),"A Sensor is told after each day how many scum faction members were on the lynching bandwagon. A total is given: If 2 mafia members and 1 yakuza member were on the bandwagon, the result would be "3 scum members were on the bandwagon." A Godfather does no"&amp;"t appear in this total. This is not a visiting role and cannot be blocked.</f>
        <v xml:space="preserve">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v>
      </c>
    </row>
    <row r="82">
      <c r="A82" s="3" t="s">
        <v>480</v>
      </c>
      <c r="B82" s="105" t="str">
        <f>split(substitute(A82," - ","~!@^&amp;*#",1),"~!@^&amp;*#",false)"),"Sheriff</f>
        <v>#NAME?</v>
      </c>
      <c r="C82" s="32" t="str">
        <f>"COMPUTED_VALUE""),"Each night, a Sheriff may either perform a Detective or Sane Cop action. The Sheriff may only use each action 3 times. Failed attempts do not count against this limit. The Sheriff carries a gun. This is a visiting role.</f>
        <v xml:space="preserve">Each night, a Sheriff may either perform a Detective or Sane Cop action. The Sheriff may only use each action 3 times. Failed attempts do not count against this limit. The Sheriff carries a gun. This is a visiting role.</v>
      </c>
    </row>
    <row r="83">
      <c r="A83" s="3" t="s">
        <v>481</v>
      </c>
      <c r="B83" s="105" t="str">
        <f>split(substitute(A83," - ","~!@^&amp;*#",1),"~!@^&amp;*#",false)"),"Shrink</f>
        <v>#NAME?</v>
      </c>
      <c r="C83" s="32" t="str">
        <f>"COMPUTED_VALUE""),"A Shrink chooses a player each night to protect from being converted by the Cult. The Shrink cannot choose to target the same player three nights in a row. It can target itself. This is a visiting role.</f>
        <v xml:space="preserve">A Shrink chooses a player each night to protect from being converted by the Cult. The Shrink cannot choose to target the same player three nights in a row. It can target itself. This is a visiting role.</v>
      </c>
    </row>
    <row r="84">
      <c r="A84" s="3" t="s">
        <v>482</v>
      </c>
      <c r="B84" s="105" t="str">
        <f>split(substitute(A84," - ","~!@^&amp;*#",1),"~!@^&amp;*#",false)"),"Spy</f>
        <v>#NAME?</v>
      </c>
      <c r="C84" s="32" t="str">
        <f>"COMPUTED_VALUE""),"A Spy targets a player at night to track AND watch. The Spy will learn who visited that player, and who that player visited, but not what they did. The spy itself cannot be tracked or watched. This is a visiting role.</f>
        <v xml:space="preserve">A Spy targets a player at night to track AND watch. The Spy will learn who visited that player, and who that player visited, but not what they did. The spy itself cannot be tracked or watched. This is a visiting role.</v>
      </c>
    </row>
    <row r="85">
      <c r="A85" s="3" t="s">
        <v>483</v>
      </c>
      <c r="B85" s="105" t="str">
        <f>split(substitute(A85," - ","~!@^&amp;*#",1),"~!@^&amp;*#",false)"),"Stump</f>
        <v>#NAME?</v>
      </c>
      <c r="C85" s="32" t="str">
        <f>"COMPUTED_VALUE""),"A Stump has no night actions. Direct kills targeting the Stump will fail, but it can be targeted normally otherwise. The Stump is not recruitable [Any type of recruitment, including Mason and the Godfather (variation)]. The Stump cannot vote and cannot be"&amp;" lynched. (An attempt to lynch the Stump will end in a No Lynch.)</f>
        <v xml:space="preserve">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v>
      </c>
    </row>
    <row r="86">
      <c r="A86" s="3" t="s">
        <v>484</v>
      </c>
      <c r="B86" s="105" t="str">
        <f>split(substitute(A86," - ","~!@^&amp;*#",1),"~!@^&amp;*#",false)"),"Tracker</f>
        <v>#NAME?</v>
      </c>
      <c r="C86" s="32" t="str">
        <f>"COMPUTED_VALUE""),"A Tracker targets one player each night to learn who that player visited. The Tracker does not know the nature of the visits. This is a visiting role.</f>
        <v xml:space="preserve">A Tracker targets one player each night to learn who that player visited. The Tracker does not know the nature of the visits. This is a visiting role.</v>
      </c>
    </row>
    <row r="87">
      <c r="A87" s="3" t="s">
        <v>485</v>
      </c>
      <c r="B87" s="105" t="str">
        <f>split(substitute(A87," - ","~!@^&amp;*#",1),"~!@^&amp;*#",false)"),"Vanilla Townie</f>
        <v>#NAME?</v>
      </c>
      <c r="C87" s="32" t="str">
        <f>"COMPUTED_VALUE""),"A Vanilla Townie is not special at all. This is not even a visiting role. Poor Vanilla Townie.</f>
        <v xml:space="preserve">A Vanilla Townie is not special at all. This is not even a visiting role. Poor Vanilla Townie.</v>
      </c>
    </row>
    <row r="88">
      <c r="A88" s="3" t="s">
        <v>486</v>
      </c>
      <c r="B88" s="105" t="str">
        <f>split(substitute(A88," - ","~!@^&amp;*#",1),"~!@^&amp;*#",false)"),"Vengeful Townsperson</f>
        <v>#NAME?</v>
      </c>
      <c r="C88" s="32" t="str">
        <f>"COMPUTED_VALUE""),"If the Vengeful Townsperson gets lynched, it may choose one player (by posting their name in the thread) who will then die at the same time.</f>
        <v xml:space="preserve">If the Vengeful Townsperson gets lynched, it may choose one player (by posting their name in the thread) who will then die at the same time.</v>
      </c>
    </row>
    <row r="89">
      <c r="A89" s="3" t="s">
        <v>487</v>
      </c>
      <c r="B89" s="105" t="str">
        <f>split(substitute(A89," - ","~!@^&amp;*#",1),"~!@^&amp;*#",false)"),"Veteran</f>
        <v>#NAME?</v>
      </c>
      <c r="C89" s="32" t="str">
        <f>"COMPUTED_VALUE""),"A Veteran may choose to stay on alert during the night. Any night the Veteran is on alert, it will kill anyone that visits it. The visiting player is killed instantly and its action fails, not affecting the Veteran, no matter what action it is or if the p"&amp;"layer is cloaked. The Veteran can stay on alert three nights during the game and cannot be on alert on N0. On the nights it is not on alert, it can be targeted normally. The Veteran carries a gun. This is not a visiting role.</f>
        <v xml:space="preserve">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v>
      </c>
    </row>
    <row r="90">
      <c r="A90" s="106" t="s">
        <v>488</v>
      </c>
      <c r="B90" s="105" t="str">
        <f>split(substitute(A90," - ","~!@^&amp;*#",1),"~!@^&amp;*#",false)"),"Vigilante</f>
        <v>#NAME?</v>
      </c>
      <c r="C90" s="32" t="str">
        <f>"COMPUTED_VALUE""),"A Vigilante chooses one player to kill at night This kill is not compulsory unless that modifier is applied to the role. The Vigilante carries a gun. This is a visiting role.</f>
        <v xml:space="preserve">A Vigilante chooses one player to kill at night This kill is not compulsory unless that modifier is applied to the role. The Vigilante carries a gun. This is a visiting role.</v>
      </c>
    </row>
    <row r="91">
      <c r="B91" s="76"/>
      <c r="C91" s="3" t="s">
        <v>489</v>
      </c>
    </row>
    <row r="92">
      <c r="A92" s="3" t="s">
        <v>490</v>
      </c>
      <c r="B92" s="105" t="str">
        <f>split(substitute(A92," - ","~!@^&amp;*#",1),"~!@^&amp;*#",false)"),"Voyeur</f>
        <v>#NAME?</v>
      </c>
      <c r="C92" s="32" t="str">
        <f>"COMPUTED_VALUE""),"A Voyeur chooses a target, and learns what was done to them that night, but not who did it. The Voyeur can target itself. This is a visiting role.</f>
        <v xml:space="preserve">A Voyeur chooses a target, and learns what was done to them that night, but not who did it. The Voyeur can target itself. This is a visiting role.</v>
      </c>
    </row>
    <row r="93">
      <c r="A93" s="3" t="s">
        <v>491</v>
      </c>
      <c r="B93" s="105" t="str">
        <f>split(substitute(A93," - ","~!@^&amp;*#",1),"~!@^&amp;*#",false)"),"Watcher</f>
        <v>#NAME?</v>
      </c>
      <c r="C93" s="32" t="str">
        <f>"COMPUTED_VALUE""),"A Watcher watches one player each night to learn who visited that player. The Watcher does not know the nature of the visits. The Watcher is allowed to watch itself. This is a visiting role.</f>
        <v xml:space="preserve">A Watcher watches one player each night to learn who visited that player. The Watcher does not know the nature of the visits. The Watcher is allowed to watch itself. This is a visiting role.</v>
      </c>
    </row>
    <row r="94">
      <c r="A94" s="3" t="s">
        <v>492</v>
      </c>
      <c r="B94" s="105" t="str">
        <f>split(substitute(A94," - ","~!@^&amp;*#",1),"~!@^&amp;*#",false)"),"Watchful Detective</f>
        <v>#NAME?</v>
      </c>
      <c r="C94" s="32" t="str">
        <f>"COMPUTED_VALUE""),"Each night, a Watchful Detective may either Detective or Watch a target. The Watchful Detective carries a gun. This is a visiting role.</f>
        <v xml:space="preserve">Each night, a Watchful Detective may either Detective or Watch a target. The Watchful Detective carries a gun. This is a visiting role.</v>
      </c>
    </row>
    <row r="95">
      <c r="C95" s="32"/>
    </row>
    <row r="96">
      <c r="A96" s="3" t="s">
        <v>493</v>
      </c>
      <c r="B96" s="107" t="str">
        <f>split(substitute(A96," - ","~!@^&amp;*#",1),"~!@^&amp;*#",false)"),"Mafia Absorber</f>
        <v>#NAME?</v>
      </c>
      <c r="C96" s="32" t="str">
        <f>"COMPUTED_VALUE""),"A Mafia Absorber passively and reflexively copies all active abilities that target them. The Mafia Absorber can then use the "absorbed" abilities on subsequent nights (but only one ability per night). Absorbers cannot copy their own team's factional abi"&amp;"lities (like the Mafia kill), but can absorb any kills sent their way by other teams and can be targeted by their teammates. If the absorber is targeted by a JoAT or similar, it will only absorb the ability actively in use that night, not all the possible"&amp;" abilities. Each ability learned by the Absorber will be a one-shot action (and a failed attempt does not count against this limit). The Absorber is affected normally by the actions that target it.</f>
        <v xml:space="preserve">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v>
      </c>
    </row>
    <row r="97">
      <c r="A97" s="3" t="s">
        <v>494</v>
      </c>
      <c r="B97" s="107" t="str">
        <f>split(substitute(A97," - ","~!@^&amp;*#",1),"~!@^&amp;*#",false)"),"Mafia Amnesiac</f>
        <v>#NAME?</v>
      </c>
      <c r="C97" s="32" t="str">
        <f>"COMPUTED_VALUE""),"The Mafia Amnesiac can take over the role of any dead Mafia member. This ability can only be used once. This is not a visiting role, unless the Amnesiac performs the factional kill.</f>
        <v xml:space="preserve">The Mafia Amnesiac can take over the role of any dead Mafia member. This ability can only be used once. This is not a visiting role, unless the Amnesiac performs the factional kill.</v>
      </c>
    </row>
    <row r="98">
      <c r="A98" s="3" t="s">
        <v>495</v>
      </c>
      <c r="B98" s="107" t="str">
        <f>split(substitute(A98," - ","~!@^&amp;*#",1),"~!@^&amp;*#",false)"),"Mafia Apprentice</f>
        <v>#NAME?</v>
      </c>
      <c r="C98" s="32" t="str">
        <f>"COMPUTED_VALUE""),"The Mafia Apprentice targets one player each night and learns that player's ability. The Mafia Apprentice then can use its learned ability on subsequent nights, but only one ability per night. When using the ability, the Apprentice will NOT learn a new on"&amp;"e. The Apprentice can only learn active abilities and the learned ability will be a one-shot action (where a failed attempt does not count against this limit). If the Apprentice targets a player that has more than one action, such as a JoAT, it will only "&amp;"learn the action that player is actively using that night. The Mafia Apprentice cannot learn kill actions from their teammates, but can target them otherwise. This is a visiting role.</f>
        <v xml:space="preserve">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v>
      </c>
    </row>
    <row r="99">
      <c r="A99" s="106" t="s">
        <v>496</v>
      </c>
      <c r="B99" s="107" t="str">
        <f>split(substitute(A99," - ","~!@^&amp;*#",1),"~!@^&amp;*#",false)"),"Mafia Bomber</f>
        <v>#NAME?</v>
      </c>
      <c r="C99" s="32" t="str">
        <f>"COMPUTED_VALUE""),"Each night, the Bomber can choose to plant a bomb on a player or detonate. Detonating kills all players who have had bombs planted on them. The Mafia Bomber cannot be doctored two nights in a row. The Mafia Bomber carries a gun. This is a visiting role.</f>
        <v xml:space="preserve">Each night, the Bomber can choose to plant a bomb on a player or detonate. Detonating kills all players who have had bombs planted on them. The Mafia Bomber cannot be doctored two nights in a row. The Mafia Bomber carries a gun. This is a visiting role.</v>
      </c>
    </row>
    <row r="100">
      <c r="B100" s="76"/>
      <c r="C100" s="3" t="s">
        <v>497</v>
      </c>
    </row>
    <row r="101">
      <c r="A101" s="3" t="s">
        <v>498</v>
      </c>
      <c r="B101" s="107" t="str">
        <f>split(substitute(A101," - ","~!@^&amp;*#",1),"~!@^&amp;*#",false)"),"Mafia Bus Driver</f>
        <v>#NAME?</v>
      </c>
      <c r="C101" s="32" t="str">
        <f>"COMPUTED_VALUE""),"A Mafia Bus Driver selects two targets at night to drive around. Actions directed at one of the targets will go to the other instead and vice versa. Targets will know they were transported, but not who they were swapped with. The Mafia Bus Driver carries "&amp;"a gun. This is not a visiting role.</f>
        <v xml:space="preserve">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v>
      </c>
    </row>
    <row r="102">
      <c r="A102" s="3" t="s">
        <v>499</v>
      </c>
      <c r="B102" s="107" t="str">
        <f>split(substitute(A102," - ","~!@^&amp;*#",1),"~!@^&amp;*#",false)"),"Mafia Cloak</f>
        <v>#NAME?</v>
      </c>
      <c r="C102" s="32" t="str">
        <f>"COMPUTED_VALUE""),"A Mafia Cloak chooses one player at night to cloak. Anybody they cloak is unblockable and invisible to tracking/watching/following/voyeuring (i.e. those actions simply do not detect the cloaked player and its actions). This is NOT a visiting role.</f>
        <v xml:space="preserve">A Mafia Cloak chooses one player at night to cloak. Anybody they cloak is unblockable and invisible to tracking/watching/following/voyeuring (i.e. those actions simply do not detect the cloaked player and its actions). This is NOT a visiting role.</v>
      </c>
    </row>
    <row r="103">
      <c r="A103" s="3" t="s">
        <v>500</v>
      </c>
      <c r="B103" s="107" t="str">
        <f>split(substitute(A103," - ","~!@^&amp;*#",1),"~!@^&amp;*#",false)"),"Mafia Corrupt Postal Worker</f>
        <v>#NAME?</v>
      </c>
      <c r="C103" s="32" t="str">
        <f>"COMPUTED_VALUE""),"A Mafia Corrupt Postal Worker can send two messages per night. This is done by sending the host the target's names and the messages. The host will then send the messages on to the targets. These messages can be responded to. The Mafia Corrupt Postal Worke"&amp;"r carries a gun. This is not a visiting role.</f>
        <v xml:space="preserve">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v>
      </c>
    </row>
    <row r="104">
      <c r="A104" s="3" t="s">
        <v>501</v>
      </c>
      <c r="B104" s="107" t="str">
        <f>split(substitute(A104," - ","~!@^&amp;*#",1),"~!@^&amp;*#",false)"),"Mafia Dentist</f>
        <v>#NAME?</v>
      </c>
      <c r="C104" s="32" t="str">
        <f>"COMPUTED_VALUE""),"A Mafia Dentist chooses one player at night to silence. The silenced player cannot post in the thread for one game day. The Dentist cannot target the same player twice in a row. This is a visiting role.</f>
        <v xml:space="preserve">A Mafia Dentist chooses one player at night to silence. The silenced player cannot post in the thread for one game day. The Dentist cannot target the same player twice in a row. This is a visiting role.</v>
      </c>
    </row>
    <row r="105">
      <c r="A105" s="3" t="s">
        <v>502</v>
      </c>
      <c r="B105" s="107" t="str">
        <f>split(substitute(A105," - ","~!@^&amp;*#",1),"~!@^&amp;*#",false)"),"Mafia Detective</f>
        <v>#NAME?</v>
      </c>
      <c r="C105" s="32" t="str">
        <f>"COMPUTED_VALUE""),"A Mafia Detective Investigates one player each night to determine their role. This is a visiting role.</f>
        <v xml:space="preserve">A Mafia Detective Investigates one player each night to determine their role. This is a visiting role.</v>
      </c>
    </row>
    <row r="106">
      <c r="A106" s="106" t="s">
        <v>503</v>
      </c>
      <c r="B106" s="107" t="str">
        <f>split(substitute(A106," - ","~!@^&amp;*#",1),"~!@^&amp;*#",false)"),"Mafia Doctor</f>
        <v>#NAME?</v>
      </c>
      <c r="C106" s="32" t="str">
        <f>"COMPUTED_VALUE""),"A Mafia Doctor chooses one player at night to save. This is a visiting role.</f>
        <v xml:space="preserve">A Mafia Doctor chooses one player at night to save. This is a visiting role.</v>
      </c>
    </row>
    <row r="107">
      <c r="B107" s="76"/>
      <c r="C107" s="3" t="s">
        <v>504</v>
      </c>
    </row>
    <row r="108">
      <c r="A108" s="3" t="s">
        <v>505</v>
      </c>
      <c r="B108" s="107" t="str">
        <f>split(substitute(A108," - ","~!@^&amp;*#",1),"~!@^&amp;*#",false)"),"Mafia Fabricator</f>
        <v>#NAME?</v>
      </c>
      <c r="C108" s="32" t="str">
        <f>"COMPUTED_VALUE""),"A Mafia Fabricator can visit one player each night. That player will receive an item of the Fabricator's choice. A Fake vest will not protect. A Fake gun Fails on use. A fake Shield Fails on use. A limit of 3 of each Item may be given during a game. This "&amp;"is a visiting role.</f>
        <v xml:space="preserve">A Mafia Fabricator can visit one player each night. That player will receive an item of the Fabricator's choice. A Fake vest will not protect. A Fake gun Fails on use. A fake Shield Fails on use. A limit of 3 of each Item may be given during a game. This is a visiting role.</v>
      </c>
    </row>
    <row r="109">
      <c r="A109" s="3" t="s">
        <v>506</v>
      </c>
      <c r="B109" s="107" t="str">
        <f>split(substitute(A109," - ","~!@^&amp;*#",1),"~!@^&amp;*#",false)"),"Mafia Framer</f>
        <v>#NAME?</v>
      </c>
      <c r="C109" s="32" t="str">
        <f>"COMPUTED_VALUE""),"A Mafia Framer can make a target appear guilty to Cops and a gun owner to Gunsmiths for that night. This is a visiting role.</f>
        <v xml:space="preserve">A Mafia Framer can make a target appear guilty to Cops and a gun owner to Gunsmiths for that night. This is a visiting role.</v>
      </c>
    </row>
    <row r="110">
      <c r="A110" s="106" t="s">
        <v>507</v>
      </c>
      <c r="B110" s="107" t="str">
        <f>split(substitute(A110," - ","~!@^&amp;*#",1),"~!@^&amp;*#",false)"),"Mafia Godfather</f>
        <v>#NAME?</v>
      </c>
      <c r="C110" s="32" t="str">
        <f>"COMPUTED_VALUE""),"A Godfather is the head of the Mafia. The Godfather appears innocent to Cops. Detective investigations will fail. The Godfather does not carry a gun. This is a visiting role if they perform the factional kill.</f>
        <v xml:space="preserve">A Godfather is the head of the Mafia. The Godfather appears innocent to Cops. Detective investigations will fail. The Godfather does not carry a gun. This is a visiting role if they perform the factional kill.</v>
      </c>
    </row>
    <row r="111">
      <c r="B111" s="76"/>
      <c r="C111" s="3" t="s">
        <v>508</v>
      </c>
    </row>
    <row r="112">
      <c r="A112" s="3" t="s">
        <v>509</v>
      </c>
      <c r="B112" s="107" t="str">
        <f>split(substitute(A112," - ","~!@^&amp;*#",1),"~!@^&amp;*#",false)"),"Mafia Goon</f>
        <v>#NAME?</v>
      </c>
      <c r="C112" s="32" t="str">
        <f>"COMPUTED_VALUE""),"A Mafia Goon is nothing more than cannon fodder. This is not a visiting role, unless they perform the factional kill.</f>
        <v xml:space="preserve">A Mafia Goon is nothing more than cannon fodder. This is not a visiting role, unless they perform the factional kill.</v>
      </c>
    </row>
    <row r="113">
      <c r="A113" s="3" t="s">
        <v>510</v>
      </c>
      <c r="B113" s="107" t="str">
        <f>split(substitute(A113," - ","~!@^&amp;*#",1),"~!@^&amp;*#",false)"),"Mafia Gunman</f>
        <v>#NAME?</v>
      </c>
      <c r="C113" s="32" t="str">
        <f>"COMPUTED_VALUE""),"A Mafia Gunman can kill one player on odd nights, but only 3 times. Failure does not count against this limit. This is a visiting role.</f>
        <v xml:space="preserve">A Mafia Gunman can kill one player on odd nights, but only 3 times. Failure does not count against this limit. This is a visiting role.</v>
      </c>
    </row>
    <row r="114">
      <c r="A114" s="3" t="s">
        <v>511</v>
      </c>
      <c r="B114" s="107" t="str">
        <f>split(substitute(A114," - ","~!@^&amp;*#",1),"~!@^&amp;*#",false)"),"Mafia Gunsmith</f>
        <v>#NAME?</v>
      </c>
      <c r="C114" s="32" t="str">
        <f>"COMPUTED_VALUE""),"A Mafia Gunsmith investigates one player each night to determine if they have a gun. These common roles will carry guns: scum faction members, Detectives, Cops, Jacks of All Trades, FBI Agents, and Vigilantes (Note: this is a general guide. For informatio"&amp;"n on whether or not a specific, less common role carries a gun, check that role's description). Third party killers and Godfathers do not carry guns. This is a visiting role.</f>
        <v xml:space="preserve">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v>
      </c>
    </row>
    <row r="115">
      <c r="A115" s="3" t="s">
        <v>512</v>
      </c>
      <c r="B115" s="107" t="str">
        <f>split(substitute(A115," - ","~!@^&amp;*#",1),"~!@^&amp;*#",false)"),"Mafia Intimidator</f>
        <v>#NAME?</v>
      </c>
      <c r="C115" s="32" t="str">
        <f>"COMPUTED_VALUE""),"A Mafia Intimidator may choose a player to intimidate each night. Intimidated players’ actions fail and they are silenced for one day and cannot post in thread during that period. The Intimidator cannot target the same player two nights in a row. The Inti"&amp;"midator carries a gun. This is a visiting role.</f>
        <v xml:space="preserve">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v>
      </c>
    </row>
    <row r="116">
      <c r="A116" s="3" t="s">
        <v>513</v>
      </c>
      <c r="B116" s="107" t="str">
        <f>split(substitute(A116," - ","~!@^&amp;*#",1),"~!@^&amp;*#",false)"),"Mafia Jack of All Trades</f>
        <v>#NAME?</v>
      </c>
      <c r="C116" s="32" t="str">
        <f>"COMPUTED_VALUE""),"A Mafia Jack of All Trades (JoAT) has the ability to perform one of these actions each night: detective, sane cop, roleblock, watch, track, gunsmith, cloak and jail. The JoAT can only use each action once (but a failed attempt doesn't count against this l"&amp;"imit). This is a visiting role.</f>
        <v xml:space="preserve">A Mafia Jack of All Trades (JoAT) has the ability to perform one of these actions each night: detective, sane cop, roleblock, watch, track, gunsmith, cloak and jail. The JoAT can only use each action once (but a failed attempt doesn't count against this limit). This is a visiting role.</v>
      </c>
    </row>
    <row r="117">
      <c r="A117" s="3" t="s">
        <v>514</v>
      </c>
      <c r="B117" s="107" t="str">
        <f>split(substitute(A117," - ","~!@^&amp;*#",1),"~!@^&amp;*#",false)"),"Mafia Janitor</f>
        <v>#NAME?</v>
      </c>
      <c r="C117" s="32" t="str">
        <f>"COMPUTED_VALUE""),"A Mafia Janitor can choose a target at night. If that target dies that night, the role and alignment of that target is concealed from the rest of the players upon death, but the Janitor will learn the player's role and alignment. The Janitor can use its a"&amp;"bility 3 times. A failed attempt does not count against this limit. This is a visiting role.</f>
        <v xml:space="preserve">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v>
      </c>
    </row>
    <row r="118">
      <c r="A118" s="3" t="s">
        <v>515</v>
      </c>
      <c r="B118" s="107" t="str">
        <f>split(substitute(A118," - ","~!@^&amp;*#",1),"~!@^&amp;*#",false)"),"Mafia Lawyer</f>
        <v>#NAME?</v>
      </c>
      <c r="C118" s="32" t="str">
        <f>"COMPUTED_VALUE""),"A Mafia Lawyer visits one player each night. That player appears innocent to Cops, Detective investigations fail, and that player does not appear to carry a gun. The Lawyer cannot target themselves. This is a visiting role.</f>
        <v xml:space="preserve">A Mafia Lawyer visits one player each night. That player appears innocent to Cops, Detective investigations fail, and that player does not appear to carry a gun. The Lawyer cannot target themselves. This is a visiting role.</v>
      </c>
    </row>
    <row r="119">
      <c r="A119" s="3" t="s">
        <v>516</v>
      </c>
      <c r="B119" s="107" t="str">
        <f>split(substitute(A119," - ","~!@^&amp;*#",1),"~!@^&amp;*#",false)"),"Mafia Mailman</f>
        <v>#NAME?</v>
      </c>
      <c r="C119" s="32" t="str">
        <f>"COMPUTED_VALUE""),"A Mafia Mailman can send one anonymous message to another player of their choice at night. This is done by sending the host the target's name and the message. The host will then send the message on to the target. The recipient can send a message in reply."&amp;" The Mafia Mailman carries a gun. This is not a visiting role.</f>
        <v xml:space="preserve">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v>
      </c>
    </row>
    <row r="120">
      <c r="A120" s="3" t="s">
        <v>517</v>
      </c>
      <c r="B120" s="107" t="str">
        <f>split(substitute(A120," - ","~!@^&amp;*#",1),"~!@^&amp;*#",false)"),"Mafia Private Eye</f>
        <v>#NAME?</v>
      </c>
      <c r="C120" s="32" t="str">
        <f>"COMPUTED_VALUE""),"Each night, a Mafia Private Eye may track up to two players. The Private Eye learns who those players visit that night. This is a visiting role.</f>
        <v xml:space="preserve">Each night, a Mafia Private Eye may track up to two players. The Private Eye learns who those players visit that night. This is a visiting role.</v>
      </c>
    </row>
    <row r="121">
      <c r="A121" s="3" t="s">
        <v>518</v>
      </c>
      <c r="B121" s="107" t="str">
        <f>split(substitute(A121," - ","~!@^&amp;*#",1),"~!@^&amp;*#",false)"),"Mafia Roleblocker</f>
        <v>#NAME?</v>
      </c>
      <c r="C121" s="32" t="str">
        <f>"COMPUTED_VALUE""),"A Mafia Roleblocker chooses one player to block each night. The roleblocker cannot block the same player 3 nights in a row. This is a visiting role.</f>
        <v xml:space="preserve">A Mafia Roleblocker chooses one player to block each night. The roleblocker cannot block the same player 3 nights in a row. This is a visiting role.</v>
      </c>
    </row>
    <row r="122">
      <c r="A122" s="3" t="s">
        <v>519</v>
      </c>
      <c r="B122" s="107" t="str">
        <f>split(substitute(A122," - ","~!@^&amp;*#",1),"~!@^&amp;*#",false)"),"Mafia Safety Expert</f>
        <v>#NAME?</v>
      </c>
      <c r="C122" s="32" t="str">
        <f>"COMPUTED_VALUE""),"A Mafia Safety Expert may either gunsmith or roleblock a single target each night. The Safety Expert is one-shot Bulletproof. This is a visiting role.</f>
        <v xml:space="preserve">A Mafia Safety Expert may either gunsmith or roleblock a single target each night. The Safety Expert is one-shot Bulletproof. This is a visiting role.</v>
      </c>
    </row>
    <row r="123">
      <c r="A123" s="3" t="s">
        <v>520</v>
      </c>
      <c r="B123" s="107" t="str">
        <f>split(substitute(A123," - ","~!@^&amp;*#",1),"~!@^&amp;*#",false)"),"Mafia Seamstress</f>
        <v>#NAME?</v>
      </c>
      <c r="C123" s="32" t="str">
        <f>"COMPUTED_VALUE""),"Similarly to a Tailor, the Mafia Seamstress can give a gown to a player each night, regardless of alignment. If that target dies or is investigated, that player will appear as the role of the gown. The player who receives the gown will get a message infor"&amp;"ming them they have received a gown, but it will not tell them the role of the gown. The gown lasts the entire game and can be replaced by another gown. The Seamstress only affects the Detective’s results. This is a visiting role.</f>
        <v xml:space="preserve">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v>
      </c>
    </row>
    <row r="124">
      <c r="A124" s="3" t="s">
        <v>521</v>
      </c>
      <c r="B124" s="107" t="str">
        <f>split(substitute(A124," - ","~!@^&amp;*#",1),"~!@^&amp;*#",false)"),"Mafia Tailor</f>
        <v>#NAME?</v>
      </c>
      <c r="C124" s="32" t="str">
        <f>"COMPUTED_VALUE""),"The Mafia Tailor can give a suit to a player each night, regardless of alignment. If that target dies or is investigated, that player will appear as the role of the suit. The player who receives the suit will get a message the next day informing them that"&amp;" they have received a suit, but it will not tell them the role of the suit. The suit lasts the entire game, and can be replaced by another suit. The Tailor only influences the Detective’s, Cop’s, and Gunsmith's results. This is a visiting role.</f>
        <v xml:space="preserve">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v>
      </c>
    </row>
    <row r="125">
      <c r="A125" s="3" t="s">
        <v>522</v>
      </c>
      <c r="B125" s="107" t="str">
        <f>split(substitute(A125," - ","~!@^&amp;*#",1),"~!@^&amp;*#",false)"),"Mafia Mole</f>
        <v>#NAME?</v>
      </c>
      <c r="C125" s="32" t="str">
        <f>"COMPUTED_VALUE""),"A Mafia Mole learns the identity of each Cop/Detective that investigates another Mafia member, but only receives this information two nights after the investigation (For Example, Learning of a Night 0 investigations on Night 2). The Mole does not know if "&amp;"they are investigated. This is not a visiting role.</f>
        <v xml:space="preserve">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v>
      </c>
    </row>
    <row r="126">
      <c r="A126" s="3" t="s">
        <v>523</v>
      </c>
      <c r="B126" s="107" t="str">
        <f>split(substitute(A126," - ","~!@^&amp;*#",1),"~!@^&amp;*#",false)"),"Mafia Thief</f>
        <v>#NAME?</v>
      </c>
      <c r="C126" s="32" t="str">
        <f>"COMPUTED_VALUE""),"A Mafia Thief targets one player each night to steal an item from. The Thief is told what they stole, and the item will be related to that player's role. This is a visiting role.</f>
        <v xml:space="preserve">A Mafia Thief targets one player each night to steal an item from. The Thief is told what they stole, and the item will be related to that player's role. This is a visiting role.</v>
      </c>
    </row>
    <row r="127">
      <c r="A127" s="3" t="s">
        <v>524</v>
      </c>
      <c r="B127" s="107" t="str">
        <f>split(substitute(A127," - ","~!@^&amp;*#",1),"~!@^&amp;*#",false)"),"Mafia Torturer</f>
        <v>#NAME?</v>
      </c>
      <c r="C127" s="32" t="str">
        <f>"COMPUTED_VALUE""),"A Mafia Torturer learns the night actions and results of everyone they kill.</f>
        <v xml:space="preserve">A Mafia Torturer learns the night actions and results of everyone they kill.</v>
      </c>
    </row>
    <row r="128">
      <c r="A128" s="3" t="s">
        <v>525</v>
      </c>
      <c r="B128" s="107" t="str">
        <f>split(substitute(A128," - ","~!@^&amp;*#",1),"~!@^&amp;*#",false)"),"Mafia Tough Guy</f>
        <v>#NAME?</v>
      </c>
      <c r="C128" s="32" t="str">
        <f>"COMPUTED_VALUE""),"Direct kills on a Mafia Tough Guy will fail. The Tough Guy can be lynched normally.</f>
        <v xml:space="preserve">Direct kills on a Mafia Tough Guy will fail. The Tough Guy can be lynched normally.</v>
      </c>
    </row>
    <row r="129">
      <c r="A129" s="3" t="s">
        <v>526</v>
      </c>
      <c r="B129" s="107" t="str">
        <f>split(substitute(A129," - ","~!@^&amp;*#",1),"~!@^&amp;*#",false)"),"Mafia Traitor</f>
        <v>#NAME?</v>
      </c>
      <c r="C129" s="32" t="str">
        <f>"COMPUTED_VALUE""),"A Mafia Traitor is aligned with the Mafia but is not part of the team chat. The Mafia team will know if a Traitor exists in the game, and if they target the Traitor with their factional Kill, the Traitor will join the team chat instead of dying. The Trait"&amp;"or knows who is on the Mafia team, but the rest of the team does not know who the Traitor is. The Traitor will show as guilty to Cops, but does not carry a gun until he is brought into chat communication with the rest of his team. If this role is combined"&amp;" with another role, the other role will be what is revealed to Detectives. If all the other Mafia team members die, the unrecruited Traitor can inherit the factional Kill.</f>
        <v xml:space="preserve">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v>
      </c>
    </row>
    <row r="130">
      <c r="A130" s="3" t="s">
        <v>527</v>
      </c>
      <c r="B130" s="107" t="str">
        <f>split(substitute(A130," - ","~!@^&amp;*#",1),"~!@^&amp;*#",false)"),"Mafia Watchful Detective</f>
        <v>#NAME?</v>
      </c>
      <c r="C130" s="32" t="str">
        <f>"COMPUTED_VALUE""),"Each night, a Mafia Watchful Detective may either Detective or Watch a target. The Watchful Detective carries a gun. This is a visiting role.</f>
        <v xml:space="preserve">Each night, a Mafia Watchful Detective may either Detective or Watch a target. The Watchful Detective carries a gun. This is a visiting role.</v>
      </c>
    </row>
    <row r="131">
      <c r="C131" s="32"/>
    </row>
    <row r="132">
      <c r="A132" s="3" t="s">
        <v>528</v>
      </c>
      <c r="B132" s="108" t="str">
        <f>split(substitute(A132," - ","~!@^&amp;*#",1),"~!@^&amp;*#",false)"),"Alien</f>
        <v>#NAME?</v>
      </c>
      <c r="C132" s="32" t="str">
        <f>"COMPUTED_VALUE""),"An Alien visits one human each night to probe them. The human's night action will fail, and they will be notified of an eerie but still hazy memory of what happened to them the following night (i. e. if they are probed N1, they will be notified N2). The A"&amp;"lien wins if all living humans have been probed and the Alien is also still alive. If there is more than one Alien, they will be given a chat room to plot their world domination. The Alien is permanently cloaked, which means they are invisible to watch/tr"&amp;"ack/follow/voyeur and are unblockable.</f>
        <v xml:space="preserve">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v>
      </c>
    </row>
    <row r="133">
      <c r="A133" s="3" t="s">
        <v>529</v>
      </c>
      <c r="B133" s="108" t="str">
        <f>split(substitute(A133," - ","~!@^&amp;*#",1),"~!@^&amp;*#",false)"),"Amnesiac</f>
        <v>#NAME?</v>
      </c>
      <c r="C133" s="32" t="str">
        <f>"COMPUTED_VALUE""),"An Amnesiac can take over the role of any dead player on any team. The Amnesiac can only use this action once. However, they CAN take over the role of a dead scum Amnesiac or a dead Town Amnesiac and have that role’s power to take on another role again. I"&amp;"f the third party Amnesiac becomes a scum team member, they CANNOT switch teams (i.e. to the other killing party or to town). This is not a visiting role.</f>
        <v xml:space="preserve">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v>
      </c>
    </row>
    <row r="134">
      <c r="A134" s="3" t="s">
        <v>530</v>
      </c>
      <c r="B134" s="108" t="str">
        <f>split(substitute(A134," - ","~!@^&amp;*#",1),"~!@^&amp;*#",false)"),"Anarchist</f>
        <v>#NAME?</v>
      </c>
      <c r="C134" s="32" t="str">
        <f>"COMPUTED_VALUE""),"An Anarchist has the ability to perform one of these actions each night: detective and kill. The Anarchist wins if it kills the Governor and the Godfather. A vote to lynch players with those roles also counts for this win condition (if the lynching is suc"&amp;"cessful). The Anarchist does not carry a gun. This is a visiting role.</f>
        <v xml:space="preserve">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v>
      </c>
    </row>
    <row r="135">
      <c r="A135" s="106" t="s">
        <v>531</v>
      </c>
      <c r="B135" s="108" t="str">
        <f>split(substitute(A135," - ","~!@^&amp;*#",1),"~!@^&amp;*#",false)"),"Barman</f>
        <v>#NAME?</v>
      </c>
      <c r="C135" s="32" t="str">
        <f>"COMPUTED_VALUE""),"A Barman may choose one player each night to serve drinks to. The player’s night action will fail and they will have to use a Drunk Translator to translate any post they make during the following day. The Barman cannot target the same player three nights "&amp;"in a row. If the Barman is targeted for a kill, they will join their killer’s Team instead and will be able to communicate with the Team/killer through a provided chat room. After they are recruited, they will keep their abilities and can be killed normal"&amp;"ly. If recruited by a scum team, will appear guilty to sane Cops and will have a gun from that point on. This is a visiting role.</f>
        <v xml:space="preserve">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v>
      </c>
    </row>
    <row r="136">
      <c r="B136" s="109"/>
      <c r="C136" s="3" t="s">
        <v>532</v>
      </c>
    </row>
    <row r="137">
      <c r="A137" s="3" t="s">
        <v>533</v>
      </c>
      <c r="B137" s="108" t="str">
        <f>split(substitute(A137," - ","~!@^&amp;*#",1),"~!@^&amp;*#",false)"),"Bloody Mary</f>
        <v>#NAME?</v>
      </c>
      <c r="C137" s="32" t="str">
        <f>"COMPUTED_VALUE""),"A Bloody Mary has no night actions until she is summoned during the day in the game thread. When a player mentions Bloody Mary’s player’s name three or more times in the thread, she will visit that player the next night and that player will die. If more t"&amp;"han one player summons her, she will appear to all of them. The only way to prevent the killings is by roleblocking Bloody Mary - no type of protection works against her, including jailing, snuggling by a Cat, or being locked in by an Engineer. Voting for"&amp;" Bloody Mary or quoting her or other players’ quotes naming her do not count as part of the summoning, but misspellings of her name do count. Detective investigations on Bloody Mary fail. This is not a visiting role.</f>
        <v xml:space="preserve">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v>
      </c>
    </row>
    <row r="138">
      <c r="A138" s="106" t="s">
        <v>534</v>
      </c>
      <c r="B138" s="108" t="str">
        <f>split(substitute(A138," - ","~!@^&amp;*#",1),"~!@^&amp;*#",false)"),"Bomber</f>
        <v>#NAME?</v>
      </c>
      <c r="C138" s="32" t="str">
        <f>"COMPUTED_VALUE""),"Each night, a Bomber can choose to plant a bomb on a player or detonate. Detonating kills all players who have had bombs planted on them, unless they are doctored. The Bomber wins when all other players have been reduced to chunky salsa. The Bomber choose"&amp;"s one of the following variants on Night 0: Tough (Takes 2 night kill attempts to die.) or[/u] Unsuspecting. (Detective investigations fail). The Bomber does not carry a gun. This is a visiting role.</f>
        <v xml:space="preserve">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v>
      </c>
    </row>
    <row r="139">
      <c r="B139" s="109"/>
      <c r="C139" s="3" t="s">
        <v>535</v>
      </c>
    </row>
    <row r="140">
      <c r="B140" s="109"/>
      <c r="C140" s="3" t="s">
        <v>536</v>
      </c>
    </row>
    <row r="141">
      <c r="A141" s="3" t="s">
        <v>537</v>
      </c>
      <c r="B141" s="108" t="str">
        <f>split(substitute(A141," - ","~!@^&amp;*#",1),"~!@^&amp;*#",false)"),"Cat</f>
        <v>#NAME?</v>
      </c>
      <c r="C141" s="32" t="str">
        <f>"COMPUTED_VALUE""),"A Cat snuggles with one player each night. That player's night action fails, and every action directed at that player will each be randomly redirected to someone else. Players that had their action redirected will be notified about it, but won’t know thei"&amp;"r new target. If a scum team successfully "kills" the Cat, it will instead become the scum team’s Cat and is able to join that team's chat room. If a Townie/3rd party killer successfully "kills" the Cat, it instead becomes the Townie's/killer's pet an"&amp;"d is able to talk with the Townie/killer who targeted them (through a provided chat room). Once recruited, the Cat will keep its abilities and, if recruited by a scum faction, will appear guilty to sane cops and will carry a gun from that point on. The Ca"&amp;"t cannot snuggle with the same player 3 nights in a row. This is a visiting role.</f>
        <v xml:space="preserve">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v>
      </c>
    </row>
    <row r="142">
      <c r="A142" s="3" t="s">
        <v>538</v>
      </c>
      <c r="B142" s="108" t="str">
        <f>split(substitute(A142," - ","~!@^&amp;*#",1),"~!@^&amp;*#",false)"),"Courier</f>
        <v>#NAME?</v>
      </c>
      <c r="C142" s="32" t="str">
        <f>"COMPUTED_VALUE""),"Each night, a Courier may send up to 3 anonymous messages to other players, which can be replied to. After 5 players have died, or on night 3, the Courier must choose to commit to either the Town or the Mafia, and wins when its chosen faction does. The Co"&amp;"urier does not gain access to the Mafia chat if it commits to their faction. The Courier will keep its abilities after committing to one faction. This is not a visiting role.</f>
        <v xml:space="preserve">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v>
      </c>
    </row>
    <row r="143">
      <c r="A143" s="3" t="s">
        <v>539</v>
      </c>
      <c r="B143" s="108" t="str">
        <f>split(substitute(A143," - ","~!@^&amp;*#",1),"~!@^&amp;*#",false)"),"Cult Amnesiac</f>
        <v>#NAME?</v>
      </c>
      <c r="C143" s="32" t="str">
        <f>"COMPUTED_VALUE""),"The Cult Amnesiac is the first player recruited to join the Cult. A Cult Amnesiac can become the Cult Leader if the Cult Leader dies.</f>
        <v xml:space="preserve">The Cult Amnesiac is the first player recruited to join the Cult. A Cult Amnesiac can become the Cult Leader if the Cult Leader dies.</v>
      </c>
    </row>
    <row r="144">
      <c r="A144" s="3" t="s">
        <v>540</v>
      </c>
      <c r="B144" s="108" t="str">
        <f>split(substitute(A144," - ","~!@^&amp;*#",1),"~!@^&amp;*#",false)"),"Cult Leader</f>
        <v>#NAME?</v>
      </c>
      <c r="C144" s="32" t="str">
        <f>"COMPUTED_VALUE""),"Each night, a Cult Leader selects one player to recruit to join the Cult. Attempting to recruit a member of a scum faction or other faction that offer communication kills the Cult Leader, so it must recruit carefully! The Cult Leader wins when the majorit"&amp;"y of living players are part of the Cult.</f>
        <v xml:space="preserve">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v>
      </c>
    </row>
    <row r="145">
      <c r="A145" s="3" t="s">
        <v>541</v>
      </c>
      <c r="B145" s="108" t="str">
        <f>split(substitute(A145," - ","~!@^&amp;*#",1),"~!@^&amp;*#",false)"),"Cult Member</f>
        <v>#NAME?</v>
      </c>
      <c r="C145" s="32" t="str">
        <f>"COMPUTED_VALUE""),"A Cult Member is any player recruited to the Cult after the Cult Amnesiac has already been recruited. Cult Members have no night actions.</f>
        <v xml:space="preserve">A Cult Member is any player recruited to the Cult after the Cult Amnesiac has already been recruited. Cult Members have no night actions.</v>
      </c>
    </row>
    <row r="146">
      <c r="A146" s="3" t="s">
        <v>542</v>
      </c>
      <c r="B146" s="108" t="str">
        <f>split(substitute(A146," - ","~!@^&amp;*#",1),"~!@^&amp;*#",false)"),"Fallen Angel</f>
        <v>#NAME?</v>
      </c>
      <c r="C146" s="32" t="str">
        <f>"COMPUTED_VALUE""),"A Fallen Angel has the ability to perform one of these actions each night: recruit OR kill OR investigate and roleblock (a single target). The Fallen Anger does not carry a gun and appears innocent to cops. Detective investigations will fail. Attempting t"&amp;"o recruit a scum team member kills the Fallen Angel. The Fallen Anger wins when the majority of living players are part of the Satanic Cult or if it is the last player alive.</f>
        <v xml:space="preserve">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v>
      </c>
    </row>
    <row r="147">
      <c r="A147" s="3" t="s">
        <v>543</v>
      </c>
      <c r="B147" s="108" t="str">
        <f>split(substitute(A147," - ","~!@^&amp;*#",1),"~!@^&amp;*#",false)"),"Insane Amnesiac</f>
        <v>#NAME?</v>
      </c>
      <c r="C147" s="32" t="str">
        <f>"COMPUTED_VALUE""),"The Insane Amnesiac takes over anyone's role... on the same night that it murders them! After that, it can revert back to Insane Amnesiac 3 times, a process which takes one night. If the Insane Amnesiac takes over a role that is part of a scum faction, it"&amp;" does not join that team’s chat room and it does not receive the name of faction members, just the faction’s name. This is a visiting role.</f>
        <v xml:space="preserve">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v>
      </c>
    </row>
    <row r="148">
      <c r="A148" s="3" t="s">
        <v>544</v>
      </c>
      <c r="B148" s="108" t="str">
        <f>split(substitute(A148," - ","~!@^&amp;*#",1),"~!@^&amp;*#",false)"),"Lover</f>
        <v>#NAME?</v>
      </c>
      <c r="C148" s="32" t="str">
        <f>"COMPUTED_VALUE""),"A Lover visits one player on either N0 or N1 (if by N2 you haven't picked your target yet, the host will randomly assign one for you). The target falls madly in love with this player and they will get a bedroom chat room to talk to each other. If one dies"&amp;", so does the other. They are not allowed to reveal they are lovers to anyone else or to reveal teammates to each other (if applicable). The Lover wins if both it and its target are alive when the game ends.</f>
        <v xml:space="preserve">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v>
      </c>
    </row>
    <row r="149">
      <c r="A149" s="3" t="s">
        <v>545</v>
      </c>
      <c r="B149" s="108" t="str">
        <f>split(substitute(A149," - ","~!@^&amp;*#",1),"~!@^&amp;*#",false)"),"Piper</f>
        <v>#NAME?</v>
      </c>
      <c r="C149" s="32" t="str">
        <f>"COMPUTED_VALUE""),"A Piper targets one player each night to charm. Charmed players will know the names of all other charmed players, but not who the Piper is. The Piper wins when all other living players are charmed. This is a visiting role.</f>
        <v xml:space="preserve">A Piper targets one player each night to charm. Charmed players will know the names of all other charmed players, but not who the Piper is. The Piper wins when all other living players are charmed. This is a visiting role.</v>
      </c>
    </row>
    <row r="150">
      <c r="A150" s="3" t="s">
        <v>546</v>
      </c>
      <c r="B150" s="108" t="str">
        <f>split(substitute(A150," - ","~!@^&amp;*#",1),"~!@^&amp;*#",false)"),"Pyscho</f>
        <v>#NAME?</v>
      </c>
      <c r="C150" s="32" t="str">
        <f>"COMPUTED_VALUE""),"A Psycho will be told they are a town visiting role. The Psycho may soon start to notice, however, that everyone it visits winds up dead. A Psycho will get fake results, made up by the host. When investigated, the Psycho will deliver the results of the to"&amp;"wn role it has been told it is. If visited by a Town Shrink, the Psycho will be cured and join Town as the role it was originally told it was. If there are no Shrinks, it just goes on killing until everyone dies. It does not carry a gun. This is a visitin"&amp;"g role.</f>
        <v xml:space="preserve">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v>
      </c>
    </row>
    <row r="151">
      <c r="A151" s="3" t="s">
        <v>547</v>
      </c>
      <c r="B151" s="108" t="str">
        <f>split(substitute(A151," - ","~!@^&amp;*#",1),"~!@^&amp;*#",false)"),"Rambo</f>
        <v>#NAME?</v>
      </c>
      <c r="C151" s="32" t="str">
        <f>"COMPUTED_VALUE""),"Rambo gets one kill each night. Rambo also can track OR watch one player each night. Rambo is one-shot bulletproof and appears innocent to Cops. At the start of the game (N0), Rambo chooses an "identity," which is what is revealed to Detectives. Rambo d"&amp;"oes not carry a gun. This is a visiting role.</f>
        <v xml:space="preserve">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v>
      </c>
    </row>
    <row r="152">
      <c r="A152" s="3" t="s">
        <v>548</v>
      </c>
      <c r="B152" s="108" t="str">
        <f>split(substitute(A152," - ","~!@^&amp;*#",1),"~!@^&amp;*#",false)"),"Satanic Cult Amnesiac</f>
        <v>#NAME?</v>
      </c>
      <c r="C152" s="32" t="str">
        <f>"COMPUTED_VALUE""),"A Satanic Cult Amnesiac is the first player recruited by the Fallen Angel. The Satanic Cult Amnesiac can become the Fallen Angel if the Fallen Angel dies.</f>
        <v xml:space="preserve">A Satanic Cult Amnesiac is the first player recruited by the Fallen Angel. The Satanic Cult Amnesiac can become the Fallen Angel if the Fallen Angel dies.</v>
      </c>
    </row>
    <row r="153">
      <c r="A153" s="3" t="s">
        <v>549</v>
      </c>
      <c r="B153" s="108" t="str">
        <f>split(substitute(A153," - ","~!@^&amp;*#",1),"~!@^&amp;*#",false)"),"Satanic Cult Member</f>
        <v>#NAME?</v>
      </c>
      <c r="C153" s="32" t="str">
        <f>"COMPUTED_VALUE""),"A Satanic Cult Member is any player recruited by the Fallen Angel after the Satanic Cult Amnesiac has already been recruited. Satanic Cult Members have no night actions.</f>
        <v xml:space="preserve">A Satanic Cult Member is any player recruited by the Fallen Angel after the Satanic Cult Amnesiac has already been recruited. Satanic Cult Members have no night actions.</v>
      </c>
    </row>
    <row r="154">
      <c r="A154" s="3" t="s">
        <v>550</v>
      </c>
      <c r="B154" s="108" t="str">
        <f>split(substitute(A154," - ","~!@^&amp;*#",1),"~!@^&amp;*#",false)"),"Serial Killer</f>
        <v>#NAME?</v>
      </c>
      <c r="C154" s="32" t="str">
        <f>"COMPUTED_VALUE""),"A Serial Killer can kill one player each night. The Serial Killer is one-shot Bulletproof. This is a visiting role.</f>
        <v xml:space="preserve">A Serial Killer can kill one player each night. The Serial Killer is one-shot Bulletproof. This is a visiting role.</v>
      </c>
    </row>
    <row r="155">
      <c r="A155" s="3" t="s">
        <v>551</v>
      </c>
      <c r="B155" s="108" t="str">
        <f>split(substitute(A155," - ","~!@^&amp;*#",1),"~!@^&amp;*#",false)"),"Sidekick</f>
        <v>#NAME?</v>
      </c>
      <c r="C155" s="32" t="str">
        <f>"COMPUTED_VALUE""),"If targeted for a night kill, a Sidekick does not die. Instead, the Sidekick joins the team of the player who tried to kill them and can speak with them in a chat room. After recruitment, the Sidekick can be killed like anyone else. If recruited by anothe"&amp;"r 3rd party, the Sidekick gains Detective abilities.</f>
        <v xml:space="preserve">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v>
      </c>
    </row>
    <row r="156">
      <c r="A156" s="3" t="s">
        <v>552</v>
      </c>
      <c r="B156" s="108" t="str">
        <f>split(substitute(A156," - ","~!@^&amp;*#",1),"~!@^&amp;*#",false)"),"Slut</f>
        <v>#NAME?</v>
      </c>
      <c r="C156" s="32" t="str">
        <f>"COMPUTED_VALUE""),"A Slut targets one player each night. The target is roleblocked and infected with an STD. This STD is highly contagious and anyone they visit over the next 2 nights will be infected as well. The target will know they are sick the night after the infection"&amp;", when they will be notified of a weird itching in their private area. If not cured, the target dies during the 3rd night after the infection. A regular doctor can cure the infected player. The Slut wins when all players are infected or when it is the las"&amp;"t player alive. The Slut appears innocent to Cops. Detective investigations fail. This is a visiting role.</f>
        <v xml:space="preserve">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v>
      </c>
    </row>
    <row r="157">
      <c r="A157" s="3" t="s">
        <v>553</v>
      </c>
      <c r="B157" s="108" t="str">
        <f>split(substitute(A157," - ","~!@^&amp;*#",1),"~!@^&amp;*#",false)"),"Sneaky Pete</f>
        <v>#NAME?</v>
      </c>
      <c r="C157" s="32" t="str">
        <f>"COMPUTED_VALUE""),"A Sneaky Pete chooses one player to kill each night. The Sneaky Pete cannot be tracked, watched or blocked. Sneaky Pete does not carry a gun.</f>
        <v xml:space="preserve">A Sneaky Pete chooses one player to kill each night. The Sneaky Pete cannot be tracked, watched or blocked. Sneaky Pete does not carry a gun.</v>
      </c>
    </row>
    <row r="158">
      <c r="A158" s="3" t="s">
        <v>554</v>
      </c>
      <c r="B158" s="108" t="str">
        <f>split(substitute(A158," - ","~!@^&amp;*#",1),"~!@^&amp;*#",false)"),"Spree Killer</f>
        <v>#NAME?</v>
      </c>
      <c r="C158" s="32" t="str">
        <f>"COMPUTED_VALUE""),"Instead of killing right away, a Spree Killer targets a player each night to go onto its kill list. When there are names of 3 living players on this list, it goes on a killing spree and kills them all in one night. The last name is added the same night of"&amp;" the killings. (Ex: N0: Add Player X; N1: Add Player Y; N2: Add Player Z and kill all players on the list - X, Y, Z). On the night of the kills, the Spree Killer appears guilty to Cops and as Spree Killer to detectives. On the other nights, the Spree Kill"&amp;"er appears innocent to Cops and Detectives will see a town role that has been randomly assigned by the host. This is a visiting role when performing the kill and can be blocked normally.</f>
        <v xml:space="preserve">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v>
      </c>
    </row>
    <row r="159">
      <c r="A159" s="3" t="s">
        <v>555</v>
      </c>
      <c r="B159" s="108" t="str">
        <f>split(substitute(A159," - ","~!@^&amp;*#",1),"~!@^&amp;*#",false)"),"The Imposter</f>
        <v>#NAME?</v>
      </c>
      <c r="C159" s="32" t="str">
        <f>"COMPUTED_VALUE""),"The Imposter targets one player a night to "steal" the ability from for the following night. It will only steal abilities that are being actively used that night and factional abilities such as the Mafia kill cannot be stolen. On the next night, The Imp"&amp;"oster can then use that ability while the previous night’s target will not be able to. The night after that, the target gets their ability back and The Imposter picks another player. They cannot target the same player twice (unless everyone alive has been"&amp;" picked already). The Imposter wins if they are alive at the end of the game AND Town loses</f>
        <v xml:space="preserve">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v>
      </c>
    </row>
    <row r="160">
      <c r="A160" s="3" t="s">
        <v>556</v>
      </c>
      <c r="B160" s="108" t="str">
        <f>split(substitute(A160," - ","~!@^&amp;*#",1),"~!@^&amp;*#",false)"),"Unabomber</f>
        <v>#NAME?</v>
      </c>
      <c r="C160" s="32" t="str">
        <f>"COMPUTED_VALUE""),"A Unabomber will appear innocent to Cops, and show as Mailman to Detectives. The Unabomber sends mail just like a Mailman (and those mails can be replied to), and can choose to detonate the mail while alive on any night. Any player that has received mail "&amp;"from the Unabomber will be killed unless protected/jailed/etc. A new mail can be sent out on the same night as the detonation, but that detonation will not kill the player who is sent mail on that night. The Unabomber will appear as a Mailman if lynched, "&amp;"but as Unabomber if it is killed at night. If the Unabomber is killed before detonating, no mail detonates. This is not a visiting role.</f>
        <v xml:space="preserve">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v>
      </c>
    </row>
    <row r="161">
      <c r="A161" s="3" t="s">
        <v>557</v>
      </c>
      <c r="B161" s="108" t="str">
        <f>split(substitute(A161," - ","~!@^&amp;*#",1),"~!@^&amp;*#",false)"),"Werewolf</f>
        <v>#NAME?</v>
      </c>
      <c r="C161" s="32" t="str">
        <f>"COMPUTED_VALUE""),"A Werewolf can choose to go on a rampage at a player’s house on odd nights. The Werewolf will kill the player and everyone that visits the player during that night (non-visiting roles will not be affected). The Werewolf can also choose to stay home on odd"&amp;" nights and, similarly, will kill anyone that visits it that night. The Werewolf cannot be blocked when going on a rampage, but its kill can be prevented normally by protective actions. Detective investigations fail on a Werewolf. This is a visiting role.</f>
        <v xml:space="preserve">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v>
      </c>
    </row>
    <row r="162">
      <c r="A162" s="3" t="s">
        <v>558</v>
      </c>
      <c r="B162" s="108" t="str">
        <f>split(substitute(A162," - ","~!@^&amp;*#",1),"~!@^&amp;*#",false)"),"Witch</f>
        <v>#NAME?</v>
      </c>
      <c r="C162" s="32" t="str">
        <f>"COMPUTED_VALUE""),"A Witch targets one player each night to control, forcefully redirecting their action to a target of their choice. The action of the target becomes compulsory, i.e. they will perform an action even if they originally chose not to (and in that case, if the"&amp;"y have more than one action available, the action used will be randomly selected). The Witch can only control active abilities. The target will know that they were controlled by a Witch, but they will not learn who they targeted. The Witch wins if they ar"&amp;"e alive at the end of the game AND Town loses. The witch appears innocent to Cops. Detective investigations fail. This is NOT a visiting role.</f>
        <v xml:space="preserve">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v>
      </c>
    </row>
    <row r="163">
      <c r="C163" s="32"/>
    </row>
    <row r="164">
      <c r="A164" s="3" t="s">
        <v>559</v>
      </c>
      <c r="B164" s="110" t="str">
        <f>split(substitute(A164," - ","~!@^&amp;*#",1),"~!@^&amp;*#",false)"),"Bleeding</f>
        <v>#NAME?</v>
      </c>
      <c r="C164" s="32" t="str">
        <f>"COMPUTED_VALUE""),"If shot, a Bleeding player will not die instantly but at the beginning of the next night. The player will know he was shot but not by whom.</f>
        <v xml:space="preserve">If shot, a Bleeding player will not die instantly but at the beginning of the next night. The player will know he was shot but not by whom.</v>
      </c>
    </row>
    <row r="165">
      <c r="A165" s="3" t="s">
        <v>560</v>
      </c>
      <c r="B165" s="110" t="str">
        <f>split(substitute(A165," - ","~!@^&amp;*#",1),"~!@^&amp;*#",false)"),"Boastful</f>
        <v>#NAME?</v>
      </c>
      <c r="C165" s="32" t="str">
        <f>"COMPUTED_VALUE""),"A Boastful player can either use his role OR announce something anonymously in the thread every night.</f>
        <v xml:space="preserve">A Boastful player can either use his role OR announce something anonymously in the thread every night.</v>
      </c>
    </row>
    <row r="166">
      <c r="A166" s="3" t="s">
        <v>561</v>
      </c>
      <c r="B166" s="110" t="str">
        <f>split(substitute(A166," - ","~!@^&amp;*#",1),"~!@^&amp;*#",false)"),"Breakthrough</f>
        <v>#NAME?</v>
      </c>
      <c r="C166" s="32" t="str">
        <f>"COMPUTED_VALUE""),"A player with the Breakthrough modifier cannot be roleblocked.</f>
        <v xml:space="preserve">A player with the Breakthrough modifier cannot be roleblocked.</v>
      </c>
    </row>
    <row r="167">
      <c r="A167" s="3" t="s">
        <v>562</v>
      </c>
      <c r="B167" s="110" t="str">
        <f>split(substitute(A167," - ","~!@^&amp;*#",1),"~!@^&amp;*#",false)"),"Bulletproof</f>
        <v>#NAME?</v>
      </c>
      <c r="C167" s="32" t="str">
        <f>"COMPUTED_VALUE""),"A Bulletproof player starts off with one bulletproof vest, which allows that player to survive one shot or one stab. The vest does not protect against bombs.</f>
        <v xml:space="preserve">A Bulletproof player starts off with one bulletproof vest, which allows that player to survive one shot or one stab. The vest does not protect against bombs.</v>
      </c>
    </row>
    <row r="168">
      <c r="A168" s="3" t="s">
        <v>563</v>
      </c>
      <c r="B168" s="110" t="str">
        <f>split(substitute(A168," - ","~!@^&amp;*#",1),"~!@^&amp;*#",false)"),"Compulsive</f>
        <v>#NAME?</v>
      </c>
      <c r="C168" s="32" t="str">
        <f>"COMPUTED_VALUE""),"A Compulsive player must use its action every night. If the player fails to submit an action, the host will randomly choose an action/target for that night.</f>
        <v xml:space="preserve">A Compulsive player must use its action every night. If the player fails to submit an action, the host will randomly choose an action/target for that night.</v>
      </c>
    </row>
    <row r="169">
      <c r="A169" s="3" t="s">
        <v>564</v>
      </c>
      <c r="B169" s="110" t="str">
        <f>split(substitute(A169," - ","~!@^&amp;*#",1),"~!@^&amp;*#",false)"),"Consulting</f>
        <v>#NAME?</v>
      </c>
      <c r="C169" s="32" t="str">
        <f>"COMPUTED_VALUE""),"A Consulting player can either use his role OR a mailman's action every night.</f>
        <v xml:space="preserve">A Consulting player can either use his role OR a mailman's action every night.</v>
      </c>
    </row>
    <row r="170">
      <c r="A170" s="3" t="s">
        <v>565</v>
      </c>
      <c r="B170" s="110" t="str">
        <f>split(substitute(A170," - ","~!@^&amp;*#",1),"~!@^&amp;*#",false)"),"Incognito</f>
        <v>#NAME?</v>
      </c>
      <c r="C170" s="32" t="str">
        <f>"COMPUTED_VALUE""),"An Incognito player cannot be watched or tracked. Detective investigations fail.</f>
        <v xml:space="preserve">An Incognito player cannot be watched or tracked. Detective investigations fail.</v>
      </c>
    </row>
    <row r="171">
      <c r="A171" s="3" t="s">
        <v>566</v>
      </c>
      <c r="B171" s="110" t="str">
        <f>split(substitute(A171," - ","~!@^&amp;*#",1),"~!@^&amp;*#",false)"),"Lethal</f>
        <v>#NAME?</v>
      </c>
      <c r="C171" s="32" t="str">
        <f>"COMPUTED_VALUE""),"When performing a kill, nothing can stop a Lethal player, including doctors, vests, bodyguards or any other protective role.</f>
        <v xml:space="preserve">When performing a kill, nothing can stop a Lethal player, including doctors, vests, bodyguards or any other protective role.</v>
      </c>
    </row>
    <row r="172">
      <c r="A172" s="3" t="s">
        <v>567</v>
      </c>
      <c r="B172" s="110" t="str">
        <f>split(substitute(A172," - ","~!@^&amp;*#",1),"~!@^&amp;*#",false)"),"Tough</f>
        <v>#NAME?</v>
      </c>
      <c r="C172" s="32" t="str">
        <f>"COMPUTED_VALUE""),"A Tough player cannot be killed at night. (Not to be confused with the Mafia Tough Guy role.)</f>
        <v xml:space="preserve">A Tough player cannot be killed at night. (Not to be confused with the Mafia Tough Guy role.)</v>
      </c>
    </row>
    <row r="173">
      <c r="A173" s="3" t="s">
        <v>568</v>
      </c>
      <c r="B173" s="110" t="str">
        <f>split(substitute(A173," - ","~!@^&amp;*#",1),"~!@^&amp;*#",false)"),"Ward</f>
        <v>#NAME?</v>
      </c>
      <c r="C173" s="32" t="str">
        <f>"COMPUTED_VALUE""),"A player with a Ward has a one-time use shield that will reflect a kill attempt to another randomly chosen target. It does not protect against bombs.</f>
        <v xml:space="preserve">A player with a Ward has a one-time use shield that will reflect a kill attempt to another randomly chosen target. It does not protect against bombs.</v>
      </c>
    </row>
    <row r="174">
      <c r="C174" s="32"/>
    </row>
    <row r="175">
      <c r="C175" s="32"/>
    </row>
    <row r="176">
      <c r="C176" s="32"/>
    </row>
    <row r="177">
      <c r="C177" s="32"/>
    </row>
    <row r="178">
      <c r="C178" s="32"/>
    </row>
    <row r="179">
      <c r="C179" s="32"/>
    </row>
    <row r="180">
      <c r="C180" s="32"/>
    </row>
    <row r="181">
      <c r="C181" s="32"/>
    </row>
    <row r="182">
      <c r="C182" s="32"/>
    </row>
    <row r="183">
      <c r="C183" s="32"/>
    </row>
    <row r="184">
      <c r="C184" s="32"/>
    </row>
    <row r="185">
      <c r="C185" s="32"/>
    </row>
    <row r="186">
      <c r="C186" s="32"/>
    </row>
    <row r="187">
      <c r="C187" s="32"/>
    </row>
    <row r="188">
      <c r="C188" s="32"/>
    </row>
    <row r="189">
      <c r="C189" s="32"/>
    </row>
    <row r="190">
      <c r="C190" s="32"/>
    </row>
    <row r="191">
      <c r="C191" s="32"/>
    </row>
    <row r="192">
      <c r="C192" s="32"/>
    </row>
    <row r="193">
      <c r="C193" s="32"/>
    </row>
    <row r="194">
      <c r="C194" s="32"/>
    </row>
    <row r="195">
      <c r="C195" s="32"/>
    </row>
    <row r="196">
      <c r="C196" s="32"/>
    </row>
    <row r="197">
      <c r="C197" s="32"/>
    </row>
    <row r="198">
      <c r="C198" s="32"/>
    </row>
    <row r="199">
      <c r="C199" s="32"/>
    </row>
    <row r="200">
      <c r="C200" s="32"/>
    </row>
    <row r="201">
      <c r="C201" s="32"/>
    </row>
    <row r="202">
      <c r="C202" s="32"/>
    </row>
    <row r="203">
      <c r="C203" s="32"/>
    </row>
    <row r="204">
      <c r="C204" s="32"/>
    </row>
    <row r="205">
      <c r="C205" s="32"/>
    </row>
    <row r="206">
      <c r="C206" s="32"/>
    </row>
    <row r="207">
      <c r="C207" s="32"/>
    </row>
    <row r="208">
      <c r="C208" s="32"/>
    </row>
    <row r="209">
      <c r="C209" s="32"/>
    </row>
    <row r="210">
      <c r="C210" s="32"/>
    </row>
    <row r="211">
      <c r="C211" s="32"/>
    </row>
    <row r="212">
      <c r="C212" s="32"/>
    </row>
    <row r="213">
      <c r="C213" s="32"/>
    </row>
    <row r="214">
      <c r="C214" s="32"/>
    </row>
    <row r="215">
      <c r="C215" s="32"/>
    </row>
    <row r="216">
      <c r="C216" s="32"/>
    </row>
    <row r="217">
      <c r="C217" s="32"/>
    </row>
    <row r="218">
      <c r="C218" s="32"/>
    </row>
    <row r="219">
      <c r="C219" s="32"/>
    </row>
    <row r="220">
      <c r="C220" s="32"/>
    </row>
    <row r="221">
      <c r="C221" s="32"/>
    </row>
    <row r="222">
      <c r="C222" s="32"/>
    </row>
    <row r="223">
      <c r="C223" s="32"/>
    </row>
    <row r="224">
      <c r="C224" s="32"/>
    </row>
    <row r="225">
      <c r="C225" s="32"/>
    </row>
    <row r="226">
      <c r="C226" s="32"/>
    </row>
    <row r="227">
      <c r="C227" s="32"/>
    </row>
    <row r="228">
      <c r="C228" s="32"/>
    </row>
    <row r="229">
      <c r="C229" s="32"/>
    </row>
    <row r="230">
      <c r="C230" s="32"/>
    </row>
    <row r="231">
      <c r="C231" s="32"/>
    </row>
    <row r="232">
      <c r="C232" s="32"/>
    </row>
    <row r="233">
      <c r="C233" s="32"/>
    </row>
    <row r="234">
      <c r="C234" s="32"/>
    </row>
    <row r="235">
      <c r="C235" s="32"/>
    </row>
    <row r="236">
      <c r="C236" s="32"/>
    </row>
    <row r="237">
      <c r="C237" s="32"/>
    </row>
    <row r="238">
      <c r="C238" s="32"/>
    </row>
    <row r="239">
      <c r="C239" s="32"/>
    </row>
    <row r="240">
      <c r="C240" s="32"/>
    </row>
    <row r="241">
      <c r="C241" s="32"/>
    </row>
    <row r="242">
      <c r="C242" s="32"/>
    </row>
    <row r="243">
      <c r="C243" s="32"/>
    </row>
    <row r="244">
      <c r="C244" s="32"/>
    </row>
    <row r="245">
      <c r="C245" s="32"/>
    </row>
    <row r="246">
      <c r="C246" s="32"/>
    </row>
    <row r="247">
      <c r="C247" s="32"/>
    </row>
    <row r="248">
      <c r="C248" s="32"/>
    </row>
    <row r="249">
      <c r="C249" s="32"/>
    </row>
    <row r="250">
      <c r="C250" s="32"/>
    </row>
    <row r="251">
      <c r="C251" s="32"/>
    </row>
    <row r="252">
      <c r="C252" s="32"/>
    </row>
    <row r="253">
      <c r="C253" s="32"/>
    </row>
    <row r="254">
      <c r="C254" s="32"/>
    </row>
    <row r="255">
      <c r="C255" s="32"/>
    </row>
    <row r="256">
      <c r="C256" s="32"/>
    </row>
    <row r="257">
      <c r="C257" s="32"/>
    </row>
    <row r="258">
      <c r="C258" s="32"/>
    </row>
    <row r="259">
      <c r="C259" s="32"/>
    </row>
    <row r="260">
      <c r="C260" s="32"/>
    </row>
    <row r="261">
      <c r="C261" s="32"/>
    </row>
    <row r="262">
      <c r="C262" s="32"/>
    </row>
    <row r="263">
      <c r="C263" s="32"/>
    </row>
    <row r="264">
      <c r="C264" s="32"/>
    </row>
    <row r="265">
      <c r="C265" s="32"/>
    </row>
    <row r="266">
      <c r="C266" s="32"/>
    </row>
    <row r="267">
      <c r="C267" s="32"/>
    </row>
    <row r="268">
      <c r="C268" s="32"/>
    </row>
    <row r="269">
      <c r="C269" s="32"/>
    </row>
    <row r="270">
      <c r="C270" s="32"/>
    </row>
    <row r="271">
      <c r="C271" s="32"/>
    </row>
    <row r="272">
      <c r="C272" s="32"/>
    </row>
    <row r="273">
      <c r="C273" s="32"/>
    </row>
    <row r="274">
      <c r="C274" s="32"/>
    </row>
    <row r="275">
      <c r="C275" s="32"/>
    </row>
    <row r="276">
      <c r="C276" s="32"/>
    </row>
    <row r="277">
      <c r="C277" s="32"/>
    </row>
    <row r="278">
      <c r="C278" s="32"/>
    </row>
    <row r="279">
      <c r="C279" s="32"/>
    </row>
    <row r="280">
      <c r="C280" s="32"/>
    </row>
    <row r="281">
      <c r="C281" s="32"/>
    </row>
    <row r="282">
      <c r="C282" s="32"/>
    </row>
    <row r="283">
      <c r="C283" s="32"/>
    </row>
    <row r="284">
      <c r="C284" s="32"/>
    </row>
    <row r="285">
      <c r="C285" s="32"/>
    </row>
    <row r="286">
      <c r="C286" s="32"/>
    </row>
    <row r="287">
      <c r="C287" s="32"/>
    </row>
    <row r="288">
      <c r="C288" s="32"/>
    </row>
    <row r="289">
      <c r="C289" s="32"/>
    </row>
    <row r="290">
      <c r="C290" s="32"/>
    </row>
    <row r="291">
      <c r="C291" s="32"/>
    </row>
    <row r="292">
      <c r="C292" s="32"/>
    </row>
    <row r="293">
      <c r="C293" s="32"/>
    </row>
    <row r="294">
      <c r="C294" s="32"/>
    </row>
    <row r="295">
      <c r="C295" s="32"/>
    </row>
    <row r="296">
      <c r="C296" s="32"/>
    </row>
    <row r="297">
      <c r="C297" s="32"/>
    </row>
    <row r="298">
      <c r="C298" s="32"/>
    </row>
    <row r="299">
      <c r="C299" s="32"/>
    </row>
    <row r="300">
      <c r="C300" s="32"/>
    </row>
    <row r="301">
      <c r="C301" s="32"/>
    </row>
    <row r="302">
      <c r="C302" s="32"/>
    </row>
    <row r="303">
      <c r="C303" s="32"/>
    </row>
    <row r="304">
      <c r="C304" s="32"/>
    </row>
    <row r="305">
      <c r="C305" s="32"/>
    </row>
    <row r="306">
      <c r="C306" s="32"/>
    </row>
    <row r="307">
      <c r="C307" s="32"/>
    </row>
    <row r="308">
      <c r="C308" s="32"/>
    </row>
    <row r="309">
      <c r="C309" s="32"/>
    </row>
    <row r="310">
      <c r="C310" s="32"/>
    </row>
    <row r="311">
      <c r="C311" s="32"/>
    </row>
    <row r="312">
      <c r="C312" s="32"/>
    </row>
    <row r="313">
      <c r="C313" s="32"/>
    </row>
    <row r="314">
      <c r="C314" s="32"/>
    </row>
    <row r="315">
      <c r="C315" s="32"/>
    </row>
    <row r="316">
      <c r="C316" s="32"/>
    </row>
    <row r="317">
      <c r="C317" s="32"/>
    </row>
    <row r="318">
      <c r="C318" s="32"/>
    </row>
    <row r="319">
      <c r="C319" s="32"/>
    </row>
    <row r="320">
      <c r="C320" s="32"/>
    </row>
    <row r="321">
      <c r="C321" s="32"/>
    </row>
    <row r="322">
      <c r="C322" s="32"/>
    </row>
    <row r="323">
      <c r="C323" s="32"/>
    </row>
    <row r="324">
      <c r="C324" s="32"/>
    </row>
    <row r="325">
      <c r="C325" s="32"/>
    </row>
    <row r="326">
      <c r="C326" s="32"/>
    </row>
    <row r="327">
      <c r="C327" s="32"/>
    </row>
    <row r="328">
      <c r="C328" s="32"/>
    </row>
    <row r="329">
      <c r="C329" s="32"/>
    </row>
    <row r="330">
      <c r="C330" s="32"/>
    </row>
    <row r="331">
      <c r="C331" s="32"/>
    </row>
    <row r="332">
      <c r="C332" s="32"/>
    </row>
    <row r="333">
      <c r="C333" s="32"/>
    </row>
    <row r="334">
      <c r="C334" s="32"/>
    </row>
    <row r="335">
      <c r="C335" s="32"/>
    </row>
    <row r="336">
      <c r="C336" s="32"/>
    </row>
    <row r="337">
      <c r="C337" s="32"/>
    </row>
    <row r="338">
      <c r="C338" s="32"/>
    </row>
    <row r="339">
      <c r="C339" s="32"/>
    </row>
    <row r="340">
      <c r="C340" s="32"/>
    </row>
    <row r="341">
      <c r="C341" s="32"/>
    </row>
    <row r="342">
      <c r="C342" s="32"/>
    </row>
    <row r="343">
      <c r="C343" s="32"/>
    </row>
    <row r="344">
      <c r="C344" s="32"/>
    </row>
    <row r="345">
      <c r="C345" s="32"/>
    </row>
    <row r="346">
      <c r="C346" s="32"/>
    </row>
    <row r="347">
      <c r="C347" s="32"/>
    </row>
    <row r="348">
      <c r="C348" s="32"/>
    </row>
    <row r="349">
      <c r="C349" s="32"/>
    </row>
    <row r="350">
      <c r="C350" s="32"/>
    </row>
    <row r="351">
      <c r="C351" s="32"/>
    </row>
    <row r="352">
      <c r="C352" s="32"/>
    </row>
    <row r="353">
      <c r="C353" s="32"/>
    </row>
    <row r="354">
      <c r="C354" s="32"/>
    </row>
    <row r="355">
      <c r="C355" s="32"/>
    </row>
    <row r="356">
      <c r="C356" s="32"/>
    </row>
    <row r="357">
      <c r="C357" s="32"/>
    </row>
    <row r="358">
      <c r="C358" s="32"/>
    </row>
    <row r="359">
      <c r="C359" s="32"/>
    </row>
    <row r="360">
      <c r="C360" s="32"/>
    </row>
    <row r="361">
      <c r="C361" s="32"/>
    </row>
    <row r="362">
      <c r="C362" s="32"/>
    </row>
    <row r="363">
      <c r="C363" s="32"/>
    </row>
    <row r="364">
      <c r="C364" s="32"/>
    </row>
    <row r="365">
      <c r="C365" s="32"/>
    </row>
    <row r="366">
      <c r="C366" s="32"/>
    </row>
    <row r="367">
      <c r="C367" s="32"/>
    </row>
    <row r="368">
      <c r="C368" s="32"/>
    </row>
    <row r="369">
      <c r="C369" s="32"/>
    </row>
    <row r="370">
      <c r="C370" s="32"/>
    </row>
    <row r="371">
      <c r="C371" s="32"/>
    </row>
    <row r="372">
      <c r="C372" s="32"/>
    </row>
    <row r="373">
      <c r="C373" s="32"/>
    </row>
    <row r="374">
      <c r="C374" s="32"/>
    </row>
    <row r="375">
      <c r="C375" s="32"/>
    </row>
    <row r="376">
      <c r="C376" s="32"/>
    </row>
    <row r="377">
      <c r="C377" s="32"/>
    </row>
    <row r="378">
      <c r="C378" s="32"/>
    </row>
    <row r="379">
      <c r="C379" s="32"/>
    </row>
    <row r="380">
      <c r="C380" s="32"/>
    </row>
    <row r="381">
      <c r="C381" s="32"/>
    </row>
    <row r="382">
      <c r="C382" s="32"/>
    </row>
    <row r="383">
      <c r="C383" s="32"/>
    </row>
    <row r="384">
      <c r="C384" s="32"/>
    </row>
    <row r="385">
      <c r="C385" s="32"/>
    </row>
    <row r="386">
      <c r="C386" s="32"/>
    </row>
    <row r="387">
      <c r="C387" s="32"/>
    </row>
    <row r="388">
      <c r="C388" s="32"/>
    </row>
    <row r="389">
      <c r="C389" s="32"/>
    </row>
    <row r="390">
      <c r="C390" s="32"/>
    </row>
    <row r="391">
      <c r="C391" s="32"/>
    </row>
    <row r="392">
      <c r="C392" s="32"/>
    </row>
    <row r="393">
      <c r="C393" s="32"/>
    </row>
    <row r="394">
      <c r="C394" s="32"/>
    </row>
    <row r="395">
      <c r="C395" s="32"/>
    </row>
    <row r="396">
      <c r="C396" s="32"/>
    </row>
    <row r="397">
      <c r="C397" s="32"/>
    </row>
    <row r="398">
      <c r="C398" s="32"/>
    </row>
    <row r="399">
      <c r="C399" s="32"/>
    </row>
    <row r="400">
      <c r="C400" s="32"/>
    </row>
    <row r="401">
      <c r="C401" s="32"/>
    </row>
    <row r="402">
      <c r="C402" s="32"/>
    </row>
    <row r="403">
      <c r="C403" s="32"/>
    </row>
    <row r="404">
      <c r="C404" s="32"/>
    </row>
    <row r="405">
      <c r="C405" s="32"/>
    </row>
    <row r="406">
      <c r="C406" s="32"/>
    </row>
    <row r="407">
      <c r="C407" s="32"/>
    </row>
    <row r="408">
      <c r="C408" s="32"/>
    </row>
    <row r="409">
      <c r="C409" s="32"/>
    </row>
    <row r="410">
      <c r="C410" s="32"/>
    </row>
    <row r="411">
      <c r="C411" s="32"/>
    </row>
    <row r="412">
      <c r="C412" s="32"/>
    </row>
    <row r="413">
      <c r="C413" s="32"/>
    </row>
    <row r="414">
      <c r="C414" s="32"/>
    </row>
    <row r="415">
      <c r="C415" s="32"/>
    </row>
    <row r="416">
      <c r="C416" s="32"/>
    </row>
    <row r="417">
      <c r="C417" s="32"/>
    </row>
    <row r="418">
      <c r="C418" s="32"/>
    </row>
    <row r="419">
      <c r="C419" s="32"/>
    </row>
    <row r="420">
      <c r="C420" s="32"/>
    </row>
    <row r="421">
      <c r="C421" s="32"/>
    </row>
    <row r="422">
      <c r="C422" s="32"/>
    </row>
    <row r="423">
      <c r="C423" s="32"/>
    </row>
    <row r="424">
      <c r="C424" s="32"/>
    </row>
    <row r="425">
      <c r="C425" s="32"/>
    </row>
    <row r="426">
      <c r="C426" s="32"/>
    </row>
    <row r="427">
      <c r="C427" s="32"/>
    </row>
    <row r="428">
      <c r="C428" s="32"/>
    </row>
    <row r="429">
      <c r="C429" s="32"/>
    </row>
    <row r="430">
      <c r="C430" s="32"/>
    </row>
    <row r="431">
      <c r="C431" s="32"/>
    </row>
    <row r="432">
      <c r="C432" s="32"/>
    </row>
    <row r="433">
      <c r="C433" s="32"/>
    </row>
    <row r="434">
      <c r="C434" s="32"/>
    </row>
    <row r="435">
      <c r="C435" s="32"/>
    </row>
    <row r="436">
      <c r="C436" s="32"/>
    </row>
    <row r="437">
      <c r="C437" s="32"/>
    </row>
    <row r="438">
      <c r="C438" s="32"/>
    </row>
    <row r="439">
      <c r="C439" s="32"/>
    </row>
    <row r="440">
      <c r="C440" s="32"/>
    </row>
    <row r="441">
      <c r="C441" s="32"/>
    </row>
    <row r="442">
      <c r="C442" s="32"/>
    </row>
    <row r="443">
      <c r="C443" s="32"/>
    </row>
    <row r="444">
      <c r="C444" s="32"/>
    </row>
    <row r="445">
      <c r="C445" s="32"/>
    </row>
    <row r="446">
      <c r="C446" s="32"/>
    </row>
    <row r="447">
      <c r="C447" s="32"/>
    </row>
    <row r="448">
      <c r="C448" s="32"/>
    </row>
    <row r="449">
      <c r="C449" s="32"/>
    </row>
    <row r="450">
      <c r="C450" s="32"/>
    </row>
    <row r="451">
      <c r="C451" s="32"/>
    </row>
    <row r="452">
      <c r="C452" s="32"/>
    </row>
    <row r="453">
      <c r="C453" s="32"/>
    </row>
    <row r="454">
      <c r="C454" s="32"/>
    </row>
    <row r="455">
      <c r="C455" s="32"/>
    </row>
    <row r="456">
      <c r="C456" s="32"/>
    </row>
    <row r="457">
      <c r="C457" s="32"/>
    </row>
    <row r="458">
      <c r="C458" s="32"/>
    </row>
    <row r="459">
      <c r="C459" s="32"/>
    </row>
    <row r="460">
      <c r="C460" s="32"/>
    </row>
    <row r="461">
      <c r="C461" s="32"/>
    </row>
    <row r="462">
      <c r="C462" s="32"/>
    </row>
    <row r="463">
      <c r="C463" s="32"/>
    </row>
    <row r="464">
      <c r="C464" s="32"/>
    </row>
    <row r="465">
      <c r="C465" s="32"/>
    </row>
    <row r="466">
      <c r="C466" s="32"/>
    </row>
    <row r="467">
      <c r="C467" s="32"/>
    </row>
    <row r="468">
      <c r="C468" s="32"/>
    </row>
    <row r="469">
      <c r="C469" s="32"/>
    </row>
    <row r="470">
      <c r="C470" s="32"/>
    </row>
    <row r="471">
      <c r="C471" s="32"/>
    </row>
    <row r="472">
      <c r="C472" s="32"/>
    </row>
    <row r="473">
      <c r="C473" s="32"/>
    </row>
    <row r="474">
      <c r="C474" s="32"/>
    </row>
    <row r="475">
      <c r="C475" s="32"/>
    </row>
    <row r="476">
      <c r="C476" s="32"/>
    </row>
    <row r="477">
      <c r="C477" s="32"/>
    </row>
    <row r="478">
      <c r="C478" s="32"/>
    </row>
    <row r="479">
      <c r="C479" s="32"/>
    </row>
    <row r="480">
      <c r="C480" s="32"/>
    </row>
    <row r="481">
      <c r="C481" s="32"/>
    </row>
    <row r="482">
      <c r="C482" s="32"/>
    </row>
    <row r="483">
      <c r="C483" s="32"/>
    </row>
    <row r="484">
      <c r="C484" s="32"/>
    </row>
    <row r="485">
      <c r="C485" s="32"/>
    </row>
    <row r="486">
      <c r="C486" s="32"/>
    </row>
    <row r="487">
      <c r="C487" s="32"/>
    </row>
    <row r="488">
      <c r="C488" s="32"/>
    </row>
    <row r="489">
      <c r="C489" s="32"/>
    </row>
    <row r="490">
      <c r="C490" s="32"/>
    </row>
    <row r="491">
      <c r="C491" s="32"/>
    </row>
    <row r="492">
      <c r="C492" s="32"/>
    </row>
    <row r="493">
      <c r="C493" s="32"/>
    </row>
    <row r="494">
      <c r="C494" s="32"/>
    </row>
    <row r="495">
      <c r="C495" s="32"/>
    </row>
    <row r="496">
      <c r="C496" s="32"/>
    </row>
    <row r="497">
      <c r="C497" s="32"/>
    </row>
    <row r="498">
      <c r="C498" s="32"/>
    </row>
    <row r="499">
      <c r="C499" s="32"/>
    </row>
    <row r="500">
      <c r="C500" s="32"/>
    </row>
    <row r="501">
      <c r="C501" s="32"/>
    </row>
    <row r="502">
      <c r="C502" s="32"/>
    </row>
    <row r="503">
      <c r="C503" s="32"/>
    </row>
    <row r="504">
      <c r="C504" s="32"/>
    </row>
    <row r="505">
      <c r="C505" s="32"/>
    </row>
    <row r="506">
      <c r="C506" s="32"/>
    </row>
    <row r="507">
      <c r="C507" s="32"/>
    </row>
    <row r="508">
      <c r="C508" s="32"/>
    </row>
    <row r="509">
      <c r="C509" s="32"/>
    </row>
    <row r="510">
      <c r="C510" s="32"/>
    </row>
    <row r="511">
      <c r="C511" s="32"/>
    </row>
    <row r="512">
      <c r="C512" s="32"/>
    </row>
    <row r="513">
      <c r="C513" s="32"/>
    </row>
    <row r="514">
      <c r="C514" s="32"/>
    </row>
    <row r="515">
      <c r="C515" s="32"/>
    </row>
    <row r="516">
      <c r="C516" s="32"/>
    </row>
    <row r="517">
      <c r="C517" s="32"/>
    </row>
    <row r="518">
      <c r="C518" s="32"/>
    </row>
    <row r="519">
      <c r="C519" s="32"/>
    </row>
    <row r="520">
      <c r="C520" s="32"/>
    </row>
    <row r="521">
      <c r="C521" s="32"/>
    </row>
    <row r="522">
      <c r="C522" s="32"/>
    </row>
    <row r="523">
      <c r="C523" s="32"/>
    </row>
    <row r="524">
      <c r="C524" s="32"/>
    </row>
    <row r="525">
      <c r="C525" s="32"/>
    </row>
    <row r="526">
      <c r="C526" s="32"/>
    </row>
    <row r="527">
      <c r="C527" s="32"/>
    </row>
    <row r="528">
      <c r="C528" s="32"/>
    </row>
    <row r="529">
      <c r="C529" s="32"/>
    </row>
    <row r="530">
      <c r="C530" s="32"/>
    </row>
    <row r="531">
      <c r="C531" s="32"/>
    </row>
    <row r="532">
      <c r="C532" s="32"/>
    </row>
    <row r="533">
      <c r="C533" s="32"/>
    </row>
    <row r="534">
      <c r="C534" s="32"/>
    </row>
    <row r="535">
      <c r="C535" s="32"/>
    </row>
    <row r="536">
      <c r="C536" s="32"/>
    </row>
    <row r="537">
      <c r="C537" s="32"/>
    </row>
    <row r="538">
      <c r="C538" s="32"/>
    </row>
    <row r="539">
      <c r="C539" s="32"/>
    </row>
    <row r="540">
      <c r="C540" s="32"/>
    </row>
    <row r="541">
      <c r="C541" s="32"/>
    </row>
    <row r="542">
      <c r="C542" s="32"/>
    </row>
    <row r="543">
      <c r="C543" s="32"/>
    </row>
    <row r="544">
      <c r="C544" s="32"/>
    </row>
    <row r="545">
      <c r="C545" s="32"/>
    </row>
    <row r="546">
      <c r="C546" s="32"/>
    </row>
    <row r="547">
      <c r="C547" s="32"/>
    </row>
    <row r="548">
      <c r="C548" s="32"/>
    </row>
    <row r="549">
      <c r="C549" s="32"/>
    </row>
    <row r="550">
      <c r="C550" s="32"/>
    </row>
    <row r="551">
      <c r="C551" s="32"/>
    </row>
    <row r="552">
      <c r="C552" s="32"/>
    </row>
    <row r="553">
      <c r="C553" s="32"/>
    </row>
    <row r="554">
      <c r="C554" s="32"/>
    </row>
    <row r="555">
      <c r="C555" s="32"/>
    </row>
    <row r="556">
      <c r="C556" s="32"/>
    </row>
    <row r="557">
      <c r="C557" s="32"/>
    </row>
    <row r="558">
      <c r="C558" s="32"/>
    </row>
    <row r="559">
      <c r="C559" s="32"/>
    </row>
    <row r="560">
      <c r="C560" s="32"/>
    </row>
    <row r="561">
      <c r="C561" s="32"/>
    </row>
    <row r="562">
      <c r="C562" s="32"/>
    </row>
    <row r="563">
      <c r="C563" s="32"/>
    </row>
    <row r="564">
      <c r="C564" s="32"/>
    </row>
    <row r="565">
      <c r="C565" s="32"/>
    </row>
    <row r="566">
      <c r="C566" s="32"/>
    </row>
    <row r="567">
      <c r="C567" s="32"/>
    </row>
    <row r="568">
      <c r="C568" s="32"/>
    </row>
    <row r="569">
      <c r="C569" s="32"/>
    </row>
    <row r="570">
      <c r="C570" s="32"/>
    </row>
    <row r="571">
      <c r="C571" s="32"/>
    </row>
    <row r="572">
      <c r="C572" s="32"/>
    </row>
    <row r="573">
      <c r="C573" s="32"/>
    </row>
    <row r="574">
      <c r="C574" s="32"/>
    </row>
    <row r="575">
      <c r="C575" s="32"/>
    </row>
    <row r="576">
      <c r="C576" s="32"/>
    </row>
    <row r="577">
      <c r="C577" s="32"/>
    </row>
    <row r="578">
      <c r="C578" s="32"/>
    </row>
    <row r="579">
      <c r="C579" s="32"/>
    </row>
    <row r="580">
      <c r="C580" s="32"/>
    </row>
    <row r="581">
      <c r="C581" s="32"/>
    </row>
    <row r="582">
      <c r="C582" s="32"/>
    </row>
    <row r="583">
      <c r="C583" s="32"/>
    </row>
    <row r="584">
      <c r="C584" s="32"/>
    </row>
    <row r="585">
      <c r="C585" s="32"/>
    </row>
    <row r="586">
      <c r="C586" s="32"/>
    </row>
    <row r="587">
      <c r="C587" s="32"/>
    </row>
    <row r="588">
      <c r="C588" s="32"/>
    </row>
    <row r="589">
      <c r="C589" s="32"/>
    </row>
    <row r="590">
      <c r="C590" s="32"/>
    </row>
    <row r="591">
      <c r="C591" s="32"/>
    </row>
    <row r="592">
      <c r="C592" s="32"/>
    </row>
    <row r="593">
      <c r="C593" s="32"/>
    </row>
    <row r="594">
      <c r="C594" s="32"/>
    </row>
    <row r="595">
      <c r="C595" s="32"/>
    </row>
    <row r="596">
      <c r="C596" s="32"/>
    </row>
    <row r="597">
      <c r="C597" s="32"/>
    </row>
    <row r="598">
      <c r="C598" s="32"/>
    </row>
    <row r="599">
      <c r="C599" s="32"/>
    </row>
    <row r="600">
      <c r="C600" s="32"/>
    </row>
    <row r="601">
      <c r="C601" s="32"/>
    </row>
    <row r="602">
      <c r="C602" s="32"/>
    </row>
    <row r="603">
      <c r="C603" s="32"/>
    </row>
    <row r="604">
      <c r="C604" s="32"/>
    </row>
    <row r="605">
      <c r="C605" s="32"/>
    </row>
    <row r="606">
      <c r="C606" s="32"/>
    </row>
    <row r="607">
      <c r="C607" s="32"/>
    </row>
    <row r="608">
      <c r="C608" s="32"/>
    </row>
    <row r="609">
      <c r="C609" s="32"/>
    </row>
    <row r="610">
      <c r="C610" s="32"/>
    </row>
    <row r="611">
      <c r="C611" s="32"/>
    </row>
    <row r="612">
      <c r="C612" s="32"/>
    </row>
    <row r="613">
      <c r="C613" s="32"/>
    </row>
    <row r="614">
      <c r="C614" s="32"/>
    </row>
    <row r="615">
      <c r="C615" s="32"/>
    </row>
    <row r="616">
      <c r="C616" s="32"/>
    </row>
    <row r="617">
      <c r="C617" s="32"/>
    </row>
    <row r="618">
      <c r="C618" s="32"/>
    </row>
    <row r="619">
      <c r="C619" s="32"/>
    </row>
    <row r="620">
      <c r="C620" s="32"/>
    </row>
    <row r="621">
      <c r="C621" s="32"/>
    </row>
    <row r="622">
      <c r="C622" s="32"/>
    </row>
    <row r="623">
      <c r="C623" s="32"/>
    </row>
    <row r="624">
      <c r="C624" s="32"/>
    </row>
    <row r="625">
      <c r="C625" s="32"/>
    </row>
    <row r="626">
      <c r="C626" s="32"/>
    </row>
    <row r="627">
      <c r="C627" s="32"/>
    </row>
    <row r="628">
      <c r="C628" s="32"/>
    </row>
    <row r="629">
      <c r="C629" s="32"/>
    </row>
    <row r="630">
      <c r="C630" s="32"/>
    </row>
    <row r="631">
      <c r="C631" s="32"/>
    </row>
    <row r="632">
      <c r="C632" s="32"/>
    </row>
    <row r="633">
      <c r="C633" s="32"/>
    </row>
    <row r="634">
      <c r="C634" s="32"/>
    </row>
    <row r="635">
      <c r="C635" s="32"/>
    </row>
    <row r="636">
      <c r="C636" s="32"/>
    </row>
    <row r="637">
      <c r="C637" s="32"/>
    </row>
    <row r="638">
      <c r="C638" s="32"/>
    </row>
    <row r="639">
      <c r="C639" s="32"/>
    </row>
    <row r="640">
      <c r="C640" s="32"/>
    </row>
    <row r="641">
      <c r="C641" s="32"/>
    </row>
    <row r="642">
      <c r="C642" s="32"/>
    </row>
    <row r="643">
      <c r="C643" s="32"/>
    </row>
    <row r="644">
      <c r="C644" s="32"/>
    </row>
    <row r="645">
      <c r="C645" s="32"/>
    </row>
    <row r="646">
      <c r="C646" s="32"/>
    </row>
    <row r="647">
      <c r="C647" s="32"/>
    </row>
    <row r="648">
      <c r="C648" s="32"/>
    </row>
    <row r="649">
      <c r="C649" s="32"/>
    </row>
    <row r="650">
      <c r="C650" s="32"/>
    </row>
    <row r="651">
      <c r="C651" s="32"/>
    </row>
    <row r="652">
      <c r="C652" s="32"/>
    </row>
    <row r="653">
      <c r="C653" s="32"/>
    </row>
    <row r="654">
      <c r="C654" s="32"/>
    </row>
    <row r="655">
      <c r="C655" s="32"/>
    </row>
    <row r="656">
      <c r="C656" s="32"/>
    </row>
    <row r="657">
      <c r="C657" s="32"/>
    </row>
    <row r="658">
      <c r="C658" s="32"/>
    </row>
    <row r="659">
      <c r="C659" s="32"/>
    </row>
    <row r="660">
      <c r="C660" s="32"/>
    </row>
    <row r="661">
      <c r="C661" s="32"/>
    </row>
    <row r="662">
      <c r="C662" s="32"/>
    </row>
    <row r="663">
      <c r="C663" s="32"/>
    </row>
    <row r="664">
      <c r="C664" s="32"/>
    </row>
    <row r="665">
      <c r="C665" s="32"/>
    </row>
    <row r="666">
      <c r="C666" s="32"/>
    </row>
    <row r="667">
      <c r="C667" s="32"/>
    </row>
    <row r="668">
      <c r="C668" s="32"/>
    </row>
    <row r="669">
      <c r="C669" s="32"/>
    </row>
    <row r="670">
      <c r="C670" s="32"/>
    </row>
    <row r="671">
      <c r="C671" s="32"/>
    </row>
    <row r="672">
      <c r="C672" s="32"/>
    </row>
    <row r="673">
      <c r="C673" s="32"/>
    </row>
    <row r="674">
      <c r="C674" s="32"/>
    </row>
    <row r="675">
      <c r="C675" s="32"/>
    </row>
    <row r="676">
      <c r="C676" s="32"/>
    </row>
    <row r="677">
      <c r="C677" s="32"/>
    </row>
    <row r="678">
      <c r="C678" s="32"/>
    </row>
    <row r="679">
      <c r="C679" s="32"/>
    </row>
    <row r="680">
      <c r="C680" s="32"/>
    </row>
    <row r="681">
      <c r="C681" s="32"/>
    </row>
    <row r="682">
      <c r="C682" s="32"/>
    </row>
    <row r="683">
      <c r="C683" s="32"/>
    </row>
    <row r="684">
      <c r="C684" s="32"/>
    </row>
    <row r="685">
      <c r="C685" s="32"/>
    </row>
    <row r="686">
      <c r="C686" s="32"/>
    </row>
    <row r="687">
      <c r="C687" s="32"/>
    </row>
    <row r="688">
      <c r="C688" s="32"/>
    </row>
    <row r="689">
      <c r="C689" s="32"/>
    </row>
    <row r="690">
      <c r="C690" s="32"/>
    </row>
    <row r="691">
      <c r="C691" s="32"/>
    </row>
    <row r="692">
      <c r="C692" s="32"/>
    </row>
    <row r="693">
      <c r="C693" s="32"/>
    </row>
    <row r="694">
      <c r="C694" s="32"/>
    </row>
    <row r="695">
      <c r="C695" s="32"/>
    </row>
    <row r="696">
      <c r="C696" s="32"/>
    </row>
    <row r="697">
      <c r="C697" s="32"/>
    </row>
    <row r="698">
      <c r="C698" s="32"/>
    </row>
    <row r="699">
      <c r="C699" s="32"/>
    </row>
    <row r="700">
      <c r="C700" s="32"/>
    </row>
    <row r="701">
      <c r="C701" s="32"/>
    </row>
    <row r="702">
      <c r="C702" s="32"/>
    </row>
    <row r="703">
      <c r="C703" s="32"/>
    </row>
    <row r="704">
      <c r="C704" s="32"/>
    </row>
    <row r="705">
      <c r="C705" s="32"/>
    </row>
    <row r="706">
      <c r="C706" s="32"/>
    </row>
    <row r="707">
      <c r="C707" s="32"/>
    </row>
    <row r="708">
      <c r="C708" s="32"/>
    </row>
    <row r="709">
      <c r="C709" s="32"/>
    </row>
    <row r="710">
      <c r="C710" s="32"/>
    </row>
    <row r="711">
      <c r="C711" s="32"/>
    </row>
    <row r="712">
      <c r="C712" s="32"/>
    </row>
    <row r="713">
      <c r="C713" s="32"/>
    </row>
    <row r="714">
      <c r="C714" s="32"/>
    </row>
    <row r="715">
      <c r="C715" s="32"/>
    </row>
    <row r="716">
      <c r="C716" s="32"/>
    </row>
    <row r="717">
      <c r="C717" s="32"/>
    </row>
    <row r="718">
      <c r="C718" s="32"/>
    </row>
    <row r="719">
      <c r="C719" s="32"/>
    </row>
    <row r="720">
      <c r="C720" s="32"/>
    </row>
    <row r="721">
      <c r="C721" s="32"/>
    </row>
    <row r="722">
      <c r="C722" s="32"/>
    </row>
    <row r="723">
      <c r="C723" s="32"/>
    </row>
    <row r="724">
      <c r="C724" s="32"/>
    </row>
    <row r="725">
      <c r="C725" s="32"/>
    </row>
    <row r="726">
      <c r="C726" s="32"/>
    </row>
    <row r="727">
      <c r="C727" s="32"/>
    </row>
    <row r="728">
      <c r="C728" s="32"/>
    </row>
    <row r="729">
      <c r="C729" s="32"/>
    </row>
    <row r="730">
      <c r="C730" s="32"/>
    </row>
    <row r="731">
      <c r="C731" s="32"/>
    </row>
    <row r="732">
      <c r="C732" s="32"/>
    </row>
    <row r="733">
      <c r="C733" s="32"/>
    </row>
    <row r="734">
      <c r="C734" s="32"/>
    </row>
    <row r="735">
      <c r="C735" s="32"/>
    </row>
    <row r="736">
      <c r="C736" s="32"/>
    </row>
    <row r="737">
      <c r="C737" s="32"/>
    </row>
    <row r="738">
      <c r="C738" s="32"/>
    </row>
    <row r="739">
      <c r="C739" s="32"/>
    </row>
    <row r="740">
      <c r="C740" s="32"/>
    </row>
    <row r="741">
      <c r="C741" s="32"/>
    </row>
    <row r="742">
      <c r="C742" s="32"/>
    </row>
    <row r="743">
      <c r="C743" s="32"/>
    </row>
    <row r="744">
      <c r="C744" s="32"/>
    </row>
    <row r="745">
      <c r="C745" s="32"/>
    </row>
    <row r="746">
      <c r="C746" s="32"/>
    </row>
    <row r="747">
      <c r="C747" s="32"/>
    </row>
    <row r="748">
      <c r="C748" s="32"/>
    </row>
    <row r="749">
      <c r="C749" s="32"/>
    </row>
    <row r="750">
      <c r="C750" s="32"/>
    </row>
    <row r="751">
      <c r="C751" s="32"/>
    </row>
    <row r="752">
      <c r="C752" s="32"/>
    </row>
    <row r="753">
      <c r="C753" s="32"/>
    </row>
    <row r="754">
      <c r="C754" s="32"/>
    </row>
    <row r="755">
      <c r="C755" s="32"/>
    </row>
    <row r="756">
      <c r="C756" s="32"/>
    </row>
    <row r="757">
      <c r="C757" s="32"/>
    </row>
    <row r="758">
      <c r="C758" s="32"/>
    </row>
    <row r="759">
      <c r="C759" s="32"/>
    </row>
    <row r="760">
      <c r="C760" s="32"/>
    </row>
    <row r="761">
      <c r="C761" s="32"/>
    </row>
    <row r="762">
      <c r="C762" s="32"/>
    </row>
    <row r="763">
      <c r="C763" s="32"/>
    </row>
    <row r="764">
      <c r="C764" s="32"/>
    </row>
    <row r="765">
      <c r="C765" s="32"/>
    </row>
    <row r="766">
      <c r="C766" s="32"/>
    </row>
    <row r="767">
      <c r="C767" s="32"/>
    </row>
    <row r="768">
      <c r="C768" s="32"/>
    </row>
    <row r="769">
      <c r="C769" s="32"/>
    </row>
    <row r="770">
      <c r="C770" s="32"/>
    </row>
    <row r="771">
      <c r="C771" s="32"/>
    </row>
    <row r="772">
      <c r="C772" s="32"/>
    </row>
    <row r="773">
      <c r="C773" s="32"/>
    </row>
    <row r="774">
      <c r="C774" s="32"/>
    </row>
    <row r="775">
      <c r="C775" s="32"/>
    </row>
    <row r="776">
      <c r="C776" s="32"/>
    </row>
    <row r="777">
      <c r="C777" s="32"/>
    </row>
    <row r="778">
      <c r="C778" s="32"/>
    </row>
    <row r="779">
      <c r="C779" s="32"/>
    </row>
    <row r="780">
      <c r="C780" s="32"/>
    </row>
    <row r="781">
      <c r="C781" s="32"/>
    </row>
    <row r="782">
      <c r="C782" s="32"/>
    </row>
    <row r="783">
      <c r="C783" s="32"/>
    </row>
    <row r="784">
      <c r="C784" s="32"/>
    </row>
    <row r="785">
      <c r="C785" s="32"/>
    </row>
    <row r="786">
      <c r="C786" s="32"/>
    </row>
    <row r="787">
      <c r="C787" s="32"/>
    </row>
    <row r="788">
      <c r="C788" s="32"/>
    </row>
    <row r="789">
      <c r="C789" s="32"/>
    </row>
    <row r="790">
      <c r="C790" s="32"/>
    </row>
    <row r="791">
      <c r="C791" s="32"/>
    </row>
    <row r="792">
      <c r="C792" s="32"/>
    </row>
    <row r="793">
      <c r="C793" s="32"/>
    </row>
    <row r="794">
      <c r="C794" s="32"/>
    </row>
    <row r="795">
      <c r="C795" s="32"/>
    </row>
    <row r="796">
      <c r="C796" s="32"/>
    </row>
    <row r="797">
      <c r="C797" s="32"/>
    </row>
    <row r="798">
      <c r="C798" s="32"/>
    </row>
    <row r="799">
      <c r="C799" s="32"/>
    </row>
    <row r="800">
      <c r="C800" s="32"/>
    </row>
    <row r="801">
      <c r="C801" s="32"/>
    </row>
    <row r="802">
      <c r="C802" s="32"/>
    </row>
    <row r="803">
      <c r="C803" s="32"/>
    </row>
    <row r="804">
      <c r="C804" s="32"/>
    </row>
    <row r="805">
      <c r="C805" s="32"/>
    </row>
    <row r="806">
      <c r="C806" s="32"/>
    </row>
    <row r="807">
      <c r="C807" s="32"/>
    </row>
    <row r="808">
      <c r="C808" s="32"/>
    </row>
    <row r="809">
      <c r="C809" s="32"/>
    </row>
    <row r="810">
      <c r="C810" s="32"/>
    </row>
    <row r="811">
      <c r="C811" s="32"/>
    </row>
    <row r="812">
      <c r="C812" s="32"/>
    </row>
    <row r="813">
      <c r="C813" s="32"/>
    </row>
    <row r="814">
      <c r="C814" s="32"/>
    </row>
    <row r="815">
      <c r="C815" s="32"/>
    </row>
    <row r="816">
      <c r="C816" s="32"/>
    </row>
    <row r="817">
      <c r="C817" s="32"/>
    </row>
    <row r="818">
      <c r="C818" s="32"/>
    </row>
    <row r="819">
      <c r="C819" s="32"/>
    </row>
    <row r="820">
      <c r="C820" s="32"/>
    </row>
    <row r="821">
      <c r="C821" s="32"/>
    </row>
    <row r="822">
      <c r="C822" s="32"/>
    </row>
    <row r="823">
      <c r="C823" s="32"/>
    </row>
    <row r="824">
      <c r="C824" s="32"/>
    </row>
    <row r="825">
      <c r="C825" s="32"/>
    </row>
    <row r="826">
      <c r="C826" s="32"/>
    </row>
    <row r="827">
      <c r="C827" s="32"/>
    </row>
    <row r="828">
      <c r="C828" s="32"/>
    </row>
    <row r="829">
      <c r="C829" s="32"/>
    </row>
    <row r="830">
      <c r="C830" s="32"/>
    </row>
    <row r="831">
      <c r="C831" s="32"/>
    </row>
    <row r="832">
      <c r="C832" s="32"/>
    </row>
    <row r="833">
      <c r="C833" s="32"/>
    </row>
    <row r="834">
      <c r="C834" s="32"/>
    </row>
    <row r="835">
      <c r="C835" s="32"/>
    </row>
    <row r="836">
      <c r="C836" s="32"/>
    </row>
    <row r="837">
      <c r="C837" s="32"/>
    </row>
    <row r="838">
      <c r="C838" s="32"/>
    </row>
    <row r="839">
      <c r="C839" s="32"/>
    </row>
    <row r="840">
      <c r="C840" s="32"/>
    </row>
    <row r="841">
      <c r="C841" s="32"/>
    </row>
    <row r="842">
      <c r="C842" s="32"/>
    </row>
    <row r="843">
      <c r="C843" s="32"/>
    </row>
    <row r="844">
      <c r="C844" s="32"/>
    </row>
    <row r="845">
      <c r="C845" s="32"/>
    </row>
    <row r="846">
      <c r="C846" s="32"/>
    </row>
    <row r="847">
      <c r="C847" s="32"/>
    </row>
    <row r="848">
      <c r="C848" s="32"/>
    </row>
    <row r="849">
      <c r="C849" s="32"/>
    </row>
    <row r="850">
      <c r="C850" s="32"/>
    </row>
    <row r="851">
      <c r="C851" s="32"/>
    </row>
    <row r="852">
      <c r="C852" s="32"/>
    </row>
    <row r="853">
      <c r="C853" s="32"/>
    </row>
    <row r="854">
      <c r="C854" s="32"/>
    </row>
    <row r="855">
      <c r="C855" s="32"/>
    </row>
    <row r="856">
      <c r="C856" s="32"/>
    </row>
    <row r="857">
      <c r="C857" s="32"/>
    </row>
    <row r="858">
      <c r="C858" s="32"/>
    </row>
    <row r="859">
      <c r="C859" s="32"/>
    </row>
    <row r="860">
      <c r="C860" s="32"/>
    </row>
    <row r="861">
      <c r="C861" s="32"/>
    </row>
    <row r="862">
      <c r="C862" s="32"/>
    </row>
    <row r="863">
      <c r="C863" s="32"/>
    </row>
    <row r="864">
      <c r="C864" s="32"/>
    </row>
    <row r="865">
      <c r="C865" s="32"/>
    </row>
    <row r="866">
      <c r="C866" s="32"/>
    </row>
    <row r="867">
      <c r="C867" s="32"/>
    </row>
    <row r="868">
      <c r="C868" s="32"/>
    </row>
    <row r="869">
      <c r="C869" s="32"/>
    </row>
    <row r="870">
      <c r="C870" s="32"/>
    </row>
    <row r="871">
      <c r="C871" s="32"/>
    </row>
    <row r="872">
      <c r="C872" s="32"/>
    </row>
    <row r="873">
      <c r="C873" s="32"/>
    </row>
    <row r="874">
      <c r="C874" s="32"/>
    </row>
    <row r="875">
      <c r="C875" s="32"/>
    </row>
    <row r="876">
      <c r="C876" s="32"/>
    </row>
    <row r="877">
      <c r="C877" s="32"/>
    </row>
    <row r="878">
      <c r="C878" s="32"/>
    </row>
    <row r="879">
      <c r="C879" s="32"/>
    </row>
    <row r="880">
      <c r="C880" s="32"/>
    </row>
    <row r="881">
      <c r="C881" s="32"/>
    </row>
    <row r="882">
      <c r="C882" s="32"/>
    </row>
    <row r="883">
      <c r="C883" s="32"/>
    </row>
    <row r="884">
      <c r="C884" s="32"/>
    </row>
    <row r="885">
      <c r="C885" s="32"/>
    </row>
    <row r="886">
      <c r="C886" s="32"/>
    </row>
    <row r="887">
      <c r="C887" s="32"/>
    </row>
    <row r="888">
      <c r="C888" s="32"/>
    </row>
    <row r="889">
      <c r="C889" s="32"/>
    </row>
    <row r="890">
      <c r="C890" s="32"/>
    </row>
    <row r="891">
      <c r="C891" s="32"/>
    </row>
    <row r="892">
      <c r="C892" s="32"/>
    </row>
    <row r="893">
      <c r="C893" s="32"/>
    </row>
    <row r="894">
      <c r="C894" s="32"/>
    </row>
    <row r="895">
      <c r="C895" s="32"/>
    </row>
    <row r="896">
      <c r="C896" s="32"/>
    </row>
    <row r="897">
      <c r="C897" s="32"/>
    </row>
    <row r="898">
      <c r="C898" s="32"/>
    </row>
    <row r="899">
      <c r="C899" s="32"/>
    </row>
    <row r="900">
      <c r="C900" s="32"/>
    </row>
    <row r="901">
      <c r="C901" s="32"/>
    </row>
    <row r="902">
      <c r="C902" s="32"/>
    </row>
    <row r="903">
      <c r="C903" s="32"/>
    </row>
    <row r="904">
      <c r="C904" s="32"/>
    </row>
    <row r="905">
      <c r="C905" s="32"/>
    </row>
    <row r="906">
      <c r="C906" s="32"/>
    </row>
    <row r="907">
      <c r="C907" s="32"/>
    </row>
    <row r="908">
      <c r="C908" s="32"/>
    </row>
    <row r="909">
      <c r="C909" s="32"/>
    </row>
    <row r="910">
      <c r="C910" s="32"/>
    </row>
    <row r="911">
      <c r="C911" s="32"/>
    </row>
    <row r="912">
      <c r="C912" s="32"/>
    </row>
    <row r="913">
      <c r="C913" s="32"/>
    </row>
    <row r="914">
      <c r="C914" s="32"/>
    </row>
    <row r="915">
      <c r="C915" s="32"/>
    </row>
    <row r="916">
      <c r="C916" s="32"/>
    </row>
    <row r="917">
      <c r="C917" s="32"/>
    </row>
    <row r="918">
      <c r="C918" s="32"/>
    </row>
    <row r="919">
      <c r="C919" s="32"/>
    </row>
    <row r="920">
      <c r="C920" s="32"/>
    </row>
    <row r="921">
      <c r="C921" s="32"/>
    </row>
    <row r="922">
      <c r="C922" s="32"/>
    </row>
    <row r="923">
      <c r="C923" s="32"/>
    </row>
    <row r="924">
      <c r="C924" s="32"/>
    </row>
    <row r="925">
      <c r="C925" s="32"/>
    </row>
    <row r="926">
      <c r="C926" s="32"/>
    </row>
    <row r="927">
      <c r="C927" s="32"/>
    </row>
    <row r="928">
      <c r="C928" s="32"/>
    </row>
    <row r="929">
      <c r="C929" s="32"/>
    </row>
    <row r="930">
      <c r="C930" s="32"/>
    </row>
    <row r="931">
      <c r="C931" s="32"/>
    </row>
    <row r="932">
      <c r="C932" s="32"/>
    </row>
    <row r="933">
      <c r="C933" s="32"/>
    </row>
    <row r="934">
      <c r="C934" s="32"/>
    </row>
    <row r="935">
      <c r="C935" s="32"/>
    </row>
    <row r="936">
      <c r="C936" s="32"/>
    </row>
    <row r="937">
      <c r="C937" s="32"/>
    </row>
    <row r="938">
      <c r="C938" s="32"/>
    </row>
    <row r="939">
      <c r="C939" s="32"/>
    </row>
    <row r="940">
      <c r="C940" s="32"/>
    </row>
    <row r="941">
      <c r="C941" s="32"/>
    </row>
    <row r="942">
      <c r="C942" s="32"/>
    </row>
    <row r="943">
      <c r="C943" s="32"/>
    </row>
    <row r="944">
      <c r="C944" s="32"/>
    </row>
    <row r="945">
      <c r="C945" s="32"/>
    </row>
    <row r="946">
      <c r="C946" s="32"/>
    </row>
    <row r="947">
      <c r="C947" s="32"/>
    </row>
    <row r="948">
      <c r="C948" s="32"/>
    </row>
    <row r="949">
      <c r="C949" s="32"/>
    </row>
    <row r="950">
      <c r="C950" s="32"/>
    </row>
    <row r="951">
      <c r="C951" s="32"/>
    </row>
    <row r="952">
      <c r="C952" s="32"/>
    </row>
    <row r="953">
      <c r="C953" s="32"/>
    </row>
    <row r="954">
      <c r="C954" s="32"/>
    </row>
    <row r="955">
      <c r="C955" s="32"/>
    </row>
    <row r="956">
      <c r="C956" s="32"/>
    </row>
    <row r="957">
      <c r="C957" s="32"/>
    </row>
    <row r="958">
      <c r="C958" s="32"/>
    </row>
    <row r="959">
      <c r="C959" s="32"/>
    </row>
    <row r="960">
      <c r="C960" s="32"/>
    </row>
    <row r="961">
      <c r="C961" s="32"/>
    </row>
    <row r="962">
      <c r="C962" s="32"/>
    </row>
    <row r="963">
      <c r="C963" s="32"/>
    </row>
    <row r="964">
      <c r="C964" s="32"/>
    </row>
    <row r="965">
      <c r="C965" s="32"/>
    </row>
    <row r="966">
      <c r="C966" s="32"/>
    </row>
    <row r="967">
      <c r="C967" s="32"/>
    </row>
    <row r="968">
      <c r="C968" s="32"/>
    </row>
    <row r="969">
      <c r="C969" s="32"/>
    </row>
    <row r="970">
      <c r="C970" s="32"/>
    </row>
    <row r="971">
      <c r="C971" s="32"/>
    </row>
    <row r="972">
      <c r="C972" s="32"/>
    </row>
    <row r="973">
      <c r="C973" s="32"/>
    </row>
    <row r="974">
      <c r="C974" s="32"/>
    </row>
    <row r="975">
      <c r="C975" s="32"/>
    </row>
    <row r="976">
      <c r="C976" s="32"/>
    </row>
    <row r="977">
      <c r="C977" s="32"/>
    </row>
    <row r="978">
      <c r="C978" s="32"/>
    </row>
    <row r="979">
      <c r="C979" s="32"/>
    </row>
    <row r="980">
      <c r="C980" s="32"/>
    </row>
    <row r="981">
      <c r="C981" s="32"/>
    </row>
    <row r="982">
      <c r="C982" s="32"/>
    </row>
    <row r="983">
      <c r="C983" s="32"/>
    </row>
    <row r="984">
      <c r="C984" s="32"/>
    </row>
    <row r="985">
      <c r="C985" s="32"/>
    </row>
    <row r="986">
      <c r="C986" s="32"/>
    </row>
    <row r="987">
      <c r="C987" s="32"/>
    </row>
    <row r="988">
      <c r="C988" s="32"/>
    </row>
    <row r="989">
      <c r="C989" s="32"/>
    </row>
    <row r="990">
      <c r="C990" s="32"/>
    </row>
    <row r="991">
      <c r="C991" s="32"/>
    </row>
    <row r="992">
      <c r="C992" s="32"/>
    </row>
    <row r="993">
      <c r="C993" s="32"/>
    </row>
    <row r="994">
      <c r="C994" s="32"/>
    </row>
    <row r="995">
      <c r="C995" s="32"/>
    </row>
    <row r="996">
      <c r="C996" s="32"/>
    </row>
    <row r="997">
      <c r="C997" s="32"/>
    </row>
    <row r="998">
      <c r="C998" s="32"/>
    </row>
    <row r="999">
      <c r="C999" s="32"/>
    </row>
    <row r="1000">
      <c r="C1000" s="32"/>
    </row>
    <row r="1001">
      <c r="C1001" s="32"/>
    </row>
    <row r="1002">
      <c r="C1002" s="32"/>
    </row>
  </sheetData>
  <mergeCells count="11">
    <mergeCell ref="C1:D1"/>
    <mergeCell ref="A17:A18"/>
    <mergeCell ref="A27:A28"/>
    <mergeCell ref="A31:A32"/>
    <mergeCell ref="A63:A64"/>
    <mergeCell ref="A90:A91"/>
    <mergeCell ref="A99:A100"/>
    <mergeCell ref="A106:A107"/>
    <mergeCell ref="A110:A111"/>
    <mergeCell ref="A135:A136"/>
    <mergeCell ref="A138:A140"/>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111" t="s">
        <v>569</v>
      </c>
      <c r="B1" s="112" t="s">
        <v>570</v>
      </c>
    </row>
    <row r="3">
      <c r="A3" s="103" t="s">
        <v>571</v>
      </c>
      <c r="B3" s="112" t="s">
        <v>572</v>
      </c>
    </row>
    <row r="5"/>
    <row r="7"/>
    <row r="9"/>
    <row r="10">
      <c r="A10" s="3"/>
    </row>
    <row r="11">
      <c r="A11" s="113"/>
    </row>
  </sheetData>
  <hyperlinks>
    <hyperlink r:id="rId1" ref="B1"/>
    <hyperlink r:id="rId2" ref="B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2" zoomScale="100" workbookViewId="0">
      <selection activeCell="A1" activeCellId="0" sqref="A1"/>
    </sheetView>
  </sheetViews>
  <sheetFormatPr defaultRowHeight="12.75"/>
  <cols>
    <col customWidth="1" min="1" max="1" width="14.421875"/>
    <col customWidth="1" min="2" max="2" width="16.421875"/>
    <col customWidth="1" min="3" max="3" width="131.140625"/>
  </cols>
  <sheetData>
    <row r="1" ht="153">
      <c r="A1" s="19" t="s">
        <v>573</v>
      </c>
      <c r="B1" s="37" t="s">
        <v>257</v>
      </c>
      <c r="C1" s="114" t="s">
        <v>574</v>
      </c>
    </row>
    <row r="2" ht="165.75">
      <c r="A2" s="19" t="s">
        <v>104</v>
      </c>
      <c r="B2" s="28" t="s">
        <v>219</v>
      </c>
      <c r="C2" s="114" t="s">
        <v>575</v>
      </c>
    </row>
    <row r="3" ht="165.75">
      <c r="A3" s="19" t="s">
        <v>78</v>
      </c>
      <c r="B3" s="28" t="s">
        <v>219</v>
      </c>
      <c r="C3" s="114" t="s">
        <v>576</v>
      </c>
    </row>
    <row r="4" ht="165.75">
      <c r="A4" s="19" t="s">
        <v>83</v>
      </c>
      <c r="B4" s="28" t="s">
        <v>297</v>
      </c>
      <c r="C4" s="114" t="s">
        <v>577</v>
      </c>
    </row>
    <row r="5" ht="165.75">
      <c r="A5" s="19" t="s">
        <v>228</v>
      </c>
      <c r="B5" s="20" t="s">
        <v>75</v>
      </c>
      <c r="C5" s="114" t="s">
        <v>578</v>
      </c>
    </row>
    <row r="6" ht="165.75">
      <c r="A6" s="19" t="s">
        <v>74</v>
      </c>
      <c r="B6" s="20" t="s">
        <v>75</v>
      </c>
      <c r="C6" s="114" t="s">
        <v>579</v>
      </c>
    </row>
    <row r="7" ht="165.75">
      <c r="A7" s="19" t="s">
        <v>137</v>
      </c>
      <c r="B7" s="37" t="s">
        <v>232</v>
      </c>
      <c r="C7" s="114" t="s">
        <v>580</v>
      </c>
    </row>
    <row r="8" ht="204">
      <c r="A8" s="19" t="s">
        <v>91</v>
      </c>
      <c r="B8" s="28" t="s">
        <v>92</v>
      </c>
      <c r="C8" s="114" t="s">
        <v>581</v>
      </c>
    </row>
    <row r="9" ht="204">
      <c r="A9" s="19" t="s">
        <v>87</v>
      </c>
      <c r="B9" s="20" t="s">
        <v>92</v>
      </c>
      <c r="C9" s="114" t="s">
        <v>582</v>
      </c>
    </row>
    <row r="10" ht="165.75">
      <c r="A10" s="19" t="s">
        <v>241</v>
      </c>
      <c r="B10" s="20" t="s">
        <v>242</v>
      </c>
      <c r="C10" s="114" t="s">
        <v>583</v>
      </c>
    </row>
    <row r="11" ht="153">
      <c r="A11" s="19" t="s">
        <v>247</v>
      </c>
      <c r="B11" s="37" t="s">
        <v>248</v>
      </c>
      <c r="C11" s="114" t="s">
        <v>584</v>
      </c>
    </row>
    <row r="12" ht="153">
      <c r="A12" s="19" t="s">
        <v>116</v>
      </c>
      <c r="B12" s="28" t="s">
        <v>248</v>
      </c>
      <c r="C12" s="114" t="s">
        <v>584</v>
      </c>
    </row>
    <row r="13" ht="165.75">
      <c r="A13" s="19" t="s">
        <v>585</v>
      </c>
      <c r="B13" s="28" t="s">
        <v>111</v>
      </c>
      <c r="C13" s="114" t="s">
        <v>586</v>
      </c>
    </row>
    <row r="14" ht="165.75">
      <c r="A14" s="19" t="s">
        <v>86</v>
      </c>
      <c r="B14" s="28" t="s">
        <v>123</v>
      </c>
      <c r="C14" s="114" t="s">
        <v>587</v>
      </c>
    </row>
    <row r="15" ht="165.75">
      <c r="A15" s="19" t="s">
        <v>251</v>
      </c>
      <c r="B15" s="20" t="s">
        <v>135</v>
      </c>
      <c r="C15" s="114" t="s">
        <v>588</v>
      </c>
    </row>
    <row r="16" ht="165.75">
      <c r="A16" s="19" t="s">
        <v>98</v>
      </c>
      <c r="B16" s="20" t="s">
        <v>135</v>
      </c>
      <c r="C16" s="114" t="s">
        <v>589</v>
      </c>
    </row>
    <row r="17" ht="165.75">
      <c r="A17" s="19" t="s">
        <v>176</v>
      </c>
      <c r="B17" s="20" t="s">
        <v>145</v>
      </c>
      <c r="C17" s="114" t="s">
        <v>590</v>
      </c>
    </row>
    <row r="18" ht="165.75">
      <c r="A18" s="19" t="s">
        <v>99</v>
      </c>
      <c r="B18" s="37" t="s">
        <v>145</v>
      </c>
      <c r="C18" s="114" t="s">
        <v>591</v>
      </c>
    </row>
    <row r="19" ht="178.5">
      <c r="A19" s="19" t="s">
        <v>101</v>
      </c>
      <c r="B19" s="20" t="s">
        <v>155</v>
      </c>
      <c r="C19" s="114" t="s">
        <v>592</v>
      </c>
    </row>
    <row r="20" ht="178.5">
      <c r="A20" s="19" t="s">
        <v>143</v>
      </c>
      <c r="B20" s="20" t="s">
        <v>191</v>
      </c>
      <c r="C20" s="114" t="s">
        <v>593</v>
      </c>
    </row>
    <row r="21" ht="165.75">
      <c r="A21" s="19" t="s">
        <v>142</v>
      </c>
      <c r="B21" s="20" t="s">
        <v>165</v>
      </c>
      <c r="C21" s="114" t="s">
        <v>594</v>
      </c>
    </row>
    <row r="22" ht="178.5">
      <c r="A22" s="19" t="s">
        <v>102</v>
      </c>
      <c r="B22" s="20" t="s">
        <v>168</v>
      </c>
      <c r="C22" s="114" t="s">
        <v>595</v>
      </c>
    </row>
    <row r="23" ht="165.75">
      <c r="A23" s="42" t="s">
        <v>235</v>
      </c>
      <c r="B23" s="43" t="s">
        <v>236</v>
      </c>
      <c r="C23" s="114" t="s">
        <v>596</v>
      </c>
    </row>
    <row r="24" ht="242.25">
      <c r="A24" s="42" t="s">
        <v>597</v>
      </c>
      <c r="B24" s="43" t="s">
        <v>172</v>
      </c>
      <c r="C24" s="114" t="s">
        <v>598</v>
      </c>
    </row>
    <row r="25" ht="242.25">
      <c r="A25" s="42" t="s">
        <v>89</v>
      </c>
      <c r="B25" s="43" t="s">
        <v>172</v>
      </c>
      <c r="C25" s="114" t="s">
        <v>599</v>
      </c>
    </row>
    <row r="26" ht="242.25">
      <c r="A26" s="42" t="s">
        <v>81</v>
      </c>
      <c r="B26" s="43" t="s">
        <v>172</v>
      </c>
      <c r="C26" s="114" t="s">
        <v>600</v>
      </c>
    </row>
    <row r="27" ht="191.25">
      <c r="A27" s="42" t="s">
        <v>80</v>
      </c>
      <c r="B27" s="46" t="s">
        <v>181</v>
      </c>
      <c r="C27" s="114" t="s">
        <v>601</v>
      </c>
    </row>
    <row r="28" ht="204">
      <c r="A28" s="19" t="s">
        <v>107</v>
      </c>
      <c r="B28" s="46" t="s">
        <v>191</v>
      </c>
      <c r="C28" s="114" t="s">
        <v>602</v>
      </c>
    </row>
    <row r="29" ht="204">
      <c r="A29" s="19" t="s">
        <v>163</v>
      </c>
      <c r="B29" s="46" t="s">
        <v>191</v>
      </c>
      <c r="C29" s="114" t="s">
        <v>603</v>
      </c>
    </row>
    <row r="30" ht="178.5">
      <c r="A30" s="42" t="s">
        <v>114</v>
      </c>
      <c r="B30" s="46" t="s">
        <v>316</v>
      </c>
      <c r="C30" s="114" t="s">
        <v>604</v>
      </c>
    </row>
    <row r="31" ht="191.25">
      <c r="A31" s="42" t="s">
        <v>97</v>
      </c>
      <c r="B31" s="46" t="s">
        <v>305</v>
      </c>
      <c r="C31" s="114" t="s">
        <v>605</v>
      </c>
    </row>
    <row r="32" ht="178.5">
      <c r="A32" s="42" t="s">
        <v>198</v>
      </c>
      <c r="B32" s="48" t="s">
        <v>199</v>
      </c>
      <c r="C32" s="114" t="s">
        <v>606</v>
      </c>
    </row>
    <row r="33" ht="191.25">
      <c r="A33" s="42" t="s">
        <v>118</v>
      </c>
      <c r="B33" s="48" t="s">
        <v>111</v>
      </c>
      <c r="C33" s="114" t="s">
        <v>607</v>
      </c>
    </row>
    <row r="34" ht="178.5">
      <c r="A34" s="42" t="s">
        <v>100</v>
      </c>
      <c r="B34" s="48" t="s">
        <v>219</v>
      </c>
      <c r="C34" s="114" t="s">
        <v>608</v>
      </c>
    </row>
    <row r="35" ht="199.5" customHeight="1">
      <c r="A35" s="42" t="s">
        <v>263</v>
      </c>
      <c r="B35" s="48" t="s">
        <v>264</v>
      </c>
      <c r="C35" s="114" t="s">
        <v>609</v>
      </c>
    </row>
    <row r="36" ht="200.25" customHeight="1">
      <c r="A36" s="42" t="s">
        <v>105</v>
      </c>
      <c r="B36" s="48" t="s">
        <v>264</v>
      </c>
      <c r="C36" s="114" t="s">
        <v>610</v>
      </c>
    </row>
    <row r="37" ht="12.75"/>
    <row r="38" ht="12.75"/>
    <row r="39" ht="12.75"/>
    <row r="40" ht="12.7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Anonymous</cp:lastModifiedBy>
  <cp:revision>57</cp:revision>
  <dcterms:modified xsi:type="dcterms:W3CDTF">2025-08-13T17:31:34Z</dcterms:modified>
</cp:coreProperties>
</file>